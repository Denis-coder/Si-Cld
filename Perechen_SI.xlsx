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0730" windowHeight="11160" tabRatio="685" firstSheet="1" activeTab="1" autoFilterDateGrouping="1"/>
  </bookViews>
  <sheets>
    <sheet name="Лист1" sheetId="1" state="hidden" r:id="rId1"/>
    <sheet name="ГПА 61" sheetId="2" state="visible" r:id="rId2"/>
    <sheet name="ГПА 62" sheetId="3" state="visible" r:id="rId3"/>
    <sheet name="ГПА 63" sheetId="4" state="visible" r:id="rId4"/>
    <sheet name="ГПА 64" sheetId="5" state="visible" r:id="rId5"/>
    <sheet name="ПП КЦ6" sheetId="6" state="visible" r:id="rId6"/>
    <sheet name="УП КЦ6" sheetId="7" state="visible" r:id="rId7"/>
    <sheet name="УПТИГ" sheetId="8" state="visible" r:id="rId8"/>
    <sheet name="УОГ" sheetId="9" state="visible" r:id="rId9"/>
    <sheet name="Котельная" sheetId="10" state="visible" r:id="rId10"/>
    <sheet name="КОС" sheetId="11" state="visible" r:id="rId11"/>
    <sheet name="НХПВ" sheetId="12" state="visible" r:id="rId12"/>
    <sheet name="НППВ" sheetId="13" state="visible" r:id="rId13"/>
    <sheet name="Водомерный узел" sheetId="14" state="visible" r:id="rId14"/>
    <sheet name="Тепловые узлы" sheetId="15" state="visible" r:id="rId15"/>
    <sheet name="Венткамеры" sheetId="16" state="visible" r:id="rId16"/>
    <sheet name="Арт. скважины" sheetId="17" state="visible" r:id="rId17"/>
    <sheet name="СИ" sheetId="18" state="visible" r:id="rId18"/>
    <sheet name="Индикаторы" sheetId="19" state="visible" r:id="rId19"/>
    <sheet name="Лист2" sheetId="20" state="visible" r:id="rId20"/>
    <sheet name="Резерв б|у" sheetId="21" state="visible" r:id="rId21"/>
    <sheet name="Резерв (новые)" sheetId="22" state="visible" r:id="rId22"/>
    <sheet name="ГПА 71" sheetId="23" state="visible" r:id="rId23"/>
    <sheet name="ГПА 72" sheetId="24" state="visible" r:id="rId24"/>
    <sheet name="ГПА 73" sheetId="25" state="visible" r:id="rId25"/>
    <sheet name="ПП КЦ7" sheetId="26" state="visible" r:id="rId26"/>
    <sheet name="УТО" sheetId="27" state="visible" r:id="rId27"/>
    <sheet name="УПТПГ" sheetId="28" state="visible" r:id="rId28"/>
    <sheet name="ПЭБ КЦ-7 тепловой узел" sheetId="29" state="visible" r:id="rId29"/>
    <sheet name="УП КЦ7" sheetId="30" state="visible" r:id="rId30"/>
    <sheet name="Замены июль 2026" sheetId="31" state="visible" r:id="rId31"/>
  </sheets>
  <definedNames>
    <definedName name="_xlnm.Print_Area" localSheetId="1">'ГПА 61'!$A$1:$I$235</definedName>
    <definedName name="_xlnm.Print_Area" localSheetId="2">'ГПА 62'!$A$1:$I$235</definedName>
    <definedName name="_xlnm.Print_Area" localSheetId="10">'КОС'!$A$1:$N$14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dd/mm/yy;@"/>
    <numFmt numFmtId="166" formatCode="[$-419]mmm\.yy"/>
    <numFmt numFmtId="167" formatCode="[$-419]dd\.mmm"/>
    <numFmt numFmtId="168" formatCode="dd\.mm\.yyyy"/>
    <numFmt numFmtId="169" formatCode="0.000%"/>
  </numFmts>
  <fonts count="26"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indexed="8"/>
      <sz val="8"/>
    </font>
    <font>
      <name val="Times New Roman"/>
      <charset val="204"/>
      <family val="1"/>
      <color rgb="FF000000"/>
      <sz val="8"/>
    </font>
    <font>
      <name val="Times New Roman"/>
      <charset val="204"/>
      <family val="1"/>
      <sz val="8"/>
    </font>
    <font>
      <name val="Times New Roman"/>
      <charset val="204"/>
      <family val="1"/>
      <color theme="1"/>
      <sz val="8"/>
    </font>
    <font>
      <name val="Times New Roman"/>
      <charset val="204"/>
      <family val="1"/>
      <color indexed="8"/>
      <sz val="8"/>
      <vertAlign val="superscript"/>
    </font>
    <font>
      <name val="Times New Roman"/>
      <charset val="204"/>
      <family val="1"/>
      <sz val="8"/>
      <vertAlign val="superscript"/>
    </font>
    <font>
      <name val="Arial"/>
      <charset val="204"/>
      <family val="2"/>
      <color indexed="8"/>
      <sz val="10"/>
    </font>
    <font>
      <name val="Times New Roman"/>
      <charset val="204"/>
      <family val="1"/>
      <color indexed="8"/>
      <sz val="10"/>
    </font>
    <font>
      <name val="Times New Roman"/>
      <charset val="204"/>
      <family val="1"/>
      <color theme="1"/>
      <sz val="8"/>
      <vertAlign val="superscript"/>
    </font>
    <font>
      <name val="Times New Roman"/>
      <charset val="204"/>
      <family val="1"/>
      <color theme="0"/>
      <sz val="8"/>
    </font>
    <font>
      <name val="Calibri"/>
      <charset val="204"/>
      <family val="2"/>
      <sz val="11"/>
    </font>
    <font>
      <name val="Times New Roman"/>
      <charset val="204"/>
      <family val="1"/>
      <sz val="9"/>
    </font>
    <font>
      <name val="Calibri"/>
      <charset val="204"/>
      <family val="2"/>
      <color rgb="FF000000"/>
      <sz val="8"/>
    </font>
    <font>
      <name val="Calibri"/>
      <charset val="204"/>
      <family val="2"/>
      <sz val="8"/>
    </font>
    <font>
      <name val="Calibri"/>
      <charset val="204"/>
      <family val="2"/>
      <color rgb="FF000000"/>
      <sz val="11"/>
    </font>
    <font>
      <name val="Calibri"/>
      <charset val="204"/>
      <family val="2"/>
      <color rgb="FFFF0000"/>
      <sz val="8"/>
    </font>
    <font>
      <name val="Times New Roman"/>
      <charset val="204"/>
      <family val="1"/>
      <color rgb="FFFF0000"/>
      <sz val="8"/>
    </font>
    <font>
      <name val="Calibri"/>
      <charset val="204"/>
      <family val="2"/>
      <color rgb="FF000000"/>
      <sz val="12"/>
    </font>
    <font>
      <name val="Times New Roman"/>
      <charset val="204"/>
      <family val="1"/>
      <color rgb="FF000000"/>
      <sz val="8"/>
      <vertAlign val="subscript"/>
    </font>
    <font>
      <name val="Times New Roman"/>
      <charset val="204"/>
      <family val="1"/>
      <color rgb="FFC00000"/>
      <sz val="8"/>
    </font>
    <font>
      <name val="Calibri"/>
      <charset val="204"/>
      <family val="2"/>
      <color theme="1"/>
      <sz val="8"/>
    </font>
    <font>
      <name val="Times New Roman"/>
      <charset val="204"/>
      <family val="1"/>
      <color rgb="FF000000"/>
      <sz val="9.199999999999999"/>
    </font>
    <font>
      <name val="Calibri"/>
      <charset val="204"/>
      <family val="2"/>
      <sz val="8"/>
      <scheme val="minor"/>
    </font>
    <font>
      <name val="Calibri"/>
      <charset val="204"/>
      <family val="2"/>
      <color theme="1"/>
      <sz val="8"/>
      <scheme val="minor"/>
    </font>
    <font>
      <name val="Times New Roman"/>
      <charset val="204"/>
      <family val="1"/>
      <color indexed="8"/>
      <sz val="9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299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0" fontId="3" fillId="2" borderId="1" applyAlignment="1" applyProtection="1" pivotButton="0" quotePrefix="0" xfId="0">
      <alignment horizontal="center" vertical="center" wrapText="1"/>
      <protection locked="0" hidden="0"/>
    </xf>
    <xf numFmtId="0" fontId="4" fillId="2" borderId="1" applyAlignment="1" pivotButton="0" quotePrefix="0" xfId="0">
      <alignment horizontal="center" vertical="center"/>
    </xf>
    <xf numFmtId="0" fontId="1" fillId="0" borderId="1" applyAlignment="1" pivotButton="0" quotePrefix="0" xfId="2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49" fontId="3" fillId="0" borderId="1" applyAlignment="1" applyProtection="1" pivotButton="0" quotePrefix="0" xfId="0">
      <alignment horizontal="center" vertical="center" wrapText="1"/>
      <protection locked="0" hidden="0"/>
    </xf>
    <xf numFmtId="49" fontId="3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3" fillId="0" borderId="2" applyAlignment="1" applyProtection="1" pivotButton="0" quotePrefix="0" xfId="0">
      <alignment horizontal="center" vertical="center" wrapText="1"/>
      <protection locked="0" hidden="0"/>
    </xf>
    <xf numFmtId="49" fontId="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1" applyAlignment="1" pivotButton="0" quotePrefix="0" xfId="0">
      <alignment vertical="center"/>
    </xf>
    <xf numFmtId="164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center" vertical="center" wrapText="1"/>
    </xf>
    <xf numFmtId="49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3" fillId="0" borderId="3" applyAlignment="1" applyProtection="1" pivotButton="0" quotePrefix="0" xfId="0">
      <alignment horizontal="center" vertical="center" wrapText="1"/>
      <protection locked="0" hidden="0"/>
    </xf>
    <xf numFmtId="0" fontId="4" fillId="0" borderId="3" applyAlignment="1" pivotButton="0" quotePrefix="0" xfId="0">
      <alignment horizontal="center" vertical="center"/>
    </xf>
    <xf numFmtId="0" fontId="4" fillId="0" borderId="3" pivotButton="0" quotePrefix="0" xfId="0"/>
    <xf numFmtId="0" fontId="0" fillId="0" borderId="1" pivotButton="0" quotePrefix="0" xfId="0"/>
    <xf numFmtId="0" fontId="3" fillId="0" borderId="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49" fontId="4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0" pivotButton="0" quotePrefix="0" xfId="0"/>
    <xf numFmtId="49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14" fontId="1" fillId="0" borderId="1" applyAlignment="1" pivotButton="0" quotePrefix="0" xfId="0">
      <alignment horizontal="center" vertical="center" wrapText="1"/>
    </xf>
    <xf numFmtId="1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1">
      <alignment horizontal="center" vertical="center" wrapText="1"/>
    </xf>
    <xf numFmtId="0" fontId="3" fillId="0" borderId="1" applyAlignment="1" pivotButton="0" quotePrefix="0" xfId="1">
      <alignment horizontal="center" vertical="center" wrapText="1"/>
    </xf>
    <xf numFmtId="9" fontId="3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/>
    </xf>
    <xf numFmtId="0" fontId="13" fillId="0" borderId="1" pivotButton="0" quotePrefix="0" xfId="0"/>
    <xf numFmtId="0" fontId="3" fillId="0" borderId="1" pivotButton="0" quotePrefix="0" xfId="0"/>
    <xf numFmtId="166" fontId="14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49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15" fillId="0" borderId="0" pivotButton="0" quotePrefix="0" xfId="0"/>
    <xf numFmtId="10" fontId="3" fillId="0" borderId="1" applyAlignment="1" pivotButton="0" quotePrefix="0" xfId="0">
      <alignment horizontal="center"/>
    </xf>
    <xf numFmtId="0" fontId="2" fillId="0" borderId="1" pivotButton="0" quotePrefix="0" xfId="0"/>
    <xf numFmtId="166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168" fontId="1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/>
    </xf>
    <xf numFmtId="10" fontId="3" fillId="0" borderId="1" pivotButton="0" quotePrefix="0" xfId="0"/>
    <xf numFmtId="10" fontId="14" fillId="0" borderId="1" applyAlignment="1" pivotButton="0" quotePrefix="0" xfId="0">
      <alignment horizontal="center" vertical="center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3" fillId="3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4" fillId="0" borderId="0" pivotButton="0" quotePrefix="0" xfId="0"/>
    <xf numFmtId="17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6" pivotButton="0" quotePrefix="0" xfId="0"/>
    <xf numFmtId="0" fontId="2" fillId="0" borderId="6" applyAlignment="1" pivotButton="0" quotePrefix="0" xfId="0">
      <alignment horizontal="center" vertical="center" wrapText="1"/>
    </xf>
    <xf numFmtId="0" fontId="15" fillId="0" borderId="1" pivotButton="0" quotePrefix="0" xfId="0"/>
    <xf numFmtId="0" fontId="17" fillId="0" borderId="1" applyAlignment="1" pivotButton="0" quotePrefix="0" xfId="0">
      <alignment horizontal="center" vertical="center"/>
    </xf>
    <xf numFmtId="0" fontId="18" fillId="0" borderId="1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2" fillId="0" borderId="6" pivotButton="0" quotePrefix="0" xfId="0"/>
    <xf numFmtId="0" fontId="2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wrapText="1"/>
    </xf>
    <xf numFmtId="0" fontId="4" fillId="0" borderId="1" applyAlignment="1" pivotButton="0" quotePrefix="0" xfId="1">
      <alignment horizontal="center" vertical="center" wrapText="1"/>
    </xf>
    <xf numFmtId="49" fontId="17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0" fontId="2" fillId="0" borderId="1" applyAlignment="1" pivotButton="0" quotePrefix="0" xfId="0">
      <alignment horizontal="center" vertical="center" wrapText="1"/>
    </xf>
    <xf numFmtId="10" fontId="1" fillId="0" borderId="1" applyAlignment="1" pivotButton="0" quotePrefix="0" xfId="0">
      <alignment horizontal="center" vertical="center" wrapText="1"/>
    </xf>
    <xf numFmtId="16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 wrapText="1"/>
    </xf>
    <xf numFmtId="49" fontId="4" fillId="0" borderId="1" applyAlignment="1" pivotButton="0" quotePrefix="1" xfId="0">
      <alignment horizontal="center" vertical="center"/>
    </xf>
    <xf numFmtId="49" fontId="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1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1" fillId="4" borderId="1" applyAlignment="1" pivotButton="0" quotePrefix="0" xfId="1">
      <alignment horizontal="center" vertical="center" wrapText="1"/>
    </xf>
    <xf numFmtId="0" fontId="13" fillId="4" borderId="1" applyAlignment="1" pivotButton="0" quotePrefix="0" xfId="0">
      <alignment horizontal="center" vertical="center"/>
    </xf>
    <xf numFmtId="166" fontId="13" fillId="4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 wrapText="1"/>
    </xf>
    <xf numFmtId="10" fontId="1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3" fillId="4" borderId="1" pivotButton="0" quotePrefix="0" xfId="0"/>
    <xf numFmtId="49" fontId="4" fillId="3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wrapText="1"/>
    </xf>
    <xf numFmtId="0" fontId="12" fillId="0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wrapText="1"/>
    </xf>
    <xf numFmtId="0" fontId="13" fillId="0" borderId="1" applyAlignment="1" pivotButton="0" quotePrefix="0" xfId="0">
      <alignment wrapText="1"/>
    </xf>
    <xf numFmtId="0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166" fontId="14" fillId="0" borderId="1" applyAlignment="1" pivotButton="0" quotePrefix="0" xfId="0">
      <alignment horizontal="center" vertical="center" wrapText="1"/>
    </xf>
    <xf numFmtId="166" fontId="13" fillId="0" borderId="1" applyAlignment="1" pivotButton="0" quotePrefix="0" xfId="0">
      <alignment horizontal="center" vertical="center" wrapText="1"/>
    </xf>
    <xf numFmtId="49" fontId="14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wrapText="1"/>
    </xf>
    <xf numFmtId="0" fontId="11" fillId="0" borderId="0" applyAlignment="1" pivotButton="0" quotePrefix="0" xfId="0">
      <alignment vertical="center" wrapText="1"/>
    </xf>
    <xf numFmtId="10" fontId="14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wrapText="1"/>
    </xf>
    <xf numFmtId="0" fontId="18" fillId="0" borderId="1" applyAlignment="1" pivotButton="0" quotePrefix="0" xfId="0">
      <alignment horizontal="center" wrapText="1"/>
    </xf>
    <xf numFmtId="0" fontId="13" fillId="3" borderId="1" applyAlignment="1" pivotButton="0" quotePrefix="0" xfId="0">
      <alignment wrapText="1"/>
    </xf>
    <xf numFmtId="0" fontId="11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wrapText="1"/>
    </xf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3" fillId="0" borderId="6" applyAlignment="1" applyProtection="1" pivotButton="0" quotePrefix="0" xfId="0">
      <alignment horizontal="center" vertical="center" wrapText="1"/>
      <protection locked="0" hidden="0"/>
    </xf>
    <xf numFmtId="0" fontId="4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0" fontId="4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4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  <xf numFmtId="0" fontId="3" fillId="6" borderId="1" applyAlignment="1" applyProtection="1" pivotButton="0" quotePrefix="0" xfId="0">
      <alignment horizontal="center" vertical="center" wrapText="1"/>
      <protection locked="0" hidden="0"/>
    </xf>
    <xf numFmtId="0" fontId="1" fillId="6" borderId="3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7" borderId="1" applyAlignment="1" applyProtection="1" pivotButton="0" quotePrefix="0" xfId="0">
      <alignment horizontal="center" vertical="center" wrapText="1"/>
      <protection locked="0" hidden="0"/>
    </xf>
    <xf numFmtId="0" fontId="4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0" fontId="4" fillId="7" borderId="1" pivotButton="0" quotePrefix="0" xfId="0"/>
    <xf numFmtId="0" fontId="3" fillId="7" borderId="1" applyAlignment="1" pivotButton="0" quotePrefix="0" xfId="0">
      <alignment horizontal="center" vertical="center" wrapText="1"/>
    </xf>
    <xf numFmtId="49" fontId="1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8" borderId="1" applyAlignment="1" applyProtection="1" pivotButton="0" quotePrefix="0" xfId="0">
      <alignment horizontal="center" vertical="center" wrapText="1"/>
      <protection locked="0" hidden="0"/>
    </xf>
    <xf numFmtId="0" fontId="8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4" fillId="8" borderId="1" applyAlignment="1" pivotButton="0" quotePrefix="0" xfId="0">
      <alignment horizontal="center"/>
    </xf>
    <xf numFmtId="49" fontId="4" fillId="8" borderId="1" applyAlignment="1" pivotButton="0" quotePrefix="0" xfId="0">
      <alignment horizontal="center"/>
    </xf>
    <xf numFmtId="0" fontId="4" fillId="8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wrapText="1"/>
    </xf>
    <xf numFmtId="0" fontId="1" fillId="2" borderId="3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17" fontId="3" fillId="9" borderId="1" applyAlignment="1" pivotButton="0" quotePrefix="0" xfId="0">
      <alignment horizontal="center" vertical="center" wrapText="1"/>
    </xf>
    <xf numFmtId="17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4" fillId="2" borderId="1" pivotButton="0" quotePrefix="0" xfId="0"/>
    <xf numFmtId="17" fontId="3" fillId="2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49" fontId="2" fillId="10" borderId="1" applyAlignment="1" pivotButton="0" quotePrefix="0" xfId="0">
      <alignment horizontal="center" vertical="center" wrapText="1"/>
    </xf>
    <xf numFmtId="49" fontId="3" fillId="10" borderId="1" applyAlignment="1" pivotButton="0" quotePrefix="0" xfId="0">
      <alignment horizontal="center" vertical="center" wrapText="1"/>
    </xf>
    <xf numFmtId="49" fontId="1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0" pivotButton="0" quotePrefix="0" xfId="0"/>
    <xf numFmtId="0" fontId="1" fillId="11" borderId="1" applyAlignment="1" pivotButton="0" quotePrefix="0" xfId="0">
      <alignment horizontal="center" vertical="center" wrapText="1"/>
    </xf>
    <xf numFmtId="49" fontId="2" fillId="11" borderId="1" applyAlignment="1" pivotButton="0" quotePrefix="0" xfId="0">
      <alignment horizontal="center" vertical="center" wrapText="1"/>
    </xf>
    <xf numFmtId="49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49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49" fontId="1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  <xf numFmtId="0" fontId="4" fillId="11" borderId="0" pivotButton="0" quotePrefix="0" xfId="0"/>
    <xf numFmtId="0" fontId="3" fillId="11" borderId="1" applyAlignment="1" applyProtection="1" pivotButton="0" quotePrefix="0" xfId="0">
      <alignment horizontal="center" vertical="center" wrapText="1"/>
      <protection locked="0" hidden="0"/>
    </xf>
    <xf numFmtId="49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/>
    </xf>
    <xf numFmtId="49" fontId="4" fillId="11" borderId="1" applyAlignment="1" pivotButton="0" quotePrefix="0" xfId="0">
      <alignment horizontal="center" vertical="center" wrapText="1"/>
    </xf>
    <xf numFmtId="0" fontId="0" fillId="11" borderId="0" pivotButton="0" quotePrefix="0" xfId="0"/>
    <xf numFmtId="0" fontId="4" fillId="11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5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3" fillId="0" borderId="1" applyAlignment="1" applyProtection="1" pivotButton="0" quotePrefix="0" xfId="0">
      <alignment horizontal="center" vertical="center" wrapText="1"/>
      <protection locked="0" hidden="0"/>
    </xf>
    <xf numFmtId="165" fontId="0" fillId="0" borderId="0" pivotButton="0" quotePrefix="0" xfId="0"/>
    <xf numFmtId="169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4" pivotButton="0" quotePrefix="0" xfId="0"/>
    <xf numFmtId="0" fontId="0" fillId="0" borderId="1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6" fontId="3" fillId="0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8" fontId="1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center" vertical="center" wrapText="1"/>
    </xf>
    <xf numFmtId="166" fontId="13" fillId="0" borderId="1" applyAlignment="1" pivotButton="0" quotePrefix="0" xfId="0">
      <alignment horizontal="center" vertical="center" wrapText="1"/>
    </xf>
    <xf numFmtId="166" fontId="13" fillId="4" borderId="1" applyAlignment="1" pivotButton="0" quotePrefix="0" xfId="0">
      <alignment horizontal="center" vertical="center"/>
    </xf>
  </cellXfs>
  <cellStyles count="3">
    <cellStyle name="Обычный" xfId="0" builtinId="0"/>
    <cellStyle name="Обычный 2" xfId="1"/>
    <cellStyle name="Обычный 7" xfId="2"/>
  </cellStyles>
  <dxfs count="4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>
          <fgColor indexed="64"/>
          <bgColor indexed="65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ont>
        <color rgb="FF9C0006"/>
        <sz val="11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G13"/>
  <sheetViews>
    <sheetView workbookViewId="0">
      <selection activeCell="F10" sqref="F10"/>
    </sheetView>
  </sheetViews>
  <sheetFormatPr baseColWidth="8" defaultRowHeight="15"/>
  <cols>
    <col width="12" customWidth="1" style="151" min="1" max="1"/>
  </cols>
  <sheetData>
    <row r="1">
      <c r="A1" s="68" t="n"/>
      <c r="B1" t="inlineStr">
        <is>
          <t>1К21</t>
        </is>
      </c>
      <c r="E1">
        <f>AND(IF(VALUE(LEFT(TEXT($N1,"0"),1))&lt;=INT((MONTH(TODAY())+2)/3),1),IF(VALUE(RIGHT(TEXT($N1,"0"),2))+($R1/12)&lt;=VALUE(TEXT(TODAY(),"ГГ")),1),OR($S1="К",$S1="K"))</f>
        <v/>
      </c>
      <c r="F1" t="n">
        <v>12</v>
      </c>
      <c r="G1" t="inlineStr">
        <is>
          <t>К</t>
        </is>
      </c>
    </row>
    <row r="2">
      <c r="A2">
        <f>INT((MONTH(TODAY())+2)/3)&amp;"К"&amp;VALUE(TEXT(TODAY(),"ГГ"))-1</f>
        <v/>
      </c>
    </row>
    <row r="3">
      <c r="A3" s="68">
        <f>TODAY()</f>
        <v/>
      </c>
      <c r="D3" t="inlineStr">
        <is>
          <t>если в ячейке М с буквой К</t>
        </is>
      </c>
      <c r="E3" t="inlineStr">
        <is>
          <t>И(ЕСЛИ(ЗНАЧЕН(ЛЕВСИМВ(ТЕКСТ($M1;"0");1))&lt;=ЦЕЛОЕ((МЕСЯЦ(СЕГОДНЯ())+2)/3);1);ЕСЛИ(ЗНАЧЕН(ПРАВСИМВ(ТЕКСТ($M1;"0");2))+($L1/12)&lt;=ЗНАЧЕН(ТЕКСТ(СЕГОДНЯ();"ГГ"));1);ИЛИ($N1="К";$N1="K";;$N1="П"))</t>
        </is>
      </c>
    </row>
    <row r="4">
      <c r="A4">
        <f>TEXT(TODAY(),"ГГ")</f>
        <v/>
      </c>
      <c r="D4" t="inlineStr">
        <is>
          <t>если в ячейке М дата поверки</t>
        </is>
      </c>
      <c r="E4" t="inlineStr">
        <is>
          <t>И(ЕСЛИ(ЦЕЛОЕ((МЕСЯЦ($M1)+2)/3)&lt;=ЦЕЛОЕ((МЕСЯЦ(СЕГОДНЯ())+2)/3);1);ЕСЛИ(ЗНАЧЕН(ТЕКСТ($M1;"ГГ"))+($L1/12)&lt;=ЗНАЧЕН(ТЕКСТ(СЕГОДНЯ();"ГГ"));1);ИЛИ($N1="К";$N1="K";$N1="П"))</t>
        </is>
      </c>
    </row>
    <row r="5">
      <c r="B5" t="inlineStr">
        <is>
          <t>2К22</t>
        </is>
      </c>
      <c r="D5" t="inlineStr">
        <is>
          <t>общая формула</t>
        </is>
      </c>
      <c r="E5" t="inlineStr">
        <is>
          <t>ИЛИ(И(ЕСЛИ(ЗНАЧЕН(ЛЕВСИМВ(ТЕКСТ($M1;"0");1))&lt;=ЦЕЛОЕ((МЕСЯЦ(СЕГОДНЯ())+2)/3);1);ЕСЛИ(ЗНАЧЕН(ПРАВСИМВ(ТЕКСТ($M1;"0");2))+($L1/12)&lt;=ЗНАЧЕН(ТЕКСТ(СЕГОДНЯ();"ГГ"));1);ИЛИ($N1="К";$N1="K";;$N1="П"));ЕСЛИОШИБКА(И(ЕСЛИ(ЦЕЛОЕ((МЕСЯЦ($M1)+2)/3)&lt;=ЦЕЛОЕ((МЕСЯЦ(СЕГОДНЯ())+2)/3);1);ЕСЛИ(ЗНАЧЕН(ТЕКСТ($M1;"ГГ"))+($L1/12)&lt;=ЗНАЧЕН(ТЕКСТ(СЕГОДНЯ();"ГГ"));1);ИЛИ($N1="К";$N1="K";$N1="П"));0))</t>
        </is>
      </c>
    </row>
    <row r="6">
      <c r="B6" t="inlineStr">
        <is>
          <t>3К22</t>
        </is>
      </c>
    </row>
    <row r="7">
      <c r="B7" t="inlineStr">
        <is>
          <t>3К21</t>
        </is>
      </c>
    </row>
    <row r="8">
      <c r="A8">
        <f>VALUE(TEXT(TODAY(),"ГГ"))-1</f>
        <v/>
      </c>
      <c r="B8" t="inlineStr">
        <is>
          <t>3К21</t>
        </is>
      </c>
      <c r="C8" t="inlineStr">
        <is>
          <t>термометр</t>
        </is>
      </c>
    </row>
    <row r="9">
      <c r="B9" t="inlineStr">
        <is>
          <t>3К21</t>
        </is>
      </c>
      <c r="C9" t="inlineStr">
        <is>
          <t>Термометр</t>
        </is>
      </c>
    </row>
    <row r="12">
      <c r="A12" s="281" t="n">
        <v>44785</v>
      </c>
    </row>
    <row r="13">
      <c r="A13">
        <f>INT((MONTH(A12)+2)/3)</f>
        <v/>
      </c>
    </row>
  </sheetData>
  <conditionalFormatting sqref="B1:B40">
    <cfRule type="expression" priority="1" dxfId="25">
      <formula>AND(IF(#REF!="3К21",1),IF(#REF!="термометр",1))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Лист2">
    <outlinePr summaryBelow="1" summaryRight="1"/>
    <pageSetUpPr/>
  </sheetPr>
  <dimension ref="A1:O226"/>
  <sheetViews>
    <sheetView tabSelected="1" topLeftCell="D1" zoomScale="118" zoomScaleNormal="118" workbookViewId="0">
      <selection activeCell="N64" sqref="N64"/>
    </sheetView>
  </sheetViews>
  <sheetFormatPr baseColWidth="8" defaultRowHeight="15"/>
  <cols>
    <col width="3.5703125" customWidth="1" style="151" min="1" max="1"/>
    <col width="21.42578125" customWidth="1" style="151" min="2" max="2"/>
    <col width="26.42578125" customWidth="1" style="151" min="3" max="3"/>
    <col width="15.28515625" customWidth="1" style="151" min="4" max="4"/>
    <col width="7" customWidth="1" style="151" min="5" max="5"/>
    <col width="15.42578125" customWidth="1" style="151" min="6" max="7"/>
    <col width="28.5703125" customWidth="1" style="151" min="8" max="8"/>
    <col width="12.5703125" customWidth="1" style="151" min="9" max="9"/>
    <col width="17.5703125" customWidth="1" style="151" min="10" max="10"/>
    <col width="8.7109375" customWidth="1" style="151" min="11" max="11"/>
    <col width="7.5703125" customWidth="1" style="151" min="12" max="12"/>
    <col width="8" customWidth="1" style="151" min="13" max="13"/>
    <col width="7.28515625" customWidth="1" style="151" min="14" max="14"/>
    <col width="9.140625" customWidth="1" style="151" min="15" max="16384"/>
  </cols>
  <sheetData>
    <row r="1" ht="56.2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>
      <c r="A2" s="15">
        <f>IF(B2&lt;&gt;"", COUNTA($B$2:B2), "")</f>
        <v/>
      </c>
      <c r="B2" s="280" t="inlineStr">
        <is>
          <t>Манометр технический</t>
        </is>
      </c>
      <c r="C2" s="10" t="inlineStr">
        <is>
          <t>МП4-УУ2</t>
        </is>
      </c>
      <c r="D2" s="10" t="n">
        <v>15088</v>
      </c>
      <c r="E2" s="10" t="n">
        <v>2010</v>
      </c>
      <c r="F2" s="10" t="inlineStr">
        <is>
          <t>0…160 кгс/см2</t>
        </is>
      </c>
      <c r="G2" s="10" t="n">
        <v>1.5</v>
      </c>
      <c r="H2" s="26" t="inlineStr">
        <is>
          <t>P газа перед КШ 731/1,2</t>
        </is>
      </c>
      <c r="I2" s="8" t="inlineStr">
        <is>
          <t>ГПА 61 БПТГ</t>
        </is>
      </c>
      <c r="J2" s="15" t="inlineStr">
        <is>
          <t>АСУ,А и ТМ (КЦ № 6)</t>
        </is>
      </c>
      <c r="K2" s="15" t="n">
        <v>2012</v>
      </c>
      <c r="L2" s="15" t="n">
        <v>12</v>
      </c>
      <c r="M2" s="3" t="inlineStr">
        <is>
          <t>1К26</t>
        </is>
      </c>
      <c r="N2" s="70" t="inlineStr">
        <is>
          <t>К</t>
        </is>
      </c>
    </row>
    <row r="3">
      <c r="A3" s="15">
        <f>IF(B3&lt;&gt;"", COUNTA($B$2:B3), "")</f>
        <v/>
      </c>
      <c r="B3" s="280" t="inlineStr">
        <is>
          <t>Манометр технический</t>
        </is>
      </c>
      <c r="C3" s="10" t="inlineStr">
        <is>
          <t>МП4-УУ2</t>
        </is>
      </c>
      <c r="D3" s="10" t="n">
        <v>15105</v>
      </c>
      <c r="E3" s="10" t="n">
        <v>2010</v>
      </c>
      <c r="F3" s="10" t="inlineStr">
        <is>
          <t>0…100 кгс/см2</t>
        </is>
      </c>
      <c r="G3" s="10" t="n">
        <v>1.5</v>
      </c>
      <c r="H3" s="26" t="inlineStr">
        <is>
          <t>P газа после КРД 730/1</t>
        </is>
      </c>
      <c r="I3" s="8" t="inlineStr">
        <is>
          <t>ГПА 61 БПТГ</t>
        </is>
      </c>
      <c r="J3" s="15" t="inlineStr">
        <is>
          <t>АСУ,А и ТМ (КЦ № 6)</t>
        </is>
      </c>
      <c r="K3" s="15" t="n">
        <v>2012</v>
      </c>
      <c r="L3" s="15" t="n">
        <v>12</v>
      </c>
      <c r="M3" s="3" t="inlineStr">
        <is>
          <t>1К26</t>
        </is>
      </c>
      <c r="N3" s="70" t="inlineStr">
        <is>
          <t>К</t>
        </is>
      </c>
    </row>
    <row r="4">
      <c r="A4" s="15">
        <f>IF(B4&lt;&gt;"", COUNTA($B$2:B4), "")</f>
        <v/>
      </c>
      <c r="B4" s="280" t="inlineStr">
        <is>
          <t>Манометр технический</t>
        </is>
      </c>
      <c r="C4" s="71" t="inlineStr">
        <is>
          <t>МП4-УУ2</t>
        </is>
      </c>
      <c r="D4" s="71" t="n">
        <v>15564</v>
      </c>
      <c r="E4" s="10" t="n">
        <v>2010</v>
      </c>
      <c r="F4" s="10" t="inlineStr">
        <is>
          <t>0…160 кгс/см2</t>
        </is>
      </c>
      <c r="G4" s="71" t="n">
        <v>1</v>
      </c>
      <c r="H4" s="14" t="inlineStr">
        <is>
          <t>P газа в C 701</t>
        </is>
      </c>
      <c r="I4" s="8" t="inlineStr">
        <is>
          <t>ГПА 61 БПТГ</t>
        </is>
      </c>
      <c r="J4" s="15" t="inlineStr">
        <is>
          <t>АСУ,А и ТМ (КЦ № 6)</t>
        </is>
      </c>
      <c r="K4" s="15" t="n">
        <v>2012</v>
      </c>
      <c r="L4" s="15" t="n">
        <v>12</v>
      </c>
      <c r="M4" s="160" t="inlineStr">
        <is>
          <t>26ДЯУ</t>
        </is>
      </c>
      <c r="N4" s="70" t="inlineStr">
        <is>
          <t>П</t>
        </is>
      </c>
      <c r="O4" s="66" t="n"/>
    </row>
    <row r="5">
      <c r="A5" s="15">
        <f>IF(B5&lt;&gt;"", COUNTA($B$2:B5), "")</f>
        <v/>
      </c>
      <c r="B5" s="280" t="inlineStr">
        <is>
          <t>Манометр технический</t>
        </is>
      </c>
      <c r="C5" s="10" t="inlineStr">
        <is>
          <t>МП4-УУ2</t>
        </is>
      </c>
      <c r="D5" s="11" t="inlineStr">
        <is>
          <t>15518</t>
        </is>
      </c>
      <c r="E5" s="10" t="n">
        <v>2010</v>
      </c>
      <c r="F5" s="10" t="inlineStr">
        <is>
          <t>0…160 кгс/см2</t>
        </is>
      </c>
      <c r="G5" s="10" t="n">
        <v>1.5</v>
      </c>
      <c r="H5" s="26" t="inlineStr">
        <is>
          <t>P газа на выходе ЭПГ 700/1</t>
        </is>
      </c>
      <c r="I5" s="8" t="inlineStr">
        <is>
          <t>ГПА 61 БПТГ</t>
        </is>
      </c>
      <c r="J5" s="15" t="inlineStr">
        <is>
          <t>АСУ,А и ТМ (КЦ № 6)</t>
        </is>
      </c>
      <c r="K5" s="15" t="n">
        <v>2012</v>
      </c>
      <c r="L5" s="15" t="n">
        <v>12</v>
      </c>
      <c r="M5" s="3" t="inlineStr">
        <is>
          <t>2К26</t>
        </is>
      </c>
      <c r="N5" s="70" t="inlineStr">
        <is>
          <t>К</t>
        </is>
      </c>
    </row>
    <row r="6">
      <c r="A6" s="15">
        <f>IF(B6&lt;&gt;"", COUNTA($B$2:B6), "")</f>
        <v/>
      </c>
      <c r="B6" s="280" t="inlineStr">
        <is>
          <t>Манометр технический</t>
        </is>
      </c>
      <c r="C6" s="10" t="inlineStr">
        <is>
          <t>МП4-УУ2</t>
        </is>
      </c>
      <c r="D6" s="11" t="inlineStr">
        <is>
          <t>15103</t>
        </is>
      </c>
      <c r="E6" s="10" t="n">
        <v>2010</v>
      </c>
      <c r="F6" s="10" t="inlineStr">
        <is>
          <t>0…100 кгс/см2</t>
        </is>
      </c>
      <c r="G6" s="10" t="n">
        <v>1.5</v>
      </c>
      <c r="H6" s="26" t="inlineStr">
        <is>
          <t>P газа после        КРД 730/2</t>
        </is>
      </c>
      <c r="I6" s="8" t="inlineStr">
        <is>
          <t>ГПА 61 БПТГ</t>
        </is>
      </c>
      <c r="J6" s="15" t="inlineStr">
        <is>
          <t>АСУ,А и ТМ (КЦ № 6)</t>
        </is>
      </c>
      <c r="K6" s="15" t="n">
        <v>2012</v>
      </c>
      <c r="L6" s="15" t="n">
        <v>12</v>
      </c>
      <c r="M6" s="3" t="inlineStr">
        <is>
          <t>1К26</t>
        </is>
      </c>
      <c r="N6" s="70" t="inlineStr">
        <is>
          <t>К</t>
        </is>
      </c>
    </row>
    <row r="7">
      <c r="A7" s="15">
        <f>IF(B7&lt;&gt;"", COUNTA($B$2:B7), "")</f>
        <v/>
      </c>
      <c r="B7" s="280" t="inlineStr">
        <is>
          <t>Манометр технический</t>
        </is>
      </c>
      <c r="C7" s="10" t="inlineStr">
        <is>
          <t>МП4-УУ2</t>
        </is>
      </c>
      <c r="D7" s="11" t="inlineStr">
        <is>
          <t>15180</t>
        </is>
      </c>
      <c r="E7" s="10" t="n">
        <v>2010</v>
      </c>
      <c r="F7" s="10" t="inlineStr">
        <is>
          <t>0…160 кгс/см2</t>
        </is>
      </c>
      <c r="G7" s="10" t="n">
        <v>1.5</v>
      </c>
      <c r="H7" s="26" t="inlineStr">
        <is>
          <t>P газа на выходе ЭПГ 700/2</t>
        </is>
      </c>
      <c r="I7" s="8" t="inlineStr">
        <is>
          <t>ГПА 61 БПТГ</t>
        </is>
      </c>
      <c r="J7" s="15" t="inlineStr">
        <is>
          <t>АСУ,А и ТМ (КЦ № 6)</t>
        </is>
      </c>
      <c r="K7" s="15" t="n">
        <v>2012</v>
      </c>
      <c r="L7" s="15" t="n">
        <v>12</v>
      </c>
      <c r="M7" s="3" t="inlineStr">
        <is>
          <t>1К26</t>
        </is>
      </c>
      <c r="N7" s="70" t="inlineStr">
        <is>
          <t>К</t>
        </is>
      </c>
    </row>
    <row r="8" ht="22.5" customHeight="1" s="151">
      <c r="A8" s="15">
        <f>IF(B8&lt;&gt;"", COUNTA($B$2:B8), "")</f>
        <v/>
      </c>
      <c r="B8" s="14" t="inlineStr">
        <is>
          <t>Термометр биметаллический</t>
        </is>
      </c>
      <c r="C8" s="10" t="inlineStr">
        <is>
          <t>ТБ-2</t>
        </is>
      </c>
      <c r="D8" s="10" t="n">
        <v>7557</v>
      </c>
      <c r="E8" s="14" t="n">
        <v>2010</v>
      </c>
      <c r="F8" s="10" t="inlineStr">
        <is>
          <t>0…100 °С</t>
        </is>
      </c>
      <c r="G8" s="10" t="n">
        <v>1.5</v>
      </c>
      <c r="H8" s="26" t="inlineStr">
        <is>
          <t>Тг на выходе ЭПГ 700/1</t>
        </is>
      </c>
      <c r="I8" s="8" t="inlineStr">
        <is>
          <t>ГПА 61 БПТГ</t>
        </is>
      </c>
      <c r="J8" s="15" t="inlineStr">
        <is>
          <t>АСУ,А и ТМ (КЦ № 6)</t>
        </is>
      </c>
      <c r="K8" s="15" t="n">
        <v>2012</v>
      </c>
      <c r="L8" s="15" t="n">
        <v>24</v>
      </c>
      <c r="M8" s="3" t="inlineStr">
        <is>
          <t>2К26</t>
        </is>
      </c>
      <c r="N8" s="70" t="inlineStr">
        <is>
          <t>К</t>
        </is>
      </c>
    </row>
    <row r="9" ht="18" customHeight="1" s="151">
      <c r="A9" s="15">
        <f>IF(B9&lt;&gt;"", COUNTA($B$2:B9), "")</f>
        <v/>
      </c>
      <c r="B9" s="14" t="inlineStr">
        <is>
          <t>Термометр биметаллический</t>
        </is>
      </c>
      <c r="C9" s="10" t="inlineStr">
        <is>
          <t>ТБ-2</t>
        </is>
      </c>
      <c r="D9" s="10" t="n">
        <v>7563</v>
      </c>
      <c r="E9" s="14" t="n">
        <v>2005</v>
      </c>
      <c r="F9" s="10" t="inlineStr">
        <is>
          <t>0…100 °С</t>
        </is>
      </c>
      <c r="G9" s="10" t="n">
        <v>1.5</v>
      </c>
      <c r="H9" s="26" t="inlineStr">
        <is>
          <t>Тг на выходе ЭПГ 700/2</t>
        </is>
      </c>
      <c r="I9" s="8" t="inlineStr">
        <is>
          <t>ГПА 61 БПТГ</t>
        </is>
      </c>
      <c r="J9" s="15" t="inlineStr">
        <is>
          <t>АСУ,А и ТМ (КЦ № 6)</t>
        </is>
      </c>
      <c r="K9" s="15" t="n">
        <v>2012</v>
      </c>
      <c r="L9" s="15" t="n">
        <v>24</v>
      </c>
      <c r="M9" s="3" t="inlineStr">
        <is>
          <t>2К26</t>
        </is>
      </c>
      <c r="N9" s="70" t="inlineStr">
        <is>
          <t>К</t>
        </is>
      </c>
    </row>
    <row r="10" ht="16.5" customHeight="1" s="151">
      <c r="A10" s="15">
        <f>IF(B10&lt;&gt;"", COUNTA($B$2:B10), "")</f>
        <v/>
      </c>
      <c r="B10" s="15" t="inlineStr">
        <is>
          <t>Уровнемер</t>
        </is>
      </c>
      <c r="C10" s="14" t="inlineStr">
        <is>
          <t xml:space="preserve">KROHNE BM-26A/C/RR </t>
        </is>
      </c>
      <c r="D10" s="14" t="inlineStr">
        <is>
          <t>447006647.20.04</t>
        </is>
      </c>
      <c r="E10" s="15" t="n">
        <v>2011</v>
      </c>
      <c r="F10" s="14" t="inlineStr">
        <is>
          <t>0…100 %</t>
        </is>
      </c>
      <c r="G10" s="14" t="inlineStr">
        <is>
          <t>±10 мм</t>
        </is>
      </c>
      <c r="H10" s="14" t="inlineStr">
        <is>
          <t xml:space="preserve">Уровень жидкости в сепараторе С701 </t>
        </is>
      </c>
      <c r="I10" s="8" t="inlineStr">
        <is>
          <t>ГПА 61 БПТГ</t>
        </is>
      </c>
      <c r="J10" s="15" t="inlineStr">
        <is>
          <t>АСУ,А и ТМ (КЦ № 6)</t>
        </is>
      </c>
      <c r="K10" s="15" t="n">
        <v>2012</v>
      </c>
      <c r="L10" s="14" t="n">
        <v>48</v>
      </c>
      <c r="M10" s="3" t="n"/>
      <c r="N10" s="70" t="n"/>
    </row>
    <row r="11" ht="27" customHeight="1" s="151">
      <c r="A11" s="15">
        <f>IF(B11&lt;&gt;"", COUNTA($B$2:B11), "")</f>
        <v/>
      </c>
      <c r="B11" s="73" t="inlineStr">
        <is>
          <t>Преобразователь избыточного давления</t>
        </is>
      </c>
      <c r="C11" s="14" t="inlineStr">
        <is>
          <t>Honeywell STG-97L</t>
        </is>
      </c>
      <c r="D11" s="14" t="inlineStr">
        <is>
          <t>11W03 C3287149003052</t>
        </is>
      </c>
      <c r="E11" s="15" t="n">
        <v>2011</v>
      </c>
      <c r="F11" s="14" t="inlineStr">
        <is>
          <t xml:space="preserve">0…10 MПa </t>
        </is>
      </c>
      <c r="G11" s="14" t="n">
        <v>0.075</v>
      </c>
      <c r="H11" s="14" t="inlineStr">
        <is>
          <t>Давление газа перед С701 (на входе в блок БПТГ)</t>
        </is>
      </c>
      <c r="I11" s="8" t="inlineStr">
        <is>
          <t>ГПА 61 БПТГ</t>
        </is>
      </c>
      <c r="J11" s="15" t="inlineStr">
        <is>
          <t>АСУ,А и ТМ (КЦ № 6)</t>
        </is>
      </c>
      <c r="K11" s="15" t="n">
        <v>2012</v>
      </c>
      <c r="L11" s="14" t="n">
        <v>36</v>
      </c>
      <c r="M11" s="3" t="n"/>
      <c r="N11" s="70" t="n"/>
    </row>
    <row r="12" ht="26.25" customHeight="1" s="151">
      <c r="A12" s="15">
        <f>IF(B12&lt;&gt;"", COUNTA($B$2:B12), "")</f>
        <v/>
      </c>
      <c r="B12" s="73" t="inlineStr">
        <is>
          <t>Преобразователь избыточного давления</t>
        </is>
      </c>
      <c r="C12" s="14" t="inlineStr">
        <is>
          <t>Honeywell STG-97L</t>
        </is>
      </c>
      <c r="D12" s="14" t="inlineStr">
        <is>
          <t>11W03 C3287149003003</t>
        </is>
      </c>
      <c r="E12" s="15" t="n">
        <v>2011</v>
      </c>
      <c r="F12" s="14" t="inlineStr">
        <is>
          <t xml:space="preserve">0…10 MПa </t>
        </is>
      </c>
      <c r="G12" s="14" t="n">
        <v>0.075</v>
      </c>
      <c r="H12" s="14" t="inlineStr">
        <is>
          <t>Давление газа на выходе блока БПТГ перед КШ12</t>
        </is>
      </c>
      <c r="I12" s="8" t="inlineStr">
        <is>
          <t>ГПА 61 БПТГ</t>
        </is>
      </c>
      <c r="J12" s="15" t="inlineStr">
        <is>
          <t>АСУ,А и ТМ (КЦ № 6)</t>
        </is>
      </c>
      <c r="K12" s="15" t="n">
        <v>2012</v>
      </c>
      <c r="L12" s="14" t="n">
        <v>36</v>
      </c>
      <c r="M12" s="3" t="n"/>
      <c r="N12" s="70" t="n"/>
    </row>
    <row r="13">
      <c r="A13" s="15">
        <f>IF(B13&lt;&gt;"", COUNTA($B$2:B13), "")</f>
        <v/>
      </c>
      <c r="B13" s="16" t="inlineStr">
        <is>
          <t>Термометр сопротивления</t>
        </is>
      </c>
      <c r="C13" s="17" t="inlineStr">
        <is>
          <t>ТСП 012.60 Pt100/В/3</t>
        </is>
      </c>
      <c r="D13" s="17" t="inlineStr">
        <is>
          <t>363</t>
        </is>
      </c>
      <c r="E13" s="15" t="n">
        <v>2011</v>
      </c>
      <c r="F13" s="17" t="inlineStr">
        <is>
          <t>-60…200 °С</t>
        </is>
      </c>
      <c r="G13" s="17" t="inlineStr">
        <is>
          <t>B</t>
        </is>
      </c>
      <c r="H13" s="17" t="inlineStr">
        <is>
          <t>Температура газа перед С701</t>
        </is>
      </c>
      <c r="I13" s="8" t="inlineStr">
        <is>
          <t>ГПА 61 БПТГ</t>
        </is>
      </c>
      <c r="J13" s="15" t="inlineStr">
        <is>
          <t>АСУ,А и ТМ (КЦ № 6)</t>
        </is>
      </c>
      <c r="K13" s="15" t="n"/>
      <c r="L13" s="26" t="n"/>
      <c r="M13" s="3" t="n"/>
      <c r="N13" s="70" t="n"/>
    </row>
    <row r="14" ht="22.5" customHeight="1" s="151">
      <c r="A14" s="15">
        <f>IF(B14&lt;&gt;"", COUNTA($B$2:B14), "")</f>
        <v/>
      </c>
      <c r="B14" s="16" t="inlineStr">
        <is>
          <t>Термометр сопротивления</t>
        </is>
      </c>
      <c r="C14" s="17" t="inlineStr">
        <is>
          <t>ТСП 012.60 Pt100/В/3</t>
        </is>
      </c>
      <c r="D14" s="17" t="inlineStr">
        <is>
          <t>383</t>
        </is>
      </c>
      <c r="E14" s="15" t="n">
        <v>2011</v>
      </c>
      <c r="F14" s="17" t="inlineStr">
        <is>
          <t>-60…200 °С</t>
        </is>
      </c>
      <c r="G14" s="17" t="inlineStr">
        <is>
          <t>B</t>
        </is>
      </c>
      <c r="H14" s="17" t="inlineStr">
        <is>
          <t>Температура антифриза в подогревателе ЭПГ700/2</t>
        </is>
      </c>
      <c r="I14" s="8" t="inlineStr">
        <is>
          <t>ГПА 61 БПТГ</t>
        </is>
      </c>
      <c r="J14" s="15" t="inlineStr">
        <is>
          <t>АСУ,А и ТМ (КЦ № 6)</t>
        </is>
      </c>
      <c r="K14" s="15" t="n">
        <v>2012</v>
      </c>
      <c r="L14" s="14" t="n">
        <v>36</v>
      </c>
      <c r="M14" s="3" t="n"/>
      <c r="N14" s="70" t="n"/>
    </row>
    <row r="15">
      <c r="A15" s="15">
        <f>IF(B15&lt;&gt;"", COUNTA($B$2:B15), "")</f>
        <v/>
      </c>
      <c r="B15" s="16" t="inlineStr">
        <is>
          <t>Термометр сопротивления</t>
        </is>
      </c>
      <c r="C15" s="17" t="inlineStr">
        <is>
          <t>ТСП 012.60 Pt100/В/3</t>
        </is>
      </c>
      <c r="D15" s="17" t="inlineStr">
        <is>
          <t>357</t>
        </is>
      </c>
      <c r="E15" s="15" t="n">
        <v>2011</v>
      </c>
      <c r="F15" s="17" t="inlineStr">
        <is>
          <t>-60…200 °С</t>
        </is>
      </c>
      <c r="G15" s="17" t="inlineStr">
        <is>
          <t>B</t>
        </is>
      </c>
      <c r="H15" s="17" t="inlineStr">
        <is>
          <t>Температура газа после ЭПГ700/2</t>
        </is>
      </c>
      <c r="I15" s="8" t="inlineStr">
        <is>
          <t>ГПА 61 БПТГ</t>
        </is>
      </c>
      <c r="J15" s="15" t="inlineStr">
        <is>
          <t>АСУ,А и ТМ (КЦ № 6)</t>
        </is>
      </c>
      <c r="K15" s="15" t="n">
        <v>2012</v>
      </c>
      <c r="L15" s="14" t="n">
        <v>36</v>
      </c>
      <c r="M15" s="3" t="n"/>
      <c r="N15" s="70" t="n"/>
    </row>
    <row r="16" ht="22.5" customHeight="1" s="151">
      <c r="A16" s="15">
        <f>IF(B16&lt;&gt;"", COUNTA($B$2:B16), "")</f>
        <v/>
      </c>
      <c r="B16" s="16" t="inlineStr">
        <is>
          <t>Термометр сопротивления</t>
        </is>
      </c>
      <c r="C16" s="17" t="inlineStr">
        <is>
          <t>ТСП 012.60 Pt100/В/3</t>
        </is>
      </c>
      <c r="D16" s="17" t="inlineStr">
        <is>
          <t>384</t>
        </is>
      </c>
      <c r="E16" s="15" t="n">
        <v>2011</v>
      </c>
      <c r="F16" s="17" t="inlineStr">
        <is>
          <t>-60…200 °С</t>
        </is>
      </c>
      <c r="G16" s="17" t="inlineStr">
        <is>
          <t>B</t>
        </is>
      </c>
      <c r="H16" s="17" t="inlineStr">
        <is>
          <t>Температура антифриза в подогревателе ЭПГ700/1</t>
        </is>
      </c>
      <c r="I16" s="8" t="inlineStr">
        <is>
          <t>ГПА 61 БПТГ</t>
        </is>
      </c>
      <c r="J16" s="15" t="inlineStr">
        <is>
          <t>АСУ,А и ТМ (КЦ № 6)</t>
        </is>
      </c>
      <c r="K16" s="15" t="n">
        <v>2012</v>
      </c>
      <c r="L16" s="14" t="n">
        <v>36</v>
      </c>
      <c r="M16" s="3" t="n"/>
      <c r="N16" s="70" t="n"/>
    </row>
    <row r="17">
      <c r="A17" s="15">
        <f>IF(B17&lt;&gt;"", COUNTA($B$2:B17), "")</f>
        <v/>
      </c>
      <c r="B17" s="16" t="inlineStr">
        <is>
          <t>Термометр сопротивления</t>
        </is>
      </c>
      <c r="C17" s="17" t="inlineStr">
        <is>
          <t>ТСП 012.60 Pt100/В/3</t>
        </is>
      </c>
      <c r="D17" s="17" t="inlineStr">
        <is>
          <t>447</t>
        </is>
      </c>
      <c r="E17" s="15" t="n">
        <v>2011</v>
      </c>
      <c r="F17" s="17" t="inlineStr">
        <is>
          <t>-60…200 °С</t>
        </is>
      </c>
      <c r="G17" s="17" t="inlineStr">
        <is>
          <t>B</t>
        </is>
      </c>
      <c r="H17" s="17" t="inlineStr">
        <is>
          <t>Температура газа после ЭПГ700/1</t>
        </is>
      </c>
      <c r="I17" s="8" t="inlineStr">
        <is>
          <t>ГПА 61 БПТГ</t>
        </is>
      </c>
      <c r="J17" s="15" t="inlineStr">
        <is>
          <t>АСУ,А и ТМ (КЦ № 6)</t>
        </is>
      </c>
      <c r="K17" s="15" t="n">
        <v>2012</v>
      </c>
      <c r="L17" s="14" t="n">
        <v>36</v>
      </c>
      <c r="M17" s="3" t="n"/>
      <c r="N17" s="70" t="n"/>
    </row>
    <row r="18" ht="22.5" customHeight="1" s="151">
      <c r="A18" s="15">
        <f>IF(B18&lt;&gt;"", COUNTA($B$2:B18), "")</f>
        <v/>
      </c>
      <c r="B18" s="16" t="inlineStr">
        <is>
          <t>Термометр сопротивления</t>
        </is>
      </c>
      <c r="C18" s="17" t="inlineStr">
        <is>
          <t>ТСП 012.60 Pt100/В/3</t>
        </is>
      </c>
      <c r="D18" s="17" t="inlineStr">
        <is>
          <t>373</t>
        </is>
      </c>
      <c r="E18" s="15" t="n">
        <v>2011</v>
      </c>
      <c r="F18" s="17" t="inlineStr">
        <is>
          <t>-60…200 °С</t>
        </is>
      </c>
      <c r="G18" s="17" t="inlineStr">
        <is>
          <t>B</t>
        </is>
      </c>
      <c r="H18" s="16" t="inlineStr">
        <is>
          <t>Температура воздуха в контейнере блока БПТГ т.1</t>
        </is>
      </c>
      <c r="I18" s="8" t="inlineStr">
        <is>
          <t>ГПА 61 БПТГ</t>
        </is>
      </c>
      <c r="J18" s="15" t="inlineStr">
        <is>
          <t>АСУ,А и ТМ (КЦ № 6)</t>
        </is>
      </c>
      <c r="K18" s="15" t="n">
        <v>2012</v>
      </c>
      <c r="L18" s="14" t="n">
        <v>36</v>
      </c>
      <c r="M18" s="3" t="n"/>
      <c r="N18" s="70" t="n"/>
    </row>
    <row r="19" ht="22.5" customHeight="1" s="151">
      <c r="A19" s="15">
        <f>IF(B19&lt;&gt;"", COUNTA($B$2:B19), "")</f>
        <v/>
      </c>
      <c r="B19" s="16" t="inlineStr">
        <is>
          <t>Термометр сопротивления</t>
        </is>
      </c>
      <c r="C19" s="17" t="inlineStr">
        <is>
          <t>ТСП 012.60 Pt100/В/3</t>
        </is>
      </c>
      <c r="D19" s="17" t="inlineStr">
        <is>
          <t>381</t>
        </is>
      </c>
      <c r="E19" s="15" t="n">
        <v>2011</v>
      </c>
      <c r="F19" s="17" t="inlineStr">
        <is>
          <t>-60…200 °С</t>
        </is>
      </c>
      <c r="G19" s="17" t="inlineStr">
        <is>
          <t>B</t>
        </is>
      </c>
      <c r="H19" s="16" t="inlineStr">
        <is>
          <t>Температура воздуха в контейнере блока БПТГ т.2</t>
        </is>
      </c>
      <c r="I19" s="8" t="inlineStr">
        <is>
          <t>ГПА 61 БПТГ</t>
        </is>
      </c>
      <c r="J19" s="15" t="inlineStr">
        <is>
          <t>АСУ,А и ТМ (КЦ № 6)</t>
        </is>
      </c>
      <c r="K19" s="15" t="n">
        <v>2012</v>
      </c>
      <c r="L19" s="14" t="n">
        <v>36</v>
      </c>
      <c r="M19" s="3" t="n"/>
      <c r="N19" s="70" t="n"/>
    </row>
    <row r="20">
      <c r="A20" s="15">
        <f>IF(B20&lt;&gt;"", COUNTA($B$2:B20), "")</f>
        <v/>
      </c>
      <c r="B20" s="16" t="inlineStr">
        <is>
          <t>Термометр сопротивления</t>
        </is>
      </c>
      <c r="C20" s="17" t="inlineStr">
        <is>
          <t>ТСП 012.60 Pt100/В/3</t>
        </is>
      </c>
      <c r="D20" s="17" t="inlineStr">
        <is>
          <t>371</t>
        </is>
      </c>
      <c r="E20" s="15" t="n">
        <v>2011</v>
      </c>
      <c r="F20" s="17" t="inlineStr">
        <is>
          <t>-60…200 °С</t>
        </is>
      </c>
      <c r="G20" s="17" t="inlineStr">
        <is>
          <t>B</t>
        </is>
      </c>
      <c r="H20" s="17" t="inlineStr">
        <is>
          <t>Температура масла EK225</t>
        </is>
      </c>
      <c r="I20" s="8" t="inlineStr">
        <is>
          <t>ГПА 61 БПТГ</t>
        </is>
      </c>
      <c r="J20" s="15" t="inlineStr">
        <is>
          <t>АСУ,А и ТМ (КЦ № 6)</t>
        </is>
      </c>
      <c r="K20" s="15" t="n">
        <v>2012</v>
      </c>
      <c r="L20" s="14" t="n">
        <v>36</v>
      </c>
      <c r="M20" s="3" t="n"/>
      <c r="N20" s="70" t="n"/>
    </row>
    <row r="21">
      <c r="A21" s="15">
        <f>IF(B21&lt;&gt;"", COUNTA($B$2:B21), "")</f>
        <v/>
      </c>
      <c r="B21" s="16" t="inlineStr">
        <is>
          <t>Термометр сопротивления</t>
        </is>
      </c>
      <c r="C21" s="17" t="inlineStr">
        <is>
          <t>ТСП 012.60 Pt100/В/3</t>
        </is>
      </c>
      <c r="D21" s="17" t="inlineStr">
        <is>
          <t>370</t>
        </is>
      </c>
      <c r="E21" s="15" t="n">
        <v>2011</v>
      </c>
      <c r="F21" s="17" t="inlineStr">
        <is>
          <t>-60…200 °С</t>
        </is>
      </c>
      <c r="G21" s="17" t="inlineStr">
        <is>
          <t>B</t>
        </is>
      </c>
      <c r="H21" s="17" t="inlineStr">
        <is>
          <t>Температура масла EK226</t>
        </is>
      </c>
      <c r="I21" s="8" t="inlineStr">
        <is>
          <t>ГПА 61 БПТГ</t>
        </is>
      </c>
      <c r="J21" s="15" t="inlineStr">
        <is>
          <t>АСУ,А и ТМ (КЦ № 6)</t>
        </is>
      </c>
      <c r="K21" s="15" t="n">
        <v>2012</v>
      </c>
      <c r="L21" s="14" t="n">
        <v>36</v>
      </c>
      <c r="M21" s="3" t="n"/>
      <c r="N21" s="70" t="n"/>
    </row>
    <row r="22">
      <c r="A22" s="15">
        <f>IF(B22&lt;&gt;"", COUNTA($B$2:B22), "")</f>
        <v/>
      </c>
      <c r="B22" s="16" t="inlineStr">
        <is>
          <t>Датчик уровня</t>
        </is>
      </c>
      <c r="C22" s="17" t="inlineStr">
        <is>
          <t>KROHNE Optiswitch 5200C</t>
        </is>
      </c>
      <c r="D22" s="3" t="inlineStr">
        <is>
          <t>20408759</t>
        </is>
      </c>
      <c r="E22" s="15" t="n">
        <v>2011</v>
      </c>
      <c r="F22" s="17" t="inlineStr">
        <is>
          <t>0…400 мм</t>
        </is>
      </c>
      <c r="G22" s="17" t="n"/>
      <c r="H22" s="3" t="inlineStr">
        <is>
          <t>Уровень антифриза в ЭПГ 700/1</t>
        </is>
      </c>
      <c r="I22" s="8" t="inlineStr">
        <is>
          <t>ГПА 61 БПТГ</t>
        </is>
      </c>
      <c r="J22" s="15" t="inlineStr">
        <is>
          <t>АСУ,А и ТМ (КЦ № 6)</t>
        </is>
      </c>
      <c r="K22" s="15" t="n"/>
      <c r="L22" s="14" t="n"/>
      <c r="M22" s="3" t="n"/>
      <c r="N22" s="70" t="n"/>
    </row>
    <row r="23">
      <c r="A23" s="15">
        <f>IF(B23&lt;&gt;"", COUNTA($B$2:B23), "")</f>
        <v/>
      </c>
      <c r="B23" s="16" t="inlineStr">
        <is>
          <t>Датчик уровня</t>
        </is>
      </c>
      <c r="C23" s="17" t="inlineStr">
        <is>
          <t>KROHNE Optiswitch 5200C</t>
        </is>
      </c>
      <c r="D23" s="3" t="inlineStr">
        <is>
          <t>20408763</t>
        </is>
      </c>
      <c r="E23" s="15" t="n">
        <v>2011</v>
      </c>
      <c r="F23" s="17" t="inlineStr">
        <is>
          <t>0…400 мм</t>
        </is>
      </c>
      <c r="G23" s="17" t="n"/>
      <c r="H23" s="3" t="inlineStr">
        <is>
          <t>Уровень антифриза в ЭПГ 700/2</t>
        </is>
      </c>
      <c r="I23" s="8" t="inlineStr">
        <is>
          <t>ГПА 61 БПТГ</t>
        </is>
      </c>
      <c r="J23" s="15" t="inlineStr">
        <is>
          <t>АСУ,А и ТМ (КЦ № 6)</t>
        </is>
      </c>
      <c r="K23" s="15" t="n"/>
      <c r="L23" s="14" t="n"/>
      <c r="M23" s="3" t="n"/>
      <c r="N23" s="70" t="n"/>
    </row>
    <row r="24">
      <c r="A24" s="15">
        <f>IF(B24&lt;&gt;"", COUNTA($B$2:B24), "")</f>
        <v/>
      </c>
      <c r="B24" s="280" t="inlineStr">
        <is>
          <t>Контроль загазованности</t>
        </is>
      </c>
      <c r="C24" s="10" t="inlineStr">
        <is>
          <t>Det-Tronics (PIRECL 21M)</t>
        </is>
      </c>
      <c r="D24" s="10" t="n">
        <v>1105076</v>
      </c>
      <c r="E24" s="15" t="n">
        <v>2011</v>
      </c>
      <c r="F24" s="33" t="n"/>
      <c r="G24" s="33" t="n"/>
      <c r="H24" s="15" t="inlineStr">
        <is>
          <t xml:space="preserve">ЭП 700/2 (QT 502) </t>
        </is>
      </c>
      <c r="I24" s="15" t="inlineStr">
        <is>
          <t>ГПА 61 БПТГ</t>
        </is>
      </c>
      <c r="J24" s="15" t="inlineStr">
        <is>
          <t>АСУ,А и ТМ (КЦ № 6)</t>
        </is>
      </c>
      <c r="K24" s="15" t="n">
        <v>2012</v>
      </c>
      <c r="L24" s="14" t="n"/>
      <c r="M24" s="3" t="n"/>
      <c r="N24" s="33" t="n"/>
    </row>
    <row r="25" customFormat="1" s="63">
      <c r="A25" s="242">
        <f>IF(B25&lt;&gt;"", COUNTA($B$2:B25), "")</f>
        <v/>
      </c>
      <c r="B25" s="23" t="inlineStr">
        <is>
          <t>Контроль загазованности</t>
        </is>
      </c>
      <c r="C25" s="24" t="inlineStr">
        <is>
          <t>ОГС-ПГП/М-СН4-А</t>
        </is>
      </c>
      <c r="D25" s="24" t="n">
        <v>24102</v>
      </c>
      <c r="E25" s="242" t="n">
        <v>2023</v>
      </c>
      <c r="F25" s="243" t="n"/>
      <c r="G25" s="243" t="n"/>
      <c r="H25" s="242" t="inlineStr">
        <is>
          <t xml:space="preserve">ЭП 700/1 (QT 501) </t>
        </is>
      </c>
      <c r="I25" s="242" t="inlineStr">
        <is>
          <t>ГПА 61 БПТГ</t>
        </is>
      </c>
      <c r="J25" s="242" t="inlineStr">
        <is>
          <t>АСУ,А и ТМ (КЦ № 6)</t>
        </is>
      </c>
      <c r="K25" s="242" t="n">
        <v>2012</v>
      </c>
      <c r="L25" s="146" t="n"/>
      <c r="M25" s="22" t="n"/>
      <c r="N25" s="243" t="n"/>
    </row>
    <row r="26">
      <c r="A26" s="15">
        <f>IF(B26&lt;&gt;"", COUNTA($B$2:B26), "")</f>
        <v/>
      </c>
      <c r="B26" s="280" t="inlineStr">
        <is>
          <t>Датчик пламени</t>
        </is>
      </c>
      <c r="C26" s="10" t="inlineStr">
        <is>
          <t>ИП330/3-20-А1</t>
        </is>
      </c>
      <c r="D26" s="11" t="inlineStr">
        <is>
          <t>000984</t>
        </is>
      </c>
      <c r="E26" s="15" t="n"/>
      <c r="F26" s="33" t="n"/>
      <c r="G26" s="33" t="n"/>
      <c r="H26" s="26" t="inlineStr">
        <is>
          <t>(BTF501)</t>
        </is>
      </c>
      <c r="I26" s="15" t="inlineStr">
        <is>
          <t>ГПА 61 БПТГ</t>
        </is>
      </c>
      <c r="J26" s="15" t="inlineStr">
        <is>
          <t>АСУ,А и ТМ (КЦ № 6)</t>
        </is>
      </c>
      <c r="K26" s="15" t="n">
        <v>2012</v>
      </c>
      <c r="L26" s="33" t="n"/>
      <c r="M26" s="33" t="n"/>
      <c r="N26" s="33" t="n"/>
    </row>
    <row r="27">
      <c r="A27" s="15">
        <f>IF(B27&lt;&gt;"", COUNTA($B$2:B27), "")</f>
        <v/>
      </c>
      <c r="B27" s="280" t="inlineStr">
        <is>
          <t>Датчик пламени</t>
        </is>
      </c>
      <c r="C27" s="10" t="inlineStr">
        <is>
          <t>ИП330/3-20-А1</t>
        </is>
      </c>
      <c r="D27" s="11" t="inlineStr">
        <is>
          <t>001000</t>
        </is>
      </c>
      <c r="E27" s="15" t="n"/>
      <c r="F27" s="33" t="n"/>
      <c r="G27" s="33" t="n"/>
      <c r="H27" s="26" t="inlineStr">
        <is>
          <t>(BTF502)</t>
        </is>
      </c>
      <c r="I27" s="15" t="inlineStr">
        <is>
          <t>ГПА 61 БПТГ</t>
        </is>
      </c>
      <c r="J27" s="15" t="inlineStr">
        <is>
          <t>АСУ,А и ТМ (КЦ № 6)</t>
        </is>
      </c>
      <c r="K27" s="15" t="n">
        <v>2012</v>
      </c>
      <c r="L27" s="33" t="n"/>
      <c r="M27" s="33" t="n"/>
      <c r="N27" s="33" t="n"/>
    </row>
    <row r="28">
      <c r="A28" s="15">
        <f>IF(B28&lt;&gt;"", COUNTA($B$2:B28), "")</f>
        <v/>
      </c>
      <c r="B28" s="280" t="inlineStr">
        <is>
          <t>Датчик пламени</t>
        </is>
      </c>
      <c r="C28" s="10" t="inlineStr">
        <is>
          <t>ИП330/3-20-А1</t>
        </is>
      </c>
      <c r="D28" s="11" t="inlineStr">
        <is>
          <t>001016</t>
        </is>
      </c>
      <c r="E28" s="15" t="n"/>
      <c r="F28" s="33" t="n"/>
      <c r="G28" s="33" t="n"/>
      <c r="H28" s="26" t="inlineStr">
        <is>
          <t>(BTF503)</t>
        </is>
      </c>
      <c r="I28" s="15" t="inlineStr">
        <is>
          <t>ГПА 61 БПТГ</t>
        </is>
      </c>
      <c r="J28" s="15" t="inlineStr">
        <is>
          <t>АСУ,А и ТМ (КЦ № 6)</t>
        </is>
      </c>
      <c r="K28" s="15" t="n">
        <v>2012</v>
      </c>
      <c r="L28" s="33" t="n"/>
      <c r="M28" s="33" t="n"/>
      <c r="N28" s="33" t="n"/>
    </row>
    <row r="29">
      <c r="A29" s="15">
        <f>IF(B29&lt;&gt;"", COUNTA($B$2:B29), "")</f>
        <v/>
      </c>
      <c r="B29" s="280" t="inlineStr">
        <is>
          <t>Датчик пламени</t>
        </is>
      </c>
      <c r="C29" s="10" t="inlineStr">
        <is>
          <t>ИП330/3-20-А1</t>
        </is>
      </c>
      <c r="D29" s="11" t="inlineStr">
        <is>
          <t>000999</t>
        </is>
      </c>
      <c r="E29" s="15" t="n"/>
      <c r="F29" s="33" t="n"/>
      <c r="G29" s="33" t="n"/>
      <c r="H29" s="26" t="inlineStr">
        <is>
          <t>(BTF504)</t>
        </is>
      </c>
      <c r="I29" s="15" t="inlineStr">
        <is>
          <t>ГПА 61 БПТГ</t>
        </is>
      </c>
      <c r="J29" s="15" t="inlineStr">
        <is>
          <t>АСУ,А и ТМ (КЦ № 6)</t>
        </is>
      </c>
      <c r="K29" s="15" t="n">
        <v>2012</v>
      </c>
      <c r="L29" s="33" t="n"/>
      <c r="M29" s="33" t="n"/>
      <c r="N29" s="33" t="n"/>
    </row>
    <row r="30">
      <c r="A30" s="15">
        <f>IF(B30&lt;&gt;"", COUNTA($B$2:B30), "")</f>
        <v/>
      </c>
      <c r="B30" s="16" t="inlineStr">
        <is>
          <t>Термометр сопротивления</t>
        </is>
      </c>
      <c r="C30" s="14" t="inlineStr">
        <is>
          <t>ТСПУ-Л  22322 УХЛ3.1</t>
        </is>
      </c>
      <c r="D30" s="14" t="n">
        <v>18</v>
      </c>
      <c r="E30" s="15" t="n">
        <v>2011</v>
      </c>
      <c r="F30" s="17" t="inlineStr">
        <is>
          <t>-60…100 °С</t>
        </is>
      </c>
      <c r="G30" s="14" t="inlineStr">
        <is>
          <t>±0,5 %</t>
        </is>
      </c>
      <c r="H30" s="15" t="inlineStr">
        <is>
          <t>Т нагретого воздуха</t>
        </is>
      </c>
      <c r="I30" s="15" t="inlineStr">
        <is>
          <t>ГПА 61 АВГМ</t>
        </is>
      </c>
      <c r="J30" s="15" t="inlineStr">
        <is>
          <t>АСУ,А и ТМ (КЦ № 6)</t>
        </is>
      </c>
      <c r="K30" s="15" t="n">
        <v>2012</v>
      </c>
      <c r="L30" s="14" t="n">
        <v>24</v>
      </c>
      <c r="M30" s="3" t="n"/>
      <c r="N30" s="70" t="n"/>
    </row>
    <row r="31">
      <c r="A31" s="15">
        <f>IF(B31&lt;&gt;"", COUNTA($B$2:B31), "")</f>
        <v/>
      </c>
      <c r="B31" s="16" t="inlineStr">
        <is>
          <t>Термометр сопротивления</t>
        </is>
      </c>
      <c r="C31" s="14" t="inlineStr">
        <is>
          <t>ТСПУ-Л  22322 УХЛ3.1</t>
        </is>
      </c>
      <c r="D31" s="14" t="n">
        <v>7</v>
      </c>
      <c r="E31" s="15" t="n">
        <v>2011</v>
      </c>
      <c r="F31" s="17" t="inlineStr">
        <is>
          <t>-60…100 °С</t>
        </is>
      </c>
      <c r="G31" s="14" t="inlineStr">
        <is>
          <t>±0,5 %</t>
        </is>
      </c>
      <c r="H31" s="15" t="inlineStr">
        <is>
          <t>Тг на газовом счетчике</t>
        </is>
      </c>
      <c r="I31" s="15" t="inlineStr">
        <is>
          <t>ГПА 61 АВГМ</t>
        </is>
      </c>
      <c r="J31" s="15" t="inlineStr">
        <is>
          <t>АСУ,А и ТМ (КЦ № 6)</t>
        </is>
      </c>
      <c r="K31" s="15" t="n">
        <v>2012</v>
      </c>
      <c r="L31" s="14" t="n">
        <v>24</v>
      </c>
      <c r="M31" s="3" t="n"/>
      <c r="N31" s="70" t="n"/>
    </row>
    <row r="32">
      <c r="A32" s="15">
        <f>IF(B32&lt;&gt;"", COUNTA($B$2:B32), "")</f>
        <v/>
      </c>
      <c r="B32" s="16" t="inlineStr">
        <is>
          <t>Термометр сопротивления</t>
        </is>
      </c>
      <c r="C32" s="14" t="inlineStr">
        <is>
          <t>ТСПУ-Л  22322 УХЛ3.1</t>
        </is>
      </c>
      <c r="D32" s="14" t="n">
        <v>31</v>
      </c>
      <c r="E32" s="15" t="n">
        <v>2011</v>
      </c>
      <c r="F32" s="17" t="inlineStr">
        <is>
          <t>-60…350 °С</t>
        </is>
      </c>
      <c r="G32" s="14" t="inlineStr">
        <is>
          <t>±0,5 %</t>
        </is>
      </c>
      <c r="H32" s="15" t="inlineStr">
        <is>
          <t>Т теплообменника 1</t>
        </is>
      </c>
      <c r="I32" s="15" t="inlineStr">
        <is>
          <t>ГПА 61 АВГМ</t>
        </is>
      </c>
      <c r="J32" s="15" t="inlineStr">
        <is>
          <t>АСУ,А и ТМ (КЦ № 6)</t>
        </is>
      </c>
      <c r="K32" s="15" t="n">
        <v>2012</v>
      </c>
      <c r="L32" s="14" t="n">
        <v>24</v>
      </c>
      <c r="M32" s="3" t="n"/>
      <c r="N32" s="70" t="n"/>
    </row>
    <row r="33">
      <c r="A33" s="15">
        <f>IF(B33&lt;&gt;"", COUNTA($B$2:B33), "")</f>
        <v/>
      </c>
      <c r="B33" s="16" t="inlineStr">
        <is>
          <t>Термометр сопротивления</t>
        </is>
      </c>
      <c r="C33" s="14" t="inlineStr">
        <is>
          <t>ТСПУ-Л  22322 УХЛ3.1</t>
        </is>
      </c>
      <c r="D33" s="14" t="n">
        <v>26</v>
      </c>
      <c r="E33" s="15" t="n">
        <v>2011</v>
      </c>
      <c r="F33" s="17" t="inlineStr">
        <is>
          <t>-60…350 °С</t>
        </is>
      </c>
      <c r="G33" s="14" t="inlineStr">
        <is>
          <t>±0,5 %</t>
        </is>
      </c>
      <c r="H33" s="15" t="inlineStr">
        <is>
          <t>Т теплообменника 2</t>
        </is>
      </c>
      <c r="I33" s="15" t="inlineStr">
        <is>
          <t>ГПА 61 АВГМ</t>
        </is>
      </c>
      <c r="J33" s="15" t="inlineStr">
        <is>
          <t>АСУ,А и ТМ (КЦ № 6)</t>
        </is>
      </c>
      <c r="K33" s="15" t="n">
        <v>2012</v>
      </c>
      <c r="L33" s="14" t="n">
        <v>24</v>
      </c>
      <c r="M33" s="3" t="n"/>
      <c r="N33" s="70" t="n"/>
    </row>
    <row r="34">
      <c r="A34" s="15">
        <f>IF(B34&lt;&gt;"", COUNTA($B$2:B34), "")</f>
        <v/>
      </c>
      <c r="B34" s="16" t="inlineStr">
        <is>
          <t>Термометр сопротивления</t>
        </is>
      </c>
      <c r="C34" s="14" t="inlineStr">
        <is>
          <t>ТСПУ-Л  22322 УХЛ3.1</t>
        </is>
      </c>
      <c r="D34" s="14" t="n">
        <v>9</v>
      </c>
      <c r="E34" s="15" t="n">
        <v>2011</v>
      </c>
      <c r="F34" s="17" t="inlineStr">
        <is>
          <t>-60…100 °С</t>
        </is>
      </c>
      <c r="G34" s="14" t="inlineStr">
        <is>
          <t>±0,5 %</t>
        </is>
      </c>
      <c r="H34" s="15" t="inlineStr">
        <is>
          <t>Тг на входе</t>
        </is>
      </c>
      <c r="I34" s="15" t="inlineStr">
        <is>
          <t>ГПА 61 АВГМ</t>
        </is>
      </c>
      <c r="J34" s="15" t="inlineStr">
        <is>
          <t>АСУ,А и ТМ (КЦ № 6)</t>
        </is>
      </c>
      <c r="K34" s="15" t="n">
        <v>2012</v>
      </c>
      <c r="L34" s="14" t="n">
        <v>24</v>
      </c>
      <c r="M34" s="3" t="n"/>
      <c r="N34" s="70" t="n"/>
    </row>
    <row r="35">
      <c r="A35" s="15">
        <f>IF(B35&lt;&gt;"", COUNTA($B$2:B35), "")</f>
        <v/>
      </c>
      <c r="B35" s="16" t="inlineStr">
        <is>
          <t>Термометр сопротивления</t>
        </is>
      </c>
      <c r="C35" s="14" t="inlineStr">
        <is>
          <t>ТСПУ-Л  22322 УХЛ3.1</t>
        </is>
      </c>
      <c r="D35" s="14" t="n">
        <v>1</v>
      </c>
      <c r="E35" s="15" t="n">
        <v>2011</v>
      </c>
      <c r="F35" s="17" t="inlineStr">
        <is>
          <t>-60…100 °С</t>
        </is>
      </c>
      <c r="G35" s="14" t="inlineStr">
        <is>
          <t>±0,5 %</t>
        </is>
      </c>
      <c r="H35" s="15" t="inlineStr">
        <is>
          <t>Тв в секции обслуживания</t>
        </is>
      </c>
      <c r="I35" s="15" t="inlineStr">
        <is>
          <t>ГПА 61 АВГМ</t>
        </is>
      </c>
      <c r="J35" s="15" t="inlineStr">
        <is>
          <t>АСУ,А и ТМ (КЦ № 6)</t>
        </is>
      </c>
      <c r="K35" s="15" t="n">
        <v>2012</v>
      </c>
      <c r="L35" s="14" t="n">
        <v>24</v>
      </c>
      <c r="M35" s="3" t="n"/>
      <c r="N35" s="70" t="n"/>
    </row>
    <row r="36">
      <c r="A36" s="15">
        <f>IF(B36&lt;&gt;"", COUNTA($B$2:B36), "")</f>
        <v/>
      </c>
      <c r="B36" s="104" t="inlineStr">
        <is>
          <t>Манометр технический</t>
        </is>
      </c>
      <c r="C36" s="26" t="inlineStr">
        <is>
          <t>МП4-УУ2</t>
        </is>
      </c>
      <c r="D36" s="26" t="n">
        <v>15169</v>
      </c>
      <c r="E36" s="10" t="n"/>
      <c r="F36" s="26" t="inlineStr">
        <is>
          <t>0…0,6 кгс/см2</t>
        </is>
      </c>
      <c r="G36" s="26" t="n">
        <v>1.5</v>
      </c>
      <c r="H36" s="26" t="inlineStr">
        <is>
          <t>Р газа после счетчика АВГМ</t>
        </is>
      </c>
      <c r="I36" s="10" t="inlineStr">
        <is>
          <t>ГПА 61 АВГМ</t>
        </is>
      </c>
      <c r="J36" s="26" t="inlineStr">
        <is>
          <t>АСУ,А и ТМ (КЦ № 6)</t>
        </is>
      </c>
      <c r="K36" s="26" t="n">
        <v>2012</v>
      </c>
      <c r="L36" s="26" t="n">
        <v>12</v>
      </c>
      <c r="M36" s="3" t="inlineStr">
        <is>
          <t>1К26</t>
        </is>
      </c>
      <c r="N36" s="10" t="inlineStr">
        <is>
          <t>К</t>
        </is>
      </c>
    </row>
    <row r="37">
      <c r="A37" s="15">
        <f>IF(B37&lt;&gt;"", COUNTA($B$2:B37), "")</f>
        <v/>
      </c>
      <c r="B37" s="104" t="inlineStr">
        <is>
          <t>Манометр технический</t>
        </is>
      </c>
      <c r="C37" s="16" t="inlineStr">
        <is>
          <t>ДМ8008-ВУ-У2</t>
        </is>
      </c>
      <c r="D37" s="26" t="n">
        <v>15583</v>
      </c>
      <c r="E37" s="10" t="n">
        <v>2010</v>
      </c>
      <c r="F37" s="26" t="inlineStr">
        <is>
          <t>0…6 кгс/см2</t>
        </is>
      </c>
      <c r="G37" s="26" t="n">
        <v>1.5</v>
      </c>
      <c r="H37" s="26" t="inlineStr">
        <is>
          <t>Р газа на входе АВГМ</t>
        </is>
      </c>
      <c r="I37" s="10" t="inlineStr">
        <is>
          <t>ГПА 61 АВГМ</t>
        </is>
      </c>
      <c r="J37" s="26" t="inlineStr">
        <is>
          <t>АСУ,А и ТМ (КЦ № 6)</t>
        </is>
      </c>
      <c r="K37" s="26" t="n">
        <v>2012</v>
      </c>
      <c r="L37" s="26" t="n">
        <v>12</v>
      </c>
      <c r="M37" s="3" t="inlineStr">
        <is>
          <t>1К26</t>
        </is>
      </c>
      <c r="N37" s="10" t="inlineStr">
        <is>
          <t>К</t>
        </is>
      </c>
    </row>
    <row r="38">
      <c r="A38" s="15">
        <f>IF(B38&lt;&gt;"", COUNTA($B$2:B38), "")</f>
        <v/>
      </c>
      <c r="B38" s="280" t="inlineStr">
        <is>
          <t>Контроль загазованности</t>
        </is>
      </c>
      <c r="C38" s="10" t="inlineStr">
        <is>
          <t>Det-Tronics (PIRECL 21M)</t>
        </is>
      </c>
      <c r="D38" s="10" t="n">
        <v>2310064</v>
      </c>
      <c r="E38" s="15" t="n">
        <v>2011</v>
      </c>
      <c r="F38" s="33" t="n"/>
      <c r="G38" s="33" t="n"/>
      <c r="H38" s="15" t="inlineStr">
        <is>
          <t>QT 701</t>
        </is>
      </c>
      <c r="I38" s="15" t="inlineStr">
        <is>
          <t>ГПА 61 АВГМ</t>
        </is>
      </c>
      <c r="J38" s="15" t="inlineStr">
        <is>
          <t>АСУ,А и ТМ (КЦ № 6)</t>
        </is>
      </c>
      <c r="K38" s="15" t="n">
        <v>2012</v>
      </c>
      <c r="L38" s="14" t="n"/>
      <c r="M38" s="3" t="n"/>
      <c r="N38" s="33" t="n"/>
    </row>
    <row r="39" ht="22.5" customHeight="1" s="151">
      <c r="A39" s="15">
        <f>IF(B39&lt;&gt;"", COUNTA($B$2:B39), "")</f>
        <v/>
      </c>
      <c r="B39" s="280" t="inlineStr">
        <is>
          <t>Извещатель тепловой пожарный</t>
        </is>
      </c>
      <c r="C39" s="10" t="inlineStr">
        <is>
          <t>Fenwal 12-X27121-000</t>
        </is>
      </c>
      <c r="D39" s="10" t="n">
        <v>1918</v>
      </c>
      <c r="E39" s="15" t="n">
        <v>2011</v>
      </c>
      <c r="F39" s="17" t="inlineStr">
        <is>
          <t>-55…150 °С</t>
        </is>
      </c>
      <c r="G39" s="33" t="n"/>
      <c r="H39" s="15" t="inlineStr">
        <is>
          <t>BTK 501</t>
        </is>
      </c>
      <c r="I39" s="15" t="inlineStr">
        <is>
          <t>ГПА 61 АВГМ</t>
        </is>
      </c>
      <c r="J39" s="15" t="inlineStr">
        <is>
          <t>АСУ,А и ТМ (КЦ № 6)</t>
        </is>
      </c>
      <c r="K39" s="15" t="n">
        <v>2012</v>
      </c>
      <c r="L39" s="33" t="n"/>
      <c r="M39" s="33" t="n"/>
      <c r="N39" s="33" t="n"/>
    </row>
    <row r="40" ht="22.5" customHeight="1" s="151">
      <c r="A40" s="15">
        <f>IF(B40&lt;&gt;"", COUNTA($B$2:B40), "")</f>
        <v/>
      </c>
      <c r="B40" s="280" t="inlineStr">
        <is>
          <t>Извещатель тепловой пожарный</t>
        </is>
      </c>
      <c r="C40" s="10" t="inlineStr">
        <is>
          <t>Fenwal 12-X27121-000</t>
        </is>
      </c>
      <c r="D40" s="10" t="n">
        <v>1919</v>
      </c>
      <c r="E40" s="15" t="n">
        <v>2011</v>
      </c>
      <c r="F40" s="17" t="inlineStr">
        <is>
          <t>-55…150 °С</t>
        </is>
      </c>
      <c r="G40" s="33" t="n"/>
      <c r="H40" s="15" t="inlineStr">
        <is>
          <t>BTK 502</t>
        </is>
      </c>
      <c r="I40" s="15" t="inlineStr">
        <is>
          <t>ГПА 61 АВГМ</t>
        </is>
      </c>
      <c r="J40" s="15" t="inlineStr">
        <is>
          <t>АСУ,А и ТМ (КЦ № 6)</t>
        </is>
      </c>
      <c r="K40" s="15" t="n">
        <v>2012</v>
      </c>
      <c r="L40" s="33" t="n"/>
      <c r="M40" s="33" t="n"/>
      <c r="N40" s="33" t="n"/>
    </row>
    <row r="41" ht="22.5" customHeight="1" s="151">
      <c r="A41" s="15">
        <f>IF(B41&lt;&gt;"", COUNTA($B$2:B41), "")</f>
        <v/>
      </c>
      <c r="B41" s="280" t="inlineStr">
        <is>
          <t>Извещатель тепловой пожарный</t>
        </is>
      </c>
      <c r="C41" s="10" t="inlineStr">
        <is>
          <t>Fenwal 12-X27121-000</t>
        </is>
      </c>
      <c r="D41" s="10" t="n">
        <v>1920</v>
      </c>
      <c r="E41" s="15" t="n">
        <v>2011</v>
      </c>
      <c r="F41" s="17" t="inlineStr">
        <is>
          <t>-55…150 °С</t>
        </is>
      </c>
      <c r="G41" s="33" t="n"/>
      <c r="H41" s="15" t="inlineStr">
        <is>
          <t>BTK 503</t>
        </is>
      </c>
      <c r="I41" s="15" t="inlineStr">
        <is>
          <t>ГПА 61 АВГМ</t>
        </is>
      </c>
      <c r="J41" s="15" t="inlineStr">
        <is>
          <t>АСУ,А и ТМ (КЦ № 6)</t>
        </is>
      </c>
      <c r="K41" s="15" t="n">
        <v>2012</v>
      </c>
      <c r="L41" s="33" t="n"/>
      <c r="M41" s="33" t="n"/>
      <c r="N41" s="33" t="n"/>
    </row>
    <row r="42" ht="22.5" customHeight="1" s="151">
      <c r="A42" s="15">
        <f>IF(B42&lt;&gt;"", COUNTA($B$2:B42), "")</f>
        <v/>
      </c>
      <c r="B42" s="73" t="inlineStr">
        <is>
          <t>Преобразователь избыточного давления</t>
        </is>
      </c>
      <c r="C42" s="10" t="inlineStr">
        <is>
          <t>Dunas LGW 3 A2</t>
        </is>
      </c>
      <c r="D42" s="10" t="inlineStr">
        <is>
          <t>CE-0085 AQ0673</t>
        </is>
      </c>
      <c r="E42" s="10" t="n"/>
      <c r="F42" s="10" t="inlineStr">
        <is>
          <t>0…500 мбар</t>
        </is>
      </c>
      <c r="G42" s="10" t="n"/>
      <c r="H42" s="10" t="inlineStr">
        <is>
          <t>Перепад давления</t>
        </is>
      </c>
      <c r="I42" s="15" t="inlineStr">
        <is>
          <t>ГПА 61 АВГМ</t>
        </is>
      </c>
      <c r="J42" s="15" t="inlineStr">
        <is>
          <t>АСУ,А и ТМ (КЦ № 6)</t>
        </is>
      </c>
      <c r="K42" s="15" t="n">
        <v>2012</v>
      </c>
      <c r="L42" s="47" t="n"/>
      <c r="M42" s="47" t="n"/>
      <c r="N42" s="47" t="n"/>
    </row>
    <row r="43" ht="22.5" customHeight="1" s="151">
      <c r="A43" s="15">
        <f>IF(B43&lt;&gt;"", COUNTA($B$2:B43), "")</f>
        <v/>
      </c>
      <c r="B43" s="73" t="inlineStr">
        <is>
          <t>Преобразователь избыточного давления</t>
        </is>
      </c>
      <c r="C43" s="10" t="inlineStr">
        <is>
          <t>ПРОМА-ИДМ-(В)</t>
        </is>
      </c>
      <c r="D43" s="10" t="n">
        <v>108165</v>
      </c>
      <c r="E43" s="10" t="n">
        <v>2011</v>
      </c>
      <c r="F43" s="10" t="inlineStr">
        <is>
          <t>0…1 кПа</t>
        </is>
      </c>
      <c r="G43" s="10" t="n"/>
      <c r="H43" s="26" t="inlineStr">
        <is>
          <t>Р воздуха на входе (датчик и прибор)</t>
        </is>
      </c>
      <c r="I43" s="15" t="inlineStr">
        <is>
          <t>ГПА 61 АВГМ</t>
        </is>
      </c>
      <c r="J43" s="15" t="inlineStr">
        <is>
          <t>АСУ,А и ТМ (КЦ № 6)</t>
        </is>
      </c>
      <c r="K43" s="15" t="n">
        <v>2012</v>
      </c>
      <c r="L43" s="47" t="n"/>
      <c r="M43" s="47" t="n"/>
      <c r="N43" s="47" t="n"/>
    </row>
    <row r="44" ht="22.5" customHeight="1" s="151">
      <c r="A44" s="15">
        <f>IF(B44&lt;&gt;"", COUNTA($B$2:B44), "")</f>
        <v/>
      </c>
      <c r="B44" s="73" t="inlineStr">
        <is>
          <t>Преобразователь избыточного давления</t>
        </is>
      </c>
      <c r="C44" s="10" t="inlineStr">
        <is>
          <t>ДДМ-03-ДИ</t>
        </is>
      </c>
      <c r="D44" s="10" t="n">
        <v>303046</v>
      </c>
      <c r="E44" s="10" t="n"/>
      <c r="F44" s="10" t="inlineStr">
        <is>
          <t>0…40 кПа</t>
        </is>
      </c>
      <c r="G44" s="10" t="n"/>
      <c r="H44" s="10" t="inlineStr">
        <is>
          <t>Р газа полсе РД</t>
        </is>
      </c>
      <c r="I44" s="15" t="inlineStr">
        <is>
          <t>ГПА 61 АВГМ</t>
        </is>
      </c>
      <c r="J44" s="15" t="inlineStr">
        <is>
          <t>АСУ,А и ТМ (КЦ № 6)</t>
        </is>
      </c>
      <c r="K44" s="15" t="n">
        <v>2012</v>
      </c>
      <c r="L44" s="47" t="n"/>
      <c r="M44" s="47" t="n"/>
      <c r="N44" s="47" t="n"/>
    </row>
    <row r="45">
      <c r="A45" s="15">
        <f>IF(B45&lt;&gt;"", COUNTA($B$2:B45), "")</f>
        <v/>
      </c>
      <c r="B45" s="10" t="inlineStr">
        <is>
          <t>Счетчик газа</t>
        </is>
      </c>
      <c r="C45" s="10" t="inlineStr">
        <is>
          <t>Elster ПГТИ G65</t>
        </is>
      </c>
      <c r="D45" s="10" t="n">
        <v>11024687</v>
      </c>
      <c r="E45" s="10" t="n">
        <v>2011</v>
      </c>
      <c r="F45" s="16" t="inlineStr">
        <is>
          <t>3…100 м3/ч</t>
        </is>
      </c>
      <c r="G45" s="10" t="n"/>
      <c r="H45" s="10" t="inlineStr">
        <is>
          <t>Счетчик газа</t>
        </is>
      </c>
      <c r="I45" s="15" t="inlineStr">
        <is>
          <t>ГПА 61 АВГМ</t>
        </is>
      </c>
      <c r="J45" s="15" t="inlineStr">
        <is>
          <t>АСУ,А и ТМ (КЦ № 6)</t>
        </is>
      </c>
      <c r="K45" s="15" t="n">
        <v>2012</v>
      </c>
      <c r="L45" s="47" t="n"/>
      <c r="M45" s="47" t="n"/>
      <c r="N45" s="47" t="n"/>
    </row>
    <row r="46">
      <c r="A46" s="15">
        <f>IF(B46&lt;&gt;"", COUNTA($B$2:B46), "")</f>
        <v/>
      </c>
      <c r="B46" s="280" t="inlineStr">
        <is>
          <t>Манометр технический</t>
        </is>
      </c>
      <c r="C46" s="10" t="inlineStr">
        <is>
          <t>МП3-УУХЛ1</t>
        </is>
      </c>
      <c r="D46" s="10" t="n">
        <v>15652</v>
      </c>
      <c r="E46" s="10" t="n">
        <v>2010</v>
      </c>
      <c r="F46" s="10" t="inlineStr">
        <is>
          <t>0…160 кгс/см2</t>
        </is>
      </c>
      <c r="G46" s="10" t="n">
        <v>1.5</v>
      </c>
      <c r="H46" s="26" t="inlineStr">
        <is>
          <t>Р газа 1 секции</t>
        </is>
      </c>
      <c r="I46" s="8" t="inlineStr">
        <is>
          <t>ГПА 61 АВОГ</t>
        </is>
      </c>
      <c r="J46" s="15" t="inlineStr">
        <is>
          <t>АСУ,А и ТМ (КЦ № 6)</t>
        </is>
      </c>
      <c r="K46" s="15" t="n">
        <v>2012</v>
      </c>
      <c r="L46" s="15" t="n">
        <v>12</v>
      </c>
      <c r="M46" s="3" t="inlineStr">
        <is>
          <t>1К26</t>
        </is>
      </c>
      <c r="N46" s="70" t="inlineStr">
        <is>
          <t>К</t>
        </is>
      </c>
    </row>
    <row r="47">
      <c r="A47" s="15">
        <f>IF(B47&lt;&gt;"", COUNTA($B$2:B47), "")</f>
        <v/>
      </c>
      <c r="B47" s="280" t="inlineStr">
        <is>
          <t>Манометр технический</t>
        </is>
      </c>
      <c r="C47" s="10" t="inlineStr">
        <is>
          <t>МП3-УУХЛ1</t>
        </is>
      </c>
      <c r="D47" s="10" t="n">
        <v>15207</v>
      </c>
      <c r="E47" s="10" t="n">
        <v>2010</v>
      </c>
      <c r="F47" s="10" t="inlineStr">
        <is>
          <t>0…160 кгс/см2</t>
        </is>
      </c>
      <c r="G47" s="10" t="n">
        <v>1.5</v>
      </c>
      <c r="H47" s="26" t="inlineStr">
        <is>
          <t>Р газа 2 секции</t>
        </is>
      </c>
      <c r="I47" s="8" t="inlineStr">
        <is>
          <t>ГПА 61 АВОГ</t>
        </is>
      </c>
      <c r="J47" s="15" t="inlineStr">
        <is>
          <t>АСУ,А и ТМ (КЦ № 6)</t>
        </is>
      </c>
      <c r="K47" s="15" t="n">
        <v>2012</v>
      </c>
      <c r="L47" s="15" t="n">
        <v>12</v>
      </c>
      <c r="M47" s="3" t="inlineStr">
        <is>
          <t>1К26</t>
        </is>
      </c>
      <c r="N47" s="70" t="inlineStr">
        <is>
          <t>К</t>
        </is>
      </c>
    </row>
    <row r="48">
      <c r="A48" s="15">
        <f>IF(B48&lt;&gt;"", COUNTA($B$2:B48), "")</f>
        <v/>
      </c>
      <c r="B48" s="280" t="inlineStr">
        <is>
          <t>Манометр технический</t>
        </is>
      </c>
      <c r="C48" s="10" t="inlineStr">
        <is>
          <t>МП3-УУХЛ1</t>
        </is>
      </c>
      <c r="D48" s="10" t="n">
        <v>15360</v>
      </c>
      <c r="E48" s="10" t="n">
        <v>2010</v>
      </c>
      <c r="F48" s="10" t="inlineStr">
        <is>
          <t>0…160 кгс/см2</t>
        </is>
      </c>
      <c r="G48" s="10" t="n">
        <v>1.5</v>
      </c>
      <c r="H48" s="26" t="inlineStr">
        <is>
          <t>Р газа 3 секции</t>
        </is>
      </c>
      <c r="I48" s="8" t="inlineStr">
        <is>
          <t>ГПА 61 АВОГ</t>
        </is>
      </c>
      <c r="J48" s="15" t="inlineStr">
        <is>
          <t>АСУ,А и ТМ (КЦ № 6)</t>
        </is>
      </c>
      <c r="K48" s="15" t="n">
        <v>2012</v>
      </c>
      <c r="L48" s="15" t="n">
        <v>12</v>
      </c>
      <c r="M48" s="3" t="inlineStr">
        <is>
          <t>1К26</t>
        </is>
      </c>
      <c r="N48" s="70" t="inlineStr">
        <is>
          <t>К</t>
        </is>
      </c>
    </row>
    <row r="49">
      <c r="A49" s="15">
        <f>IF(B49&lt;&gt;"", COUNTA($B$2:B49), "")</f>
        <v/>
      </c>
      <c r="B49" s="280" t="inlineStr">
        <is>
          <t>Манометр технический</t>
        </is>
      </c>
      <c r="C49" s="10" t="inlineStr">
        <is>
          <t>МП3-УУХЛ1</t>
        </is>
      </c>
      <c r="D49" s="10" t="n">
        <v>15224</v>
      </c>
      <c r="E49" s="10" t="n">
        <v>2010</v>
      </c>
      <c r="F49" s="10" t="inlineStr">
        <is>
          <t>0…160 кгс/см2</t>
        </is>
      </c>
      <c r="G49" s="10" t="n">
        <v>1.5</v>
      </c>
      <c r="H49" s="26" t="inlineStr">
        <is>
          <t>Р газа 4 секции</t>
        </is>
      </c>
      <c r="I49" s="8" t="inlineStr">
        <is>
          <t>ГПА 61 АВОГ</t>
        </is>
      </c>
      <c r="J49" s="15" t="inlineStr">
        <is>
          <t>АСУ,А и ТМ (КЦ № 6)</t>
        </is>
      </c>
      <c r="K49" s="15" t="n">
        <v>2012</v>
      </c>
      <c r="L49" s="15" t="n">
        <v>12</v>
      </c>
      <c r="M49" s="3" t="inlineStr">
        <is>
          <t>1К26</t>
        </is>
      </c>
      <c r="N49" s="70" t="inlineStr">
        <is>
          <t>К</t>
        </is>
      </c>
    </row>
    <row r="50">
      <c r="A50" s="15">
        <f>IF(B50&lt;&gt;"", COUNTA($B$2:B50), "")</f>
        <v/>
      </c>
      <c r="B50" s="280" t="inlineStr">
        <is>
          <t>Манометр технический</t>
        </is>
      </c>
      <c r="C50" s="10" t="inlineStr">
        <is>
          <t>МП3-УУХЛ1</t>
        </is>
      </c>
      <c r="D50" s="10" t="n">
        <v>15222</v>
      </c>
      <c r="E50" s="10" t="n">
        <v>2010</v>
      </c>
      <c r="F50" s="10" t="inlineStr">
        <is>
          <t>0…160 кгс/см2</t>
        </is>
      </c>
      <c r="G50" s="10" t="n">
        <v>1.5</v>
      </c>
      <c r="H50" s="26" t="inlineStr">
        <is>
          <t>Р газа 5 секции</t>
        </is>
      </c>
      <c r="I50" s="8" t="inlineStr">
        <is>
          <t>ГПА 61 АВОГ</t>
        </is>
      </c>
      <c r="J50" s="15" t="inlineStr">
        <is>
          <t>АСУ,А и ТМ (КЦ № 6)</t>
        </is>
      </c>
      <c r="K50" s="15" t="n">
        <v>2012</v>
      </c>
      <c r="L50" s="15" t="n">
        <v>12</v>
      </c>
      <c r="M50" s="3" t="inlineStr">
        <is>
          <t>1К26</t>
        </is>
      </c>
      <c r="N50" s="70" t="inlineStr">
        <is>
          <t>К</t>
        </is>
      </c>
    </row>
    <row r="51">
      <c r="A51" s="15">
        <f>IF(B51&lt;&gt;"", COUNTA($B$2:B51), "")</f>
        <v/>
      </c>
      <c r="B51" s="280" t="inlineStr">
        <is>
          <t>Манометр технический</t>
        </is>
      </c>
      <c r="C51" s="10" t="inlineStr">
        <is>
          <t>МП3-УУХЛ1</t>
        </is>
      </c>
      <c r="D51" s="10" t="n">
        <v>15262</v>
      </c>
      <c r="E51" s="10" t="n">
        <v>2010</v>
      </c>
      <c r="F51" s="10" t="inlineStr">
        <is>
          <t>0…160 кгс/см2</t>
        </is>
      </c>
      <c r="G51" s="10" t="n">
        <v>1.5</v>
      </c>
      <c r="H51" s="26" t="inlineStr">
        <is>
          <t>Р газа 6 секции</t>
        </is>
      </c>
      <c r="I51" s="8" t="inlineStr">
        <is>
          <t>ГПА 61 АВОГ</t>
        </is>
      </c>
      <c r="J51" s="15" t="inlineStr">
        <is>
          <t>АСУ,А и ТМ (КЦ № 6)</t>
        </is>
      </c>
      <c r="K51" s="15" t="n">
        <v>2012</v>
      </c>
      <c r="L51" s="15" t="n">
        <v>12</v>
      </c>
      <c r="M51" s="3" t="inlineStr">
        <is>
          <t>1К26</t>
        </is>
      </c>
      <c r="N51" s="70" t="inlineStr">
        <is>
          <t>К</t>
        </is>
      </c>
    </row>
    <row r="52">
      <c r="A52" s="15">
        <f>IF(B52&lt;&gt;"", COUNTA($B$2:B52), "")</f>
        <v/>
      </c>
      <c r="B52" s="280" t="inlineStr">
        <is>
          <t>Манометр технический</t>
        </is>
      </c>
      <c r="C52" s="10" t="inlineStr">
        <is>
          <t>МП3-УУХЛ1</t>
        </is>
      </c>
      <c r="D52" s="10" t="n">
        <v>15264</v>
      </c>
      <c r="E52" s="10" t="n">
        <v>2010</v>
      </c>
      <c r="F52" s="10" t="inlineStr">
        <is>
          <t>0…160 кгс/см2</t>
        </is>
      </c>
      <c r="G52" s="10" t="n">
        <v>1.5</v>
      </c>
      <c r="H52" s="26" t="inlineStr">
        <is>
          <t>Р газа 7 секции</t>
        </is>
      </c>
      <c r="I52" s="8" t="inlineStr">
        <is>
          <t>ГПА 61 АВОГ</t>
        </is>
      </c>
      <c r="J52" s="15" t="inlineStr">
        <is>
          <t>АСУ,А и ТМ (КЦ № 6)</t>
        </is>
      </c>
      <c r="K52" s="15" t="n">
        <v>2012</v>
      </c>
      <c r="L52" s="15" t="n">
        <v>12</v>
      </c>
      <c r="M52" s="3" t="inlineStr">
        <is>
          <t>1К26</t>
        </is>
      </c>
      <c r="N52" s="70" t="inlineStr">
        <is>
          <t>К</t>
        </is>
      </c>
    </row>
    <row r="53">
      <c r="A53" s="15">
        <f>IF(B53&lt;&gt;"", COUNTA($B$2:B53), "")</f>
        <v/>
      </c>
      <c r="B53" s="280" t="inlineStr">
        <is>
          <t>Манометр технический</t>
        </is>
      </c>
      <c r="C53" s="10" t="inlineStr">
        <is>
          <t>МП3-УУХЛ1</t>
        </is>
      </c>
      <c r="D53" s="10" t="n">
        <v>15574</v>
      </c>
      <c r="E53" s="10" t="n">
        <v>2010</v>
      </c>
      <c r="F53" s="10" t="inlineStr">
        <is>
          <t>0…160 кгс/см2</t>
        </is>
      </c>
      <c r="G53" s="10" t="n">
        <v>1.5</v>
      </c>
      <c r="H53" s="26" t="inlineStr">
        <is>
          <t>Р газа 8 секции</t>
        </is>
      </c>
      <c r="I53" s="8" t="inlineStr">
        <is>
          <t>ГПА 61 АВОГ</t>
        </is>
      </c>
      <c r="J53" s="15" t="inlineStr">
        <is>
          <t>АСУ,А и ТМ (КЦ № 6)</t>
        </is>
      </c>
      <c r="K53" s="15" t="n">
        <v>2012</v>
      </c>
      <c r="L53" s="15" t="n">
        <v>12</v>
      </c>
      <c r="M53" s="3" t="inlineStr">
        <is>
          <t>1К26</t>
        </is>
      </c>
      <c r="N53" s="70" t="inlineStr">
        <is>
          <t>К</t>
        </is>
      </c>
    </row>
    <row r="54" ht="22.5" customHeight="1" s="151">
      <c r="A54" s="15">
        <f>IF(B54&lt;&gt;"", COUNTA($B$2:B54), "")</f>
        <v/>
      </c>
      <c r="B54" s="14" t="inlineStr">
        <is>
          <t>Термометр биметаллический</t>
        </is>
      </c>
      <c r="C54" s="10" t="inlineStr">
        <is>
          <t>ТБф</t>
        </is>
      </c>
      <c r="D54" s="11" t="inlineStr">
        <is>
          <t>072177</t>
        </is>
      </c>
      <c r="E54" s="10" t="n">
        <v>2018</v>
      </c>
      <c r="F54" s="10" t="inlineStr">
        <is>
          <t>­50…100 °C</t>
        </is>
      </c>
      <c r="G54" s="10" t="n">
        <v>1.5</v>
      </c>
      <c r="H54" s="26" t="inlineStr">
        <is>
          <t>Тг на выходе 1 секции АВО</t>
        </is>
      </c>
      <c r="I54" s="8" t="inlineStr">
        <is>
          <t>ГПА 61 АВОГ</t>
        </is>
      </c>
      <c r="J54" s="15" t="inlineStr">
        <is>
          <t>АСУ,А и ТМ (КЦ № 6)</t>
        </is>
      </c>
      <c r="K54" s="15" t="n">
        <v>2019</v>
      </c>
      <c r="L54" s="15" t="n">
        <v>24</v>
      </c>
      <c r="M54" s="3" t="inlineStr">
        <is>
          <t>3К26</t>
        </is>
      </c>
      <c r="N54" s="70" t="inlineStr">
        <is>
          <t>К</t>
        </is>
      </c>
    </row>
    <row r="55" ht="22.5" customHeight="1" s="151">
      <c r="A55" s="15">
        <f>IF(B55&lt;&gt;"", COUNTA($B$2:B55), "")</f>
        <v/>
      </c>
      <c r="B55" s="14" t="inlineStr">
        <is>
          <t>Термометр биметаллический</t>
        </is>
      </c>
      <c r="C55" s="10" t="inlineStr">
        <is>
          <t>ТБф</t>
        </is>
      </c>
      <c r="D55" s="11" t="inlineStr">
        <is>
          <t>072178</t>
        </is>
      </c>
      <c r="E55" s="10" t="n">
        <v>2018</v>
      </c>
      <c r="F55" s="10" t="inlineStr">
        <is>
          <t>­50…100 °C</t>
        </is>
      </c>
      <c r="G55" s="10" t="n">
        <v>1.5</v>
      </c>
      <c r="H55" s="26" t="inlineStr">
        <is>
          <t>Тг на выходе 2 секции АВО</t>
        </is>
      </c>
      <c r="I55" s="8" t="inlineStr">
        <is>
          <t>ГПА 61 АВОГ</t>
        </is>
      </c>
      <c r="J55" s="15" t="inlineStr">
        <is>
          <t>АСУ,А и ТМ (КЦ № 6)</t>
        </is>
      </c>
      <c r="K55" s="15" t="n">
        <v>2019</v>
      </c>
      <c r="L55" s="15" t="n">
        <v>24</v>
      </c>
      <c r="M55" s="3" t="inlineStr">
        <is>
          <t>3К26</t>
        </is>
      </c>
      <c r="N55" s="70" t="inlineStr">
        <is>
          <t>К</t>
        </is>
      </c>
    </row>
    <row r="56" ht="22.5" customHeight="1" s="151">
      <c r="A56" s="15">
        <f>IF(B56&lt;&gt;"", COUNTA($B$2:B56), "")</f>
        <v/>
      </c>
      <c r="B56" s="14" t="inlineStr">
        <is>
          <t>Термометр биметаллический</t>
        </is>
      </c>
      <c r="C56" s="10" t="inlineStr">
        <is>
          <t>ТБф</t>
        </is>
      </c>
      <c r="D56" s="11" t="inlineStr">
        <is>
          <t>072179</t>
        </is>
      </c>
      <c r="E56" s="10" t="n">
        <v>2018</v>
      </c>
      <c r="F56" s="10" t="inlineStr">
        <is>
          <t>­50…100 °C</t>
        </is>
      </c>
      <c r="G56" s="10" t="n">
        <v>1.5</v>
      </c>
      <c r="H56" s="26" t="inlineStr">
        <is>
          <t>Тг на выходе 3 секции АВО</t>
        </is>
      </c>
      <c r="I56" s="8" t="inlineStr">
        <is>
          <t>ГПА 61 АВОГ</t>
        </is>
      </c>
      <c r="J56" s="15" t="inlineStr">
        <is>
          <t>АСУ,А и ТМ (КЦ № 6)</t>
        </is>
      </c>
      <c r="K56" s="15" t="n">
        <v>2019</v>
      </c>
      <c r="L56" s="15" t="n">
        <v>24</v>
      </c>
      <c r="M56" s="3" t="inlineStr">
        <is>
          <t>3К26</t>
        </is>
      </c>
      <c r="N56" s="70" t="inlineStr">
        <is>
          <t>К</t>
        </is>
      </c>
    </row>
    <row r="57" ht="22.5" customHeight="1" s="151">
      <c r="A57" s="15">
        <f>IF(B57&lt;&gt;"", COUNTA($B$2:B57), "")</f>
        <v/>
      </c>
      <c r="B57" s="14" t="inlineStr">
        <is>
          <t>Термометр биметаллический</t>
        </is>
      </c>
      <c r="C57" s="10" t="inlineStr">
        <is>
          <t>ТБф</t>
        </is>
      </c>
      <c r="D57" s="11" t="inlineStr">
        <is>
          <t>072180</t>
        </is>
      </c>
      <c r="E57" s="10" t="n">
        <v>2018</v>
      </c>
      <c r="F57" s="10" t="inlineStr">
        <is>
          <t>­50…100 °C</t>
        </is>
      </c>
      <c r="G57" s="10" t="n">
        <v>1.5</v>
      </c>
      <c r="H57" s="26" t="inlineStr">
        <is>
          <t>Тг на выходе 4 секции АВО</t>
        </is>
      </c>
      <c r="I57" s="8" t="inlineStr">
        <is>
          <t>ГПА 61 АВОГ</t>
        </is>
      </c>
      <c r="J57" s="15" t="inlineStr">
        <is>
          <t>АСУ,А и ТМ (КЦ № 6)</t>
        </is>
      </c>
      <c r="K57" s="15" t="n">
        <v>2019</v>
      </c>
      <c r="L57" s="15" t="n">
        <v>24</v>
      </c>
      <c r="M57" s="3" t="inlineStr">
        <is>
          <t>3К26</t>
        </is>
      </c>
      <c r="N57" s="70" t="inlineStr">
        <is>
          <t>К</t>
        </is>
      </c>
    </row>
    <row r="58" ht="22.5" customHeight="1" s="151">
      <c r="A58" s="15">
        <f>IF(B58&lt;&gt;"", COUNTA($B$2:B58), "")</f>
        <v/>
      </c>
      <c r="B58" s="14" t="inlineStr">
        <is>
          <t>Термометр биметаллический</t>
        </is>
      </c>
      <c r="C58" s="10" t="inlineStr">
        <is>
          <t>ТБ-2</t>
        </is>
      </c>
      <c r="D58" s="11" t="inlineStr">
        <is>
          <t>845</t>
        </is>
      </c>
      <c r="E58" s="10" t="n">
        <v>2018</v>
      </c>
      <c r="F58" s="10" t="inlineStr">
        <is>
          <t>­50…100 °C</t>
        </is>
      </c>
      <c r="G58" s="10" t="n">
        <v>1</v>
      </c>
      <c r="H58" s="26" t="inlineStr">
        <is>
          <t>Тг на выходе 5 секции АВО</t>
        </is>
      </c>
      <c r="I58" s="8" t="inlineStr">
        <is>
          <t>ГПА 61 АВОГ</t>
        </is>
      </c>
      <c r="J58" s="15" t="inlineStr">
        <is>
          <t>АСУ,А и ТМ (КЦ № 6)</t>
        </is>
      </c>
      <c r="K58" s="15" t="n">
        <v>2019</v>
      </c>
      <c r="L58" s="15" t="n">
        <v>24</v>
      </c>
      <c r="M58" s="3" t="inlineStr">
        <is>
          <t>3К26</t>
        </is>
      </c>
      <c r="N58" s="70" t="inlineStr">
        <is>
          <t>К</t>
        </is>
      </c>
    </row>
    <row r="59" ht="22.5" customHeight="1" s="151">
      <c r="A59" s="15">
        <f>IF(B59&lt;&gt;"", COUNTA($B$2:B59), "")</f>
        <v/>
      </c>
      <c r="B59" s="14" t="inlineStr">
        <is>
          <t>Термометр биметаллический</t>
        </is>
      </c>
      <c r="C59" s="10" t="inlineStr">
        <is>
          <t>ТБф</t>
        </is>
      </c>
      <c r="D59" s="11" t="inlineStr">
        <is>
          <t>072182</t>
        </is>
      </c>
      <c r="E59" s="10" t="n">
        <v>2018</v>
      </c>
      <c r="F59" s="10" t="inlineStr">
        <is>
          <t>­50…100 °C</t>
        </is>
      </c>
      <c r="G59" s="10" t="n">
        <v>1.5</v>
      </c>
      <c r="H59" s="26" t="inlineStr">
        <is>
          <t>Тг на выходе 6 секции АВО</t>
        </is>
      </c>
      <c r="I59" s="8" t="inlineStr">
        <is>
          <t>ГПА 61 АВОГ</t>
        </is>
      </c>
      <c r="J59" s="15" t="inlineStr">
        <is>
          <t>АСУ,А и ТМ (КЦ № 6)</t>
        </is>
      </c>
      <c r="K59" s="15" t="n">
        <v>2019</v>
      </c>
      <c r="L59" s="15" t="n">
        <v>24</v>
      </c>
      <c r="M59" s="3" t="inlineStr">
        <is>
          <t>3К26</t>
        </is>
      </c>
      <c r="N59" s="70" t="inlineStr">
        <is>
          <t>К</t>
        </is>
      </c>
    </row>
    <row r="60" ht="22.5" customHeight="1" s="151">
      <c r="A60" s="15">
        <f>IF(B60&lt;&gt;"", COUNTA($B$2:B60), "")</f>
        <v/>
      </c>
      <c r="B60" s="14" t="inlineStr">
        <is>
          <t>Термометр биметаллический</t>
        </is>
      </c>
      <c r="C60" s="10" t="inlineStr">
        <is>
          <t>ТБф</t>
        </is>
      </c>
      <c r="D60" s="11" t="inlineStr">
        <is>
          <t>072183</t>
        </is>
      </c>
      <c r="E60" s="10" t="n">
        <v>2018</v>
      </c>
      <c r="F60" s="10" t="inlineStr">
        <is>
          <t>­50…100 °C</t>
        </is>
      </c>
      <c r="G60" s="10" t="n">
        <v>1.5</v>
      </c>
      <c r="H60" s="26" t="inlineStr">
        <is>
          <t>Тг на выходе 7 секции АВО</t>
        </is>
      </c>
      <c r="I60" s="8" t="inlineStr">
        <is>
          <t>ГПА 61 АВОГ</t>
        </is>
      </c>
      <c r="J60" s="15" t="inlineStr">
        <is>
          <t>АСУ,А и ТМ (КЦ № 6)</t>
        </is>
      </c>
      <c r="K60" s="15" t="n">
        <v>2019</v>
      </c>
      <c r="L60" s="15" t="n">
        <v>24</v>
      </c>
      <c r="M60" s="3" t="inlineStr">
        <is>
          <t>3К26</t>
        </is>
      </c>
      <c r="N60" s="70" t="inlineStr">
        <is>
          <t>К</t>
        </is>
      </c>
    </row>
    <row r="61" ht="22.5" customHeight="1" s="151">
      <c r="A61" s="15">
        <f>IF(B61&lt;&gt;"", COUNTA($B$2:B61), "")</f>
        <v/>
      </c>
      <c r="B61" s="14" t="inlineStr">
        <is>
          <t>Термометр биметаллический</t>
        </is>
      </c>
      <c r="C61" s="10" t="inlineStr">
        <is>
          <t>ТБф</t>
        </is>
      </c>
      <c r="D61" s="11" t="inlineStr">
        <is>
          <t>072184</t>
        </is>
      </c>
      <c r="E61" s="10" t="n">
        <v>2018</v>
      </c>
      <c r="F61" s="10" t="inlineStr">
        <is>
          <t>­50…100 °C</t>
        </is>
      </c>
      <c r="G61" s="10" t="n">
        <v>1.5</v>
      </c>
      <c r="H61" s="26" t="inlineStr">
        <is>
          <t>Тг на выходе 8 секции АВО</t>
        </is>
      </c>
      <c r="I61" s="8" t="inlineStr">
        <is>
          <t>ГПА 61 АВОГ</t>
        </is>
      </c>
      <c r="J61" s="15" t="inlineStr">
        <is>
          <t>АСУ,А и ТМ (КЦ № 6)</t>
        </is>
      </c>
      <c r="K61" s="15" t="n">
        <v>2019</v>
      </c>
      <c r="L61" s="15" t="n">
        <v>24</v>
      </c>
      <c r="M61" s="3" t="inlineStr">
        <is>
          <t>3К26</t>
        </is>
      </c>
      <c r="N61" s="70" t="inlineStr">
        <is>
          <t>К</t>
        </is>
      </c>
    </row>
    <row r="62">
      <c r="A62" s="15">
        <f>IF(B62&lt;&gt;"", COUNTA($B$2:B62), "")</f>
        <v/>
      </c>
      <c r="B62" s="280" t="inlineStr">
        <is>
          <t>Манометр технический</t>
        </is>
      </c>
      <c r="C62" s="10" t="inlineStr">
        <is>
          <t>МП4-УФ БС УХЛ1</t>
        </is>
      </c>
      <c r="D62" s="11" t="inlineStr">
        <is>
          <t>312533</t>
        </is>
      </c>
      <c r="E62" s="10" t="n">
        <v>2010</v>
      </c>
      <c r="F62" s="10" t="inlineStr">
        <is>
          <t>0…160 кгс/см2</t>
        </is>
      </c>
      <c r="G62" s="10" t="n">
        <v>1.5</v>
      </c>
      <c r="H62" s="26" t="inlineStr">
        <is>
          <t>Р газа на входе АВО</t>
        </is>
      </c>
      <c r="I62" s="8" t="inlineStr">
        <is>
          <t>ГПА 61 АВОГ</t>
        </is>
      </c>
      <c r="J62" s="15" t="inlineStr">
        <is>
          <t>АСУ,А и ТМ (КЦ № 6)</t>
        </is>
      </c>
      <c r="K62" s="15" t="n">
        <v>2012</v>
      </c>
      <c r="L62" s="15" t="n">
        <v>12</v>
      </c>
      <c r="M62" s="3" t="inlineStr">
        <is>
          <t>1К26</t>
        </is>
      </c>
      <c r="N62" s="70" t="inlineStr">
        <is>
          <t>К</t>
        </is>
      </c>
    </row>
    <row r="63">
      <c r="A63" s="15">
        <f>IF(B63&lt;&gt;"", COUNTA($B$2:B63), "")</f>
        <v/>
      </c>
      <c r="B63" s="280" t="inlineStr">
        <is>
          <t>Манометр технический</t>
        </is>
      </c>
      <c r="C63" s="10" t="inlineStr">
        <is>
          <t>МП4-УФ БС УХЛ1</t>
        </is>
      </c>
      <c r="D63" s="11" t="inlineStr">
        <is>
          <t>312549</t>
        </is>
      </c>
      <c r="E63" s="10" t="n">
        <v>2010</v>
      </c>
      <c r="F63" s="10" t="inlineStr">
        <is>
          <t>0…160 кгс/см2</t>
        </is>
      </c>
      <c r="G63" s="10" t="n">
        <v>1.5</v>
      </c>
      <c r="H63" s="26" t="inlineStr">
        <is>
          <t>Р газа на выходе АВО</t>
        </is>
      </c>
      <c r="I63" s="8" t="inlineStr">
        <is>
          <t>ГПА 61 АВОГ</t>
        </is>
      </c>
      <c r="J63" s="15" t="inlineStr">
        <is>
          <t>АСУ,А и ТМ (КЦ № 6)</t>
        </is>
      </c>
      <c r="K63" s="15" t="n">
        <v>2012</v>
      </c>
      <c r="L63" s="15" t="n">
        <v>12</v>
      </c>
      <c r="M63" s="3" t="inlineStr">
        <is>
          <t>1К26</t>
        </is>
      </c>
      <c r="N63" s="70" t="inlineStr">
        <is>
          <t>К</t>
        </is>
      </c>
    </row>
    <row r="64">
      <c r="A64" s="15">
        <f>IF(B64&lt;&gt;"", COUNTA($B$2:B64), "")</f>
        <v/>
      </c>
      <c r="B64" s="280" t="inlineStr">
        <is>
          <t>Манометр технический</t>
        </is>
      </c>
      <c r="C64" s="26" t="inlineStr">
        <is>
          <t>МП4-УУ2</t>
        </is>
      </c>
      <c r="D64" s="26" t="n">
        <v>15145</v>
      </c>
      <c r="E64" s="10" t="n">
        <v>2010</v>
      </c>
      <c r="F64" s="26" t="inlineStr">
        <is>
          <t>0…16 кгс/см2</t>
        </is>
      </c>
      <c r="G64" s="26" t="n">
        <v>1.5</v>
      </c>
      <c r="H64" s="26" t="inlineStr">
        <is>
          <t>Р имп. воздуха кр. 6к</t>
        </is>
      </c>
      <c r="I64" s="8" t="inlineStr">
        <is>
          <t>ГПА 61 АВОГ</t>
        </is>
      </c>
      <c r="J64" s="15" t="inlineStr">
        <is>
          <t>АСУ,А и ТМ (КЦ № 6)</t>
        </is>
      </c>
      <c r="K64" s="15" t="n">
        <v>2012</v>
      </c>
      <c r="L64" s="15" t="n">
        <v>12</v>
      </c>
      <c r="M64" s="22" t="inlineStr">
        <is>
          <t>1К26</t>
        </is>
      </c>
      <c r="N64" s="51" t="inlineStr">
        <is>
          <t>К</t>
        </is>
      </c>
    </row>
    <row r="65" ht="22.5" customHeight="1" s="151">
      <c r="A65" s="15">
        <f>IF(B65&lt;&gt;"", COUNTA($B$2:B65), "")</f>
        <v/>
      </c>
      <c r="B65" s="16" t="inlineStr">
        <is>
          <t>Термометр сопротивления</t>
        </is>
      </c>
      <c r="C65" s="17" t="inlineStr">
        <is>
          <t>ТСП 012.56ОВ 100П/А/4</t>
        </is>
      </c>
      <c r="D65" s="17" t="inlineStr">
        <is>
          <t>1</t>
        </is>
      </c>
      <c r="E65" s="15" t="n">
        <v>2011</v>
      </c>
      <c r="F65" s="17" t="inlineStr">
        <is>
          <t>-60…200 °С</t>
        </is>
      </c>
      <c r="G65" s="17" t="inlineStr">
        <is>
          <t>А</t>
        </is>
      </c>
      <c r="H65" s="17" t="inlineStr">
        <is>
          <t>Температура газа на выходе АВО перед краном 6к</t>
        </is>
      </c>
      <c r="I65" s="8" t="inlineStr">
        <is>
          <t>ГПА 61 АВОГ</t>
        </is>
      </c>
      <c r="J65" s="15" t="inlineStr">
        <is>
          <t>АСУ,А и ТМ (КЦ № 6)</t>
        </is>
      </c>
      <c r="K65" s="15" t="n">
        <v>2012</v>
      </c>
      <c r="L65" s="14" t="n">
        <v>36</v>
      </c>
      <c r="M65" s="3" t="n"/>
      <c r="N65" s="70" t="n"/>
    </row>
    <row r="66" ht="22.5" customHeight="1" s="151">
      <c r="A66" s="15">
        <f>IF(B66&lt;&gt;"", COUNTA($B$2:B66), "")</f>
        <v/>
      </c>
      <c r="B66" s="16" t="inlineStr">
        <is>
          <t>Термометр сопротивления</t>
        </is>
      </c>
      <c r="C66" s="17" t="inlineStr">
        <is>
          <t>ТСП 012.56ОВ 100П/А/4</t>
        </is>
      </c>
      <c r="D66" s="17" t="inlineStr">
        <is>
          <t>5</t>
        </is>
      </c>
      <c r="E66" s="15" t="n">
        <v>2011</v>
      </c>
      <c r="F66" s="17" t="inlineStr">
        <is>
          <t>-60…200 °С</t>
        </is>
      </c>
      <c r="G66" s="17" t="inlineStr">
        <is>
          <t>А</t>
        </is>
      </c>
      <c r="H66" s="17" t="inlineStr">
        <is>
          <t>Температура газа на выходе АВО перед краном 2</t>
        </is>
      </c>
      <c r="I66" s="8" t="inlineStr">
        <is>
          <t>ГПА 61 АВОГ</t>
        </is>
      </c>
      <c r="J66" s="15" t="inlineStr">
        <is>
          <t>АСУ,А и ТМ (КЦ № 6)</t>
        </is>
      </c>
      <c r="K66" s="15" t="n">
        <v>2012</v>
      </c>
      <c r="L66" s="14" t="n">
        <v>36</v>
      </c>
      <c r="M66" s="3" t="n"/>
      <c r="N66" s="70" t="n"/>
    </row>
    <row r="67" ht="22.5" customHeight="1" s="151">
      <c r="A67" s="15">
        <f>IF(B67&lt;&gt;"", COUNTA($B$2:B67), "")</f>
        <v/>
      </c>
      <c r="B67" s="73" t="inlineStr">
        <is>
          <t>Преобразователь избыточного давления</t>
        </is>
      </c>
      <c r="C67" s="14" t="inlineStr">
        <is>
          <t>YOKOGAVA EJX110А-EНS5J-B19DM/KF21/QR</t>
        </is>
      </c>
      <c r="D67" s="14" t="inlineStr">
        <is>
          <t>91М439692.217</t>
        </is>
      </c>
      <c r="E67" s="14" t="n">
        <v>2012</v>
      </c>
      <c r="F67" s="14" t="inlineStr">
        <is>
          <t xml:space="preserve">0…160 кПa </t>
        </is>
      </c>
      <c r="G67" s="20" t="n">
        <v>0.0004</v>
      </c>
      <c r="H67" s="14" t="inlineStr">
        <is>
          <t>Перепад давления на АВО газа</t>
        </is>
      </c>
      <c r="I67" s="8" t="inlineStr">
        <is>
          <t>ГПА 61 АВОГ</t>
        </is>
      </c>
      <c r="J67" s="15" t="inlineStr">
        <is>
          <t>АСУ,А и ТМ (КЦ № 6)</t>
        </is>
      </c>
      <c r="K67" s="15" t="n">
        <v>2012</v>
      </c>
      <c r="L67" s="14" t="n">
        <v>60</v>
      </c>
      <c r="M67" s="3" t="n"/>
      <c r="N67" s="70" t="n"/>
    </row>
    <row r="68" ht="22.5" customHeight="1" s="151">
      <c r="A68" s="15">
        <f>IF(B68&lt;&gt;"", COUNTA($B$2:B68), "")</f>
        <v/>
      </c>
      <c r="B68" s="73" t="inlineStr">
        <is>
          <t>Преобразователь избыточного давления</t>
        </is>
      </c>
      <c r="C68" s="14" t="inlineStr">
        <is>
          <t>YOKOGAVA EJX530А-EDS9N-019DL/KF21/QR</t>
        </is>
      </c>
      <c r="D68" s="14" t="inlineStr">
        <is>
          <t>91M439736.217</t>
        </is>
      </c>
      <c r="E68" s="14" t="n">
        <v>2012</v>
      </c>
      <c r="F68" s="14" t="inlineStr">
        <is>
          <t>0…16 МПа</t>
        </is>
      </c>
      <c r="G68" s="20" t="n">
        <v>0.001</v>
      </c>
      <c r="H68" s="14" t="inlineStr">
        <is>
          <t>Давление газа на выходе АВО (до крана №2)</t>
        </is>
      </c>
      <c r="I68" s="8" t="inlineStr">
        <is>
          <t>ГПА 61 АВОГ</t>
        </is>
      </c>
      <c r="J68" s="15" t="inlineStr">
        <is>
          <t>АСУ,А и ТМ (КЦ № 6)</t>
        </is>
      </c>
      <c r="K68" s="15" t="n">
        <v>2012</v>
      </c>
      <c r="L68" s="14" t="n">
        <v>60</v>
      </c>
      <c r="M68" s="3" t="n"/>
      <c r="N68" s="70" t="n"/>
    </row>
    <row r="69">
      <c r="A69" s="15">
        <f>IF(B69&lt;&gt;"", COUNTA($B$2:B69), "")</f>
        <v/>
      </c>
      <c r="B69" s="16" t="inlineStr">
        <is>
          <t>Термометр сопротивления</t>
        </is>
      </c>
      <c r="C69" s="17" t="inlineStr">
        <is>
          <t>ТСП 012.60 Pt100/В/3</t>
        </is>
      </c>
      <c r="D69" s="17" t="inlineStr">
        <is>
          <t>454</t>
        </is>
      </c>
      <c r="E69" s="14" t="n">
        <v>2011</v>
      </c>
      <c r="F69" s="17" t="inlineStr">
        <is>
          <t>-50…130 °С</t>
        </is>
      </c>
      <c r="G69" s="17" t="inlineStr">
        <is>
          <t>B</t>
        </is>
      </c>
      <c r="H69" s="16" t="inlineStr">
        <is>
          <t>Температура масла на выходе МОД</t>
        </is>
      </c>
      <c r="I69" s="15" t="inlineStr">
        <is>
          <t>ГПА 61</t>
        </is>
      </c>
      <c r="J69" s="15" t="inlineStr">
        <is>
          <t>АСУ,А и ТМ (КЦ № 6)</t>
        </is>
      </c>
      <c r="K69" s="15" t="n">
        <v>2012</v>
      </c>
      <c r="L69" s="14" t="n">
        <v>36</v>
      </c>
      <c r="M69" s="3" t="n"/>
      <c r="N69" s="70" t="n"/>
    </row>
    <row r="70">
      <c r="A70" s="15">
        <f>IF(B70&lt;&gt;"", COUNTA($B$2:B70), "")</f>
        <v/>
      </c>
      <c r="B70" s="16" t="inlineStr">
        <is>
          <t>Термометр сопротивления</t>
        </is>
      </c>
      <c r="C70" s="17" t="inlineStr">
        <is>
          <t>Метран 256-04 100П/В/3</t>
        </is>
      </c>
      <c r="D70" s="17" t="inlineStr">
        <is>
          <t>2025077</t>
        </is>
      </c>
      <c r="E70" s="17" t="inlineStr">
        <is>
          <t>2011</t>
        </is>
      </c>
      <c r="F70" s="17" t="inlineStr">
        <is>
          <t>-50…200 °С</t>
        </is>
      </c>
      <c r="G70" s="17" t="inlineStr">
        <is>
          <t>B</t>
        </is>
      </c>
      <c r="H70" s="16" t="inlineStr">
        <is>
          <t>Температура масла на входе в МОД</t>
        </is>
      </c>
      <c r="I70" s="15" t="inlineStr">
        <is>
          <t>ГПА 61</t>
        </is>
      </c>
      <c r="J70" s="15" t="inlineStr">
        <is>
          <t>АСУ,А и ТМ (КЦ № 6)</t>
        </is>
      </c>
      <c r="K70" s="15" t="n"/>
      <c r="L70" s="26" t="n"/>
      <c r="M70" s="3" t="n"/>
      <c r="N70" s="70" t="n"/>
    </row>
    <row r="71">
      <c r="A71" s="15">
        <f>IF(B71&lt;&gt;"", COUNTA($B$2:B71), "")</f>
        <v/>
      </c>
      <c r="B71" s="16" t="inlineStr">
        <is>
          <t>Термометр сопротивления</t>
        </is>
      </c>
      <c r="C71" s="17" t="inlineStr">
        <is>
          <t>ТСП 012П 100П/В/4</t>
        </is>
      </c>
      <c r="D71" s="15" t="n">
        <v>17</v>
      </c>
      <c r="E71" s="15" t="n">
        <v>2011</v>
      </c>
      <c r="F71" s="17" t="inlineStr">
        <is>
          <t>-50…130 °С</t>
        </is>
      </c>
      <c r="G71" s="17" t="inlineStr">
        <is>
          <t>B</t>
        </is>
      </c>
      <c r="H71" s="16" t="inlineStr">
        <is>
          <t>Температура секции МОД</t>
        </is>
      </c>
      <c r="I71" s="15" t="inlineStr">
        <is>
          <t>ГПА 61</t>
        </is>
      </c>
      <c r="J71" s="15" t="inlineStr">
        <is>
          <t>АСУ,А и ТМ (КЦ № 6)</t>
        </is>
      </c>
      <c r="K71" s="15" t="n">
        <v>2012</v>
      </c>
      <c r="L71" s="14" t="n">
        <v>36</v>
      </c>
      <c r="M71" s="3" t="n"/>
      <c r="N71" s="70" t="n"/>
    </row>
    <row r="72" ht="22.5" customHeight="1" s="151">
      <c r="A72" s="15">
        <f>IF(B72&lt;&gt;"", COUNTA($B$2:B72), "")</f>
        <v/>
      </c>
      <c r="B72" s="16" t="inlineStr">
        <is>
          <t>Термометр сопротивления</t>
        </is>
      </c>
      <c r="C72" s="17" t="inlineStr">
        <is>
          <t>ТСП 012П 100П/В/4</t>
        </is>
      </c>
      <c r="D72" s="17" t="inlineStr">
        <is>
          <t>11</t>
        </is>
      </c>
      <c r="E72" s="15" t="n">
        <v>2013</v>
      </c>
      <c r="F72" s="17" t="inlineStr">
        <is>
          <t>-50…200 °С</t>
        </is>
      </c>
      <c r="G72" s="17" t="inlineStr">
        <is>
          <t>B</t>
        </is>
      </c>
      <c r="H72" s="17" t="inlineStr">
        <is>
          <t>Температура поверхности электронагревателей МОД</t>
        </is>
      </c>
      <c r="I72" s="15" t="inlineStr">
        <is>
          <t>ГПА 61</t>
        </is>
      </c>
      <c r="J72" s="15" t="inlineStr">
        <is>
          <t>АСУ,А и ТМ (КЦ № 6)</t>
        </is>
      </c>
      <c r="K72" s="15" t="n">
        <v>2012</v>
      </c>
      <c r="L72" s="14" t="n">
        <v>36</v>
      </c>
      <c r="M72" s="3" t="n"/>
      <c r="N72" s="70" t="n"/>
    </row>
    <row r="73" ht="22.5" customHeight="1" s="151">
      <c r="A73" s="15">
        <f>IF(B73&lt;&gt;"", COUNTA($B$2:B73), "")</f>
        <v/>
      </c>
      <c r="B73" s="280" t="inlineStr">
        <is>
          <t>Выключатель давления</t>
        </is>
      </c>
      <c r="C73" s="10" t="inlineStr">
        <is>
          <t>Садко 44 ТЖИУ 406422.004</t>
        </is>
      </c>
      <c r="D73" s="71" t="n">
        <v>124603</v>
      </c>
      <c r="E73" s="10" t="n">
        <v>2011</v>
      </c>
      <c r="F73" s="14" t="inlineStr">
        <is>
          <t>0,04…0,15 МПа</t>
        </is>
      </c>
      <c r="G73" s="10" t="n"/>
      <c r="H73" s="15" t="inlineStr">
        <is>
          <t>Перепад давления масла на фильтрах смазки после МОД</t>
        </is>
      </c>
      <c r="I73" s="15" t="inlineStr">
        <is>
          <t>ГПА 61</t>
        </is>
      </c>
      <c r="J73" s="15" t="inlineStr">
        <is>
          <t>АСУ,А и ТМ (КЦ № 6)</t>
        </is>
      </c>
      <c r="K73" s="15" t="n">
        <v>2012</v>
      </c>
      <c r="L73" s="15" t="n"/>
      <c r="M73" s="3" t="n"/>
      <c r="N73" s="70" t="n"/>
    </row>
    <row r="74" ht="22.5" customHeight="1" s="151">
      <c r="A74" s="15">
        <f>IF(B74&lt;&gt;"", COUNTA($B$2:B74), "")</f>
        <v/>
      </c>
      <c r="B74" s="280" t="inlineStr">
        <is>
          <t>Выключатель давления</t>
        </is>
      </c>
      <c r="C74" s="10" t="inlineStr">
        <is>
          <t>Садко 44 ТЖИУ 406422.004</t>
        </is>
      </c>
      <c r="D74" s="71" t="n">
        <v>124779</v>
      </c>
      <c r="E74" s="10" t="n">
        <v>2011</v>
      </c>
      <c r="F74" s="14" t="inlineStr">
        <is>
          <t>0,01…0,04 МПа</t>
        </is>
      </c>
      <c r="G74" s="10" t="n"/>
      <c r="H74" s="15" t="inlineStr">
        <is>
          <t>Перепад давления масла на фильтрах двигателя</t>
        </is>
      </c>
      <c r="I74" s="15" t="inlineStr">
        <is>
          <t>ГПА 61</t>
        </is>
      </c>
      <c r="J74" s="15" t="inlineStr">
        <is>
          <t>АСУ,А и ТМ (КЦ № 6)</t>
        </is>
      </c>
      <c r="K74" s="15" t="n">
        <v>2012</v>
      </c>
      <c r="L74" s="15" t="n"/>
      <c r="M74" s="3" t="n"/>
      <c r="N74" s="70" t="n"/>
    </row>
    <row r="75" ht="22.5" customHeight="1" s="151">
      <c r="A75" s="15">
        <f>IF(B75&lt;&gt;"", COUNTA($B$2:B75), "")</f>
        <v/>
      </c>
      <c r="B75" s="280" t="inlineStr">
        <is>
          <t>Выключатель давления</t>
        </is>
      </c>
      <c r="C75" s="10" t="inlineStr">
        <is>
          <t>Садко 107 ТЖИУ 406423.004</t>
        </is>
      </c>
      <c r="D75" s="71" t="n">
        <v>124019</v>
      </c>
      <c r="E75" s="10" t="n">
        <v>2011</v>
      </c>
      <c r="F75" s="14" t="inlineStr">
        <is>
          <t>0,09…0,5 МПа</t>
        </is>
      </c>
      <c r="G75" s="10" t="n"/>
      <c r="H75" s="15" t="inlineStr">
        <is>
          <t>Давление масла на входе в фильтр  маслобака</t>
        </is>
      </c>
      <c r="I75" s="15" t="inlineStr">
        <is>
          <t>ГПА 61</t>
        </is>
      </c>
      <c r="J75" s="15" t="inlineStr">
        <is>
          <t>АСУ,А и ТМ (КЦ № 6)</t>
        </is>
      </c>
      <c r="K75" s="15" t="n">
        <v>2012</v>
      </c>
      <c r="L75" s="15" t="n"/>
      <c r="M75" s="3" t="n"/>
      <c r="N75" s="70" t="n"/>
    </row>
    <row r="76" ht="22.5" customHeight="1" s="151">
      <c r="A76" s="15">
        <f>IF(B76&lt;&gt;"", COUNTA($B$2:B76), "")</f>
        <v/>
      </c>
      <c r="B76" s="280" t="inlineStr">
        <is>
          <t>Выключатель давления</t>
        </is>
      </c>
      <c r="C76" s="10" t="inlineStr">
        <is>
          <t>Садко 44 ТЖИУ 406422.004</t>
        </is>
      </c>
      <c r="D76" s="71" t="n">
        <v>122901</v>
      </c>
      <c r="E76" s="10" t="n">
        <v>2011</v>
      </c>
      <c r="F76" s="14" t="inlineStr">
        <is>
          <t>0,04…0,15 МПа</t>
        </is>
      </c>
      <c r="G76" s="10" t="n"/>
      <c r="H76" s="15" t="inlineStr">
        <is>
          <t>Перепад давления запирающего воздуха на фильтре</t>
        </is>
      </c>
      <c r="I76" s="15" t="inlineStr">
        <is>
          <t>ГПА 61</t>
        </is>
      </c>
      <c r="J76" s="15" t="inlineStr">
        <is>
          <t>АСУ,А и ТМ (КЦ № 6)</t>
        </is>
      </c>
      <c r="K76" s="15" t="n">
        <v>2012</v>
      </c>
      <c r="L76" s="15" t="n"/>
      <c r="M76" s="3" t="n"/>
      <c r="N76" s="70" t="n"/>
    </row>
    <row r="77">
      <c r="A77" s="15">
        <f>IF(B77&lt;&gt;"", COUNTA($B$2:B77), "")</f>
        <v/>
      </c>
      <c r="B77" s="280" t="inlineStr">
        <is>
          <t>Выключатель давления</t>
        </is>
      </c>
      <c r="C77" s="10" t="inlineStr">
        <is>
          <t>Садко 107 ТЖИУ 406423.004</t>
        </is>
      </c>
      <c r="D77" s="71" t="n">
        <v>122938</v>
      </c>
      <c r="E77" s="10" t="n">
        <v>2011</v>
      </c>
      <c r="F77" s="14" t="inlineStr">
        <is>
          <t>3…6 МПа</t>
        </is>
      </c>
      <c r="G77" s="10" t="n"/>
      <c r="H77" s="15" t="inlineStr">
        <is>
          <t>Сигнализатор обрыва металлорукава</t>
        </is>
      </c>
      <c r="I77" s="15" t="inlineStr">
        <is>
          <t>ГПА 61</t>
        </is>
      </c>
      <c r="J77" s="15" t="inlineStr">
        <is>
          <t>АСУ,А и ТМ (КЦ № 6)</t>
        </is>
      </c>
      <c r="K77" s="15" t="n">
        <v>2012</v>
      </c>
      <c r="L77" s="15" t="n"/>
      <c r="M77" s="3" t="n"/>
      <c r="N77" s="70" t="n"/>
    </row>
    <row r="78" ht="33.75" customHeight="1" s="151">
      <c r="A78" s="15">
        <f>IF(B78&lt;&gt;"", COUNTA($B$2:B78), "")</f>
        <v/>
      </c>
      <c r="B78" s="16" t="inlineStr">
        <is>
          <t>Термометр сопротивления</t>
        </is>
      </c>
      <c r="C78" s="17" t="inlineStr">
        <is>
          <t>ТСП 012.60 Pt100/В/3</t>
        </is>
      </c>
      <c r="D78" s="17" t="inlineStr">
        <is>
          <t>332</t>
        </is>
      </c>
      <c r="E78" s="15" t="n">
        <v>2011</v>
      </c>
      <c r="F78" s="17" t="inlineStr">
        <is>
          <t>-60…200 °С</t>
        </is>
      </c>
      <c r="G78" s="17" t="inlineStr">
        <is>
          <t>B</t>
        </is>
      </c>
      <c r="H78" s="17" t="inlineStr">
        <is>
          <t>Температура защитного воздуха на выходе оболочки опорно-упорного подшипника (задний)</t>
        </is>
      </c>
      <c r="I78" s="15" t="inlineStr">
        <is>
          <t>ГПА 61</t>
        </is>
      </c>
      <c r="J78" s="15" t="inlineStr">
        <is>
          <t>АСУ,А и ТМ (КЦ № 6)</t>
        </is>
      </c>
      <c r="K78" s="15" t="n">
        <v>2012</v>
      </c>
      <c r="L78" s="14" t="n">
        <v>36</v>
      </c>
      <c r="M78" s="3" t="n"/>
      <c r="N78" s="70" t="n"/>
    </row>
    <row r="79">
      <c r="A79" s="15">
        <f>IF(B79&lt;&gt;"", COUNTA($B$2:B79), "")</f>
        <v/>
      </c>
      <c r="B79" s="3" t="inlineStr">
        <is>
          <t xml:space="preserve">Расходомер                 </t>
        </is>
      </c>
      <c r="C79" s="14" t="inlineStr">
        <is>
          <t xml:space="preserve">СУРГ 1.000 </t>
        </is>
      </c>
      <c r="D79" s="14" t="inlineStr">
        <is>
          <t>01.1359</t>
        </is>
      </c>
      <c r="E79" s="15" t="n">
        <v>2011</v>
      </c>
      <c r="F79" s="14" t="inlineStr">
        <is>
          <t xml:space="preserve">0…100000 кг/час </t>
        </is>
      </c>
      <c r="G79" s="18" t="n">
        <v>0.03</v>
      </c>
      <c r="H79" s="14" t="inlineStr">
        <is>
          <t xml:space="preserve"> (Наддув) под кожухом двигателя</t>
        </is>
      </c>
      <c r="I79" s="15" t="inlineStr">
        <is>
          <t>ГПА 61</t>
        </is>
      </c>
      <c r="J79" s="15" t="inlineStr">
        <is>
          <t>АСУ,А и ТМ (КЦ № 6)</t>
        </is>
      </c>
      <c r="K79" s="15" t="n">
        <v>2012</v>
      </c>
      <c r="L79" s="14" t="n">
        <v>36</v>
      </c>
      <c r="M79" s="3" t="n"/>
      <c r="N79" s="70" t="n"/>
    </row>
    <row r="80" ht="22.5" customHeight="1" s="151">
      <c r="A80" s="15">
        <f>IF(B80&lt;&gt;"", COUNTA($B$2:B80), "")</f>
        <v/>
      </c>
      <c r="B80" s="73" t="inlineStr">
        <is>
          <t>Преобразователь избыточного давления</t>
        </is>
      </c>
      <c r="C80" s="14" t="inlineStr">
        <is>
          <t>Метран 150 TG2</t>
        </is>
      </c>
      <c r="D80" s="14" t="n">
        <v>950560</v>
      </c>
      <c r="E80" s="14" t="n">
        <v>2010</v>
      </c>
      <c r="F80" s="14" t="inlineStr">
        <is>
          <t xml:space="preserve">0…600 кПa </t>
        </is>
      </c>
      <c r="G80" s="20" t="n">
        <v>0.002</v>
      </c>
      <c r="H80" s="14" t="inlineStr">
        <is>
          <t>Давление газа на выходе 1-ой ступени ТУ ПКВ</t>
        </is>
      </c>
      <c r="I80" s="15" t="inlineStr">
        <is>
          <t>ГПА 61</t>
        </is>
      </c>
      <c r="J80" s="15" t="inlineStr">
        <is>
          <t>АСУ,А и ТМ (КЦ № 6)</t>
        </is>
      </c>
      <c r="K80" s="15" t="n">
        <v>2012</v>
      </c>
      <c r="L80" s="14" t="n">
        <v>48</v>
      </c>
      <c r="M80" s="3" t="n"/>
      <c r="N80" s="70" t="n"/>
    </row>
    <row r="81" ht="22.5" customHeight="1" s="151">
      <c r="A81" s="15">
        <f>IF(B81&lt;&gt;"", COUNTA($B$2:B83), "")</f>
        <v/>
      </c>
      <c r="B81" s="73" t="inlineStr">
        <is>
          <t>Преобразователь избыточного давления</t>
        </is>
      </c>
      <c r="C81" s="14" t="inlineStr">
        <is>
          <t>Метран 150 TG2</t>
        </is>
      </c>
      <c r="D81" s="14" t="n">
        <v>1066247</v>
      </c>
      <c r="E81" s="15" t="n">
        <v>2011</v>
      </c>
      <c r="F81" s="14" t="inlineStr">
        <is>
          <t xml:space="preserve">0…600 кПa </t>
        </is>
      </c>
      <c r="G81" s="20" t="n">
        <v>0.002</v>
      </c>
      <c r="H81" s="14" t="inlineStr">
        <is>
          <t>Давление газа на выходе 1-ой ступени ТУ ЗКВ</t>
        </is>
      </c>
      <c r="I81" s="15" t="inlineStr">
        <is>
          <t>ГПА 61</t>
        </is>
      </c>
      <c r="J81" s="15" t="inlineStr">
        <is>
          <t>АСУ,А и ТМ (КЦ № 6)</t>
        </is>
      </c>
      <c r="K81" s="15" t="n">
        <v>2012</v>
      </c>
      <c r="L81" s="14" t="n">
        <v>48</v>
      </c>
      <c r="M81" s="3" t="n"/>
      <c r="N81" s="70" t="n"/>
    </row>
    <row r="82" ht="22.5" customHeight="1" s="151">
      <c r="A82" s="15">
        <f>IF(B82&lt;&gt;"", COUNTA($B$2:B82), "")</f>
        <v/>
      </c>
      <c r="B82" s="73" t="inlineStr">
        <is>
          <t>Преобразователь избыточного давления</t>
        </is>
      </c>
      <c r="C82" s="14" t="inlineStr">
        <is>
          <t>Метран 150 TG4</t>
        </is>
      </c>
      <c r="D82" s="14" t="n">
        <v>6112274</v>
      </c>
      <c r="E82" s="14" t="n">
        <v>2019</v>
      </c>
      <c r="F82" s="14" t="inlineStr">
        <is>
          <t>0…16 МПа</t>
        </is>
      </c>
      <c r="G82" s="17" t="inlineStr">
        <is>
          <t>0,075%</t>
        </is>
      </c>
      <c r="H82" s="14" t="inlineStr">
        <is>
          <t>Давление газа на выходе бустерной компрессорной установки</t>
        </is>
      </c>
      <c r="I82" s="15" t="inlineStr">
        <is>
          <t>ГПА 61</t>
        </is>
      </c>
      <c r="J82" s="15" t="inlineStr">
        <is>
          <t>АСУ,А и ТМ (КЦ № 6)</t>
        </is>
      </c>
      <c r="K82" s="15" t="n">
        <v>2019</v>
      </c>
      <c r="L82" s="14" t="n"/>
      <c r="M82" s="3" t="n"/>
      <c r="N82" s="70" t="n"/>
    </row>
    <row r="83" ht="22.5" customHeight="1" s="151">
      <c r="A83" s="15">
        <f>IF(B83&lt;&gt;"", COUNTA($B$2:B83), "")</f>
        <v/>
      </c>
      <c r="B83" s="73" t="inlineStr">
        <is>
          <t>Преобразователь избыточного давления</t>
        </is>
      </c>
      <c r="C83" s="14" t="inlineStr">
        <is>
          <t>Метран 150 CD4</t>
        </is>
      </c>
      <c r="D83" s="14" t="n">
        <v>6112272</v>
      </c>
      <c r="E83" s="14" t="n">
        <v>2019</v>
      </c>
      <c r="F83" s="14" t="inlineStr">
        <is>
          <t>0…500 кПа</t>
        </is>
      </c>
      <c r="G83" s="17" t="inlineStr">
        <is>
          <t>0,075%</t>
        </is>
      </c>
      <c r="H83" s="14" t="inlineStr">
        <is>
          <t>Перепад давления газа на фильтре бустерной компрессорной установки</t>
        </is>
      </c>
      <c r="I83" s="15" t="inlineStr">
        <is>
          <t>ГПА 61</t>
        </is>
      </c>
      <c r="J83" s="15" t="inlineStr">
        <is>
          <t>АСУ,А и ТМ (КЦ № 6)</t>
        </is>
      </c>
      <c r="K83" s="15" t="n">
        <v>2019</v>
      </c>
      <c r="L83" s="14" t="n"/>
      <c r="M83" s="3" t="n"/>
      <c r="N83" s="70" t="n"/>
    </row>
    <row r="84" ht="22.5" customHeight="1" s="151">
      <c r="A84" s="15">
        <f>IF(B84&lt;&gt;"", COUNTA($B$2:B84), "")</f>
        <v/>
      </c>
      <c r="B84" s="73" t="inlineStr">
        <is>
          <t>Преобразователь избыточного давления</t>
        </is>
      </c>
      <c r="C84" s="14" t="inlineStr">
        <is>
          <t>Honeywell STD-924</t>
        </is>
      </c>
      <c r="D84" s="14" t="inlineStr">
        <is>
          <t>11W20 C3316711002002</t>
        </is>
      </c>
      <c r="E84" s="15" t="n">
        <v>2011</v>
      </c>
      <c r="F84" s="14" t="inlineStr">
        <is>
          <t>0…25 кПa</t>
        </is>
      </c>
      <c r="G84" s="20" t="n">
        <v>0.00075</v>
      </c>
      <c r="H84" s="14" t="inlineStr">
        <is>
          <t>Перепад давления газ-газ</t>
        </is>
      </c>
      <c r="I84" s="15" t="inlineStr">
        <is>
          <t>ГПА 61</t>
        </is>
      </c>
      <c r="J84" s="15" t="inlineStr">
        <is>
          <t>АСУ,А и ТМ (КЦ № 6)</t>
        </is>
      </c>
      <c r="K84" s="15" t="n">
        <v>2012</v>
      </c>
      <c r="L84" s="14" t="n">
        <v>60</v>
      </c>
      <c r="M84" s="3" t="n"/>
      <c r="N84" s="70" t="n"/>
    </row>
    <row r="85" ht="22.5" customHeight="1" s="151">
      <c r="A85" s="15">
        <f>IF(B85&lt;&gt;"", COUNTA($B$2:B85), "")</f>
        <v/>
      </c>
      <c r="B85" s="73" t="inlineStr">
        <is>
          <t>Преобразователь избыточного давления</t>
        </is>
      </c>
      <c r="C85" s="14" t="inlineStr">
        <is>
          <t>Метран 150 CD3</t>
        </is>
      </c>
      <c r="D85" s="14" t="n">
        <v>1011861</v>
      </c>
      <c r="E85" s="15" t="n">
        <v>2011</v>
      </c>
      <c r="F85" s="14" t="inlineStr">
        <is>
          <t>0…250 кПа</t>
        </is>
      </c>
      <c r="G85" s="20" t="n">
        <v>0.002</v>
      </c>
      <c r="H85" s="14" t="inlineStr">
        <is>
          <t>Перепад давления газа на фильтрах панели ТГДУ</t>
        </is>
      </c>
      <c r="I85" s="15" t="inlineStr">
        <is>
          <t>ГПА 61</t>
        </is>
      </c>
      <c r="J85" s="15" t="inlineStr">
        <is>
          <t>АСУ,А и ТМ (КЦ № 6)</t>
        </is>
      </c>
      <c r="K85" s="15" t="n">
        <v>2012</v>
      </c>
      <c r="L85" s="14" t="n">
        <v>48</v>
      </c>
      <c r="M85" s="3" t="n"/>
      <c r="N85" s="70" t="n"/>
    </row>
    <row r="86" ht="22.5" customHeight="1" s="151">
      <c r="A86" s="15">
        <f>IF(B86&lt;&gt;"", COUNTA($B$2:B86), "")</f>
        <v/>
      </c>
      <c r="B86" s="73" t="inlineStr">
        <is>
          <t>Преобразователь избыточного давления</t>
        </is>
      </c>
      <c r="C86" s="14" t="inlineStr">
        <is>
          <t xml:space="preserve">Метран 150 CD1 </t>
        </is>
      </c>
      <c r="D86" s="14" t="n">
        <v>1372832</v>
      </c>
      <c r="E86" s="15" t="n">
        <v>2011</v>
      </c>
      <c r="F86" s="14" t="inlineStr">
        <is>
          <t>0…0,63 кПа</t>
        </is>
      </c>
      <c r="G86" s="20" t="n">
        <v>0.001</v>
      </c>
      <c r="H86" s="14" t="inlineStr">
        <is>
          <t>Перепад давления воздуха на мультициклонных блоках (фильтрах)</t>
        </is>
      </c>
      <c r="I86" s="15" t="inlineStr">
        <is>
          <t>ГПА 61</t>
        </is>
      </c>
      <c r="J86" s="15" t="inlineStr">
        <is>
          <t>АСУ,А и ТМ (КЦ № 6)</t>
        </is>
      </c>
      <c r="K86" s="15" t="n">
        <v>2012</v>
      </c>
      <c r="L86" s="14" t="n">
        <v>60</v>
      </c>
      <c r="M86" s="3" t="n"/>
      <c r="N86" s="70" t="n"/>
    </row>
    <row r="87" ht="22.5" customHeight="1" s="151">
      <c r="A87" s="15">
        <f>IF(B87&lt;&gt;"", COUNTA($B$2:B87), "")</f>
        <v/>
      </c>
      <c r="B87" s="73" t="inlineStr">
        <is>
          <t>Преобразователь избыточного давления</t>
        </is>
      </c>
      <c r="C87" s="14" t="inlineStr">
        <is>
          <t xml:space="preserve">Метран 150 CD1 </t>
        </is>
      </c>
      <c r="D87" s="14" t="n">
        <v>1372833</v>
      </c>
      <c r="E87" s="15" t="n">
        <v>2011</v>
      </c>
      <c r="F87" s="14" t="inlineStr">
        <is>
          <t>0…1,6 кПа</t>
        </is>
      </c>
      <c r="G87" s="20" t="n">
        <v>0.001</v>
      </c>
      <c r="H87" s="14" t="inlineStr">
        <is>
          <t>Перепад давления воздуха на кассетных фильтрах</t>
        </is>
      </c>
      <c r="I87" s="15" t="inlineStr">
        <is>
          <t>ГПА 61</t>
        </is>
      </c>
      <c r="J87" s="15" t="inlineStr">
        <is>
          <t>АСУ,А и ТМ (КЦ № 6)</t>
        </is>
      </c>
      <c r="K87" s="15" t="n">
        <v>2012</v>
      </c>
      <c r="L87" s="14" t="n">
        <v>60</v>
      </c>
      <c r="M87" s="3" t="n"/>
      <c r="N87" s="70" t="n"/>
    </row>
    <row r="88" ht="22.5" customHeight="1" s="151">
      <c r="A88" s="15">
        <f>IF(B88&lt;&gt;"", COUNTA($B$2:B88), "")</f>
        <v/>
      </c>
      <c r="B88" s="73" t="inlineStr">
        <is>
          <t>Преобразователь избыточного давления</t>
        </is>
      </c>
      <c r="C88" s="14" t="inlineStr">
        <is>
          <t>YOKOGAVA EJX530А-EDS9N-019DL/KF21/QR</t>
        </is>
      </c>
      <c r="D88" s="14" t="inlineStr">
        <is>
          <t>91М439734.217</t>
        </is>
      </c>
      <c r="E88" s="14" t="n">
        <v>2012</v>
      </c>
      <c r="F88" s="14" t="inlineStr">
        <is>
          <t>0…16 МПа</t>
        </is>
      </c>
      <c r="G88" s="20" t="n">
        <v>0.001</v>
      </c>
      <c r="H88" s="14" t="inlineStr">
        <is>
          <t>Давление газа на выходе АВО (после крана №2)</t>
        </is>
      </c>
      <c r="I88" s="15" t="inlineStr">
        <is>
          <t>ГПА 61</t>
        </is>
      </c>
      <c r="J88" s="15" t="inlineStr">
        <is>
          <t>АСУ,А и ТМ (КЦ № 6)</t>
        </is>
      </c>
      <c r="K88" s="15" t="n">
        <v>2012</v>
      </c>
      <c r="L88" s="14" t="n">
        <v>60</v>
      </c>
      <c r="M88" s="3" t="n"/>
      <c r="N88" s="70" t="n"/>
    </row>
    <row r="89" ht="22.5" customHeight="1" s="151">
      <c r="A89" s="15">
        <f>IF(B89&lt;&gt;"", COUNTA($B$2:B89), "")</f>
        <v/>
      </c>
      <c r="B89" s="73" t="inlineStr">
        <is>
          <t>Преобразователь избыточного давления</t>
        </is>
      </c>
      <c r="C89" s="14" t="inlineStr">
        <is>
          <t>YOKOGAVA EJX110А-EНS5J-B19DM/KF21/QR</t>
        </is>
      </c>
      <c r="D89" s="14" t="inlineStr">
        <is>
          <t>91М439690.217</t>
        </is>
      </c>
      <c r="E89" s="14" t="n">
        <v>2012</v>
      </c>
      <c r="F89" s="14" t="inlineStr">
        <is>
          <t>0…0,16 МПа</t>
        </is>
      </c>
      <c r="G89" s="20" t="n">
        <v>0.0004</v>
      </c>
      <c r="H89" s="14" t="inlineStr">
        <is>
          <t>Перепад давлений газа на сетке перед компрессором (защитная решетка)</t>
        </is>
      </c>
      <c r="I89" s="15" t="inlineStr">
        <is>
          <t>ГПА 61</t>
        </is>
      </c>
      <c r="J89" s="15" t="inlineStr">
        <is>
          <t>АСУ,А и ТМ (КЦ № 6)</t>
        </is>
      </c>
      <c r="K89" s="15" t="n">
        <v>2012</v>
      </c>
      <c r="L89" s="14" t="n">
        <v>60</v>
      </c>
      <c r="M89" s="3" t="n"/>
      <c r="N89" s="70" t="n"/>
    </row>
    <row r="90" ht="22.5" customHeight="1" s="151">
      <c r="A90" s="15">
        <f>IF(B90&lt;&gt;"", COUNTA($B$2:B90), "")</f>
        <v/>
      </c>
      <c r="B90" s="73" t="inlineStr">
        <is>
          <t>Преобразователь избыточного давления</t>
        </is>
      </c>
      <c r="C90" s="14" t="inlineStr">
        <is>
          <t>YOKOGAVA EJX110А-EНS5J-B19DM/KF21/QR</t>
        </is>
      </c>
      <c r="D90" s="14" t="inlineStr">
        <is>
          <t>91М439689.217</t>
        </is>
      </c>
      <c r="E90" s="14" t="n">
        <v>2012</v>
      </c>
      <c r="F90" s="14" t="inlineStr">
        <is>
          <t>0…400 кПа</t>
        </is>
      </c>
      <c r="G90" s="20" t="n">
        <v>0.0004</v>
      </c>
      <c r="H90" s="14" t="inlineStr">
        <is>
          <t>Перепад давления газа на кране №1</t>
        </is>
      </c>
      <c r="I90" s="15" t="inlineStr">
        <is>
          <t>ГПА 61</t>
        </is>
      </c>
      <c r="J90" s="15" t="inlineStr">
        <is>
          <t>АСУ,А и ТМ (КЦ № 6)</t>
        </is>
      </c>
      <c r="K90" s="15" t="n">
        <v>2012</v>
      </c>
      <c r="L90" s="14" t="n">
        <v>60</v>
      </c>
      <c r="M90" s="3" t="n"/>
      <c r="N90" s="70" t="n"/>
    </row>
    <row r="91" ht="22.5" customHeight="1" s="151">
      <c r="A91" s="15">
        <f>IF(B91&lt;&gt;"", COUNTA($B$2:B91), "")</f>
        <v/>
      </c>
      <c r="B91" s="73" t="inlineStr">
        <is>
          <t>Преобразователь избыточного давления</t>
        </is>
      </c>
      <c r="C91" s="14" t="inlineStr">
        <is>
          <t>Honeywell STG-97L</t>
        </is>
      </c>
      <c r="D91" s="14" t="inlineStr">
        <is>
          <t>10W44 C3273987003003</t>
        </is>
      </c>
      <c r="E91" s="14" t="n">
        <v>2010</v>
      </c>
      <c r="F91" s="14" t="inlineStr">
        <is>
          <t>0…4 МПа</t>
        </is>
      </c>
      <c r="G91" s="14" t="n">
        <v>0.075</v>
      </c>
      <c r="H91" s="14" t="inlineStr">
        <is>
          <t>Давление воздуха за КВД</t>
        </is>
      </c>
      <c r="I91" s="15" t="inlineStr">
        <is>
          <t>ГПА 61</t>
        </is>
      </c>
      <c r="J91" s="15" t="inlineStr">
        <is>
          <t>АСУ,А и ТМ (КЦ № 6)</t>
        </is>
      </c>
      <c r="K91" s="15" t="n">
        <v>2012</v>
      </c>
      <c r="L91" s="14" t="n">
        <v>36</v>
      </c>
      <c r="M91" s="3" t="n"/>
      <c r="N91" s="70" t="n"/>
    </row>
    <row r="92" ht="22.5" customHeight="1" s="151">
      <c r="A92" s="15">
        <f>IF(B92&lt;&gt;"", COUNTA($B$2:B92), "")</f>
        <v/>
      </c>
      <c r="B92" s="73" t="inlineStr">
        <is>
          <t>Преобразователь избыточного давления</t>
        </is>
      </c>
      <c r="C92" s="14" t="inlineStr">
        <is>
          <t>Honeywell STG-97L</t>
        </is>
      </c>
      <c r="D92" s="14" t="inlineStr">
        <is>
          <t>10W44 C3273987003053</t>
        </is>
      </c>
      <c r="E92" s="15" t="n">
        <v>2011</v>
      </c>
      <c r="F92" s="14" t="inlineStr">
        <is>
          <t>0…10 МПа</t>
        </is>
      </c>
      <c r="G92" s="14" t="n">
        <v>0.075</v>
      </c>
      <c r="H92" s="14" t="inlineStr">
        <is>
          <t>Давление газа на входе компрессора</t>
        </is>
      </c>
      <c r="I92" s="15" t="inlineStr">
        <is>
          <t>ГПА 61</t>
        </is>
      </c>
      <c r="J92" s="15" t="inlineStr">
        <is>
          <t>АСУ,А и ТМ (КЦ № 6)</t>
        </is>
      </c>
      <c r="K92" s="15" t="n">
        <v>2012</v>
      </c>
      <c r="L92" s="14" t="n">
        <v>36</v>
      </c>
      <c r="M92" s="3" t="n"/>
      <c r="N92" s="70" t="n"/>
    </row>
    <row r="93" ht="22.5" customHeight="1" s="151">
      <c r="A93" s="15">
        <f>IF(B93&lt;&gt;"", COUNTA($B$2:B93), "")</f>
        <v/>
      </c>
      <c r="B93" s="73" t="inlineStr">
        <is>
          <t>Преобразователь избыточного давления</t>
        </is>
      </c>
      <c r="C93" s="14" t="inlineStr">
        <is>
          <t>Honeywell STG-97L</t>
        </is>
      </c>
      <c r="D93" s="14" t="inlineStr">
        <is>
          <t>11W18 C3313690003009</t>
        </is>
      </c>
      <c r="E93" s="15" t="n">
        <v>2011</v>
      </c>
      <c r="F93" s="14" t="inlineStr">
        <is>
          <t>0…16 МПа</t>
        </is>
      </c>
      <c r="G93" s="14" t="n">
        <v>0.075</v>
      </c>
      <c r="H93" s="14" t="inlineStr">
        <is>
          <t>Давление газа на выходе компрессора</t>
        </is>
      </c>
      <c r="I93" s="15" t="inlineStr">
        <is>
          <t>ГПА 61</t>
        </is>
      </c>
      <c r="J93" s="15" t="inlineStr">
        <is>
          <t>АСУ,А и ТМ (КЦ № 6)</t>
        </is>
      </c>
      <c r="K93" s="15" t="n">
        <v>2012</v>
      </c>
      <c r="L93" s="14" t="n">
        <v>36</v>
      </c>
      <c r="M93" s="3" t="n"/>
      <c r="N93" s="70" t="n"/>
    </row>
    <row r="94" ht="22.5" customHeight="1" s="151">
      <c r="A94" s="15">
        <f>IF(B94&lt;&gt;"", COUNTA($B$2:B94), "")</f>
        <v/>
      </c>
      <c r="B94" s="73" t="inlineStr">
        <is>
          <t>Преобразователь избыточного давления</t>
        </is>
      </c>
      <c r="C94" s="14" t="inlineStr">
        <is>
          <t>Honeywell STG-97L</t>
        </is>
      </c>
      <c r="D94" s="14" t="inlineStr">
        <is>
          <t>11W18 C331369000305</t>
        </is>
      </c>
      <c r="E94" s="14" t="n">
        <v>2010</v>
      </c>
      <c r="F94" s="3" t="inlineStr">
        <is>
          <t>0…10 МПа</t>
        </is>
      </c>
      <c r="G94" s="14" t="n">
        <v>0.075</v>
      </c>
      <c r="H94" s="14" t="inlineStr">
        <is>
          <t>Давление топливного газа после отсечного клапана</t>
        </is>
      </c>
      <c r="I94" s="15" t="inlineStr">
        <is>
          <t>ГПА 61</t>
        </is>
      </c>
      <c r="J94" s="15" t="inlineStr">
        <is>
          <t>АСУ,А и ТМ (КЦ № 6)</t>
        </is>
      </c>
      <c r="K94" s="15" t="n">
        <v>2012</v>
      </c>
      <c r="L94" s="14" t="n">
        <v>36</v>
      </c>
      <c r="M94" s="3" t="n"/>
      <c r="N94" s="70" t="n"/>
    </row>
    <row r="95" ht="22.5" customHeight="1" s="151">
      <c r="A95" s="15">
        <f>IF(B95&lt;&gt;"", COUNTA($B$2:B95), "")</f>
        <v/>
      </c>
      <c r="B95" s="73" t="inlineStr">
        <is>
          <t>Преобразователь избыточного давления</t>
        </is>
      </c>
      <c r="C95" s="14" t="inlineStr">
        <is>
          <t>Honeywell STG-97L</t>
        </is>
      </c>
      <c r="D95" s="14" t="inlineStr">
        <is>
          <t>11W03 C3287149003044</t>
        </is>
      </c>
      <c r="E95" s="15" t="n">
        <v>2011</v>
      </c>
      <c r="F95" s="3" t="inlineStr">
        <is>
          <t>0…10 МПа</t>
        </is>
      </c>
      <c r="G95" s="14" t="n">
        <v>0.075</v>
      </c>
      <c r="H95" s="14" t="inlineStr">
        <is>
          <t>Давление топливного газа перед расходомерным устройством</t>
        </is>
      </c>
      <c r="I95" s="15" t="inlineStr">
        <is>
          <t>ГПА 61</t>
        </is>
      </c>
      <c r="J95" s="15" t="inlineStr">
        <is>
          <t>АСУ,А и ТМ (КЦ № 6)</t>
        </is>
      </c>
      <c r="K95" s="15" t="n">
        <v>2012</v>
      </c>
      <c r="L95" s="14" t="n">
        <v>36</v>
      </c>
      <c r="M95" s="3" t="n"/>
      <c r="N95" s="70" t="n"/>
    </row>
    <row r="96" ht="33.75" customHeight="1" s="151">
      <c r="A96" s="15">
        <f>IF(B96&lt;&gt;"", COUNTA($B$2:B96), "")</f>
        <v/>
      </c>
      <c r="B96" s="73" t="inlineStr">
        <is>
          <t>Преобразователь избыточного давления</t>
        </is>
      </c>
      <c r="C96" s="14" t="inlineStr">
        <is>
          <t>Honeywell STG-97L</t>
        </is>
      </c>
      <c r="D96" s="14" t="inlineStr">
        <is>
          <t>10W20 C3236732009011</t>
        </is>
      </c>
      <c r="E96" s="15" t="n">
        <v>2011</v>
      </c>
      <c r="F96" s="3" t="inlineStr">
        <is>
          <t>0…10 МПа</t>
        </is>
      </c>
      <c r="G96" s="14" t="n">
        <v>0.075</v>
      </c>
      <c r="H96" s="14" t="inlineStr">
        <is>
          <t>Давление топливного газа перед форсунками камеры сгорания (после СК)</t>
        </is>
      </c>
      <c r="I96" s="15" t="inlineStr">
        <is>
          <t>ГПА 61</t>
        </is>
      </c>
      <c r="J96" s="15" t="inlineStr">
        <is>
          <t>АСУ,А и ТМ (КЦ № 6)</t>
        </is>
      </c>
      <c r="K96" s="15" t="n">
        <v>2012</v>
      </c>
      <c r="L96" s="14" t="n">
        <v>36</v>
      </c>
      <c r="M96" s="3" t="n"/>
      <c r="N96" s="70" t="n"/>
    </row>
    <row r="97" ht="22.5" customHeight="1" s="151">
      <c r="A97" s="15">
        <f>IF(B97&lt;&gt;"", COUNTA($B$2:B97), "")</f>
        <v/>
      </c>
      <c r="B97" s="73" t="inlineStr">
        <is>
          <t>Преобразователь избыточного давления</t>
        </is>
      </c>
      <c r="C97" s="14" t="inlineStr">
        <is>
          <t>Honeywell STG-97L</t>
        </is>
      </c>
      <c r="D97" s="14" t="inlineStr">
        <is>
          <t>10W44 C3273987003051</t>
        </is>
      </c>
      <c r="E97" s="14" t="n">
        <v>2010</v>
      </c>
      <c r="F97" s="3" t="inlineStr">
        <is>
          <t>0…2 МПа</t>
        </is>
      </c>
      <c r="G97" s="14" t="n">
        <v>0.075</v>
      </c>
      <c r="H97" s="14" t="inlineStr">
        <is>
          <t>Давление воздуха в разгрузочной полости</t>
        </is>
      </c>
      <c r="I97" s="15" t="inlineStr">
        <is>
          <t>ГПА 61</t>
        </is>
      </c>
      <c r="J97" s="15" t="inlineStr">
        <is>
          <t>АСУ,А и ТМ (КЦ № 6)</t>
        </is>
      </c>
      <c r="K97" s="15" t="n">
        <v>2012</v>
      </c>
      <c r="L97" s="14" t="n">
        <v>36</v>
      </c>
      <c r="M97" s="3" t="n"/>
      <c r="N97" s="70" t="n"/>
    </row>
    <row r="98" ht="22.5" customHeight="1" s="151">
      <c r="A98" s="15">
        <f>IF(B98&lt;&gt;"", COUNTA($B$2:B98), "")</f>
        <v/>
      </c>
      <c r="B98" s="73" t="inlineStr">
        <is>
          <t>Преобразователь избыточного давления</t>
        </is>
      </c>
      <c r="C98" s="14" t="inlineStr">
        <is>
          <t>Honeywell STG-94L</t>
        </is>
      </c>
      <c r="D98" s="14" t="inlineStr">
        <is>
          <t>11W17 C3313690002010</t>
        </is>
      </c>
      <c r="E98" s="15" t="n">
        <v>2011</v>
      </c>
      <c r="F98" s="14" t="inlineStr">
        <is>
          <t>0…0,63 МПа</t>
        </is>
      </c>
      <c r="G98" s="14" t="n">
        <v>0.075</v>
      </c>
      <c r="H98" s="14" t="inlineStr">
        <is>
          <t>Давление масла на выходе из двигателя</t>
        </is>
      </c>
      <c r="I98" s="15" t="inlineStr">
        <is>
          <t>ГПА 61</t>
        </is>
      </c>
      <c r="J98" s="15" t="inlineStr">
        <is>
          <t>АСУ,А и ТМ (КЦ № 6)</t>
        </is>
      </c>
      <c r="K98" s="15" t="n">
        <v>2012</v>
      </c>
      <c r="L98" s="14" t="n">
        <v>36</v>
      </c>
      <c r="M98" s="3" t="n"/>
      <c r="N98" s="70" t="n"/>
    </row>
    <row r="99" ht="22.5" customHeight="1" s="151">
      <c r="A99" s="15">
        <f>IF(B99&lt;&gt;"", COUNTA($B$2:B99), "")</f>
        <v/>
      </c>
      <c r="B99" s="73" t="inlineStr">
        <is>
          <t>Преобразователь избыточного давления</t>
        </is>
      </c>
      <c r="C99" s="14" t="inlineStr">
        <is>
          <t>Honeywell STG-94L</t>
        </is>
      </c>
      <c r="D99" s="14" t="inlineStr">
        <is>
          <t>11W13 C3303059004004</t>
        </is>
      </c>
      <c r="E99" s="15" t="n">
        <v>2011</v>
      </c>
      <c r="F99" s="14" t="inlineStr">
        <is>
          <t>0…0,63 МПа</t>
        </is>
      </c>
      <c r="G99" s="14" t="n">
        <v>0.075</v>
      </c>
      <c r="H99" s="14" t="inlineStr">
        <is>
          <t>Давление масла на входе двигателя</t>
        </is>
      </c>
      <c r="I99" s="15" t="inlineStr">
        <is>
          <t>ГПА 61</t>
        </is>
      </c>
      <c r="J99" s="15" t="inlineStr">
        <is>
          <t>АСУ,А и ТМ (КЦ № 6)</t>
        </is>
      </c>
      <c r="K99" s="15" t="n">
        <v>2012</v>
      </c>
      <c r="L99" s="14" t="n">
        <v>36</v>
      </c>
      <c r="M99" s="3" t="n"/>
      <c r="N99" s="70" t="n"/>
    </row>
    <row r="100" ht="22.5" customHeight="1" s="151">
      <c r="A100" s="15">
        <f>IF(B100&lt;&gt;"", COUNTA($B$2:B100), "")</f>
        <v/>
      </c>
      <c r="B100" s="73" t="inlineStr">
        <is>
          <t>Преобразователь избыточного давления</t>
        </is>
      </c>
      <c r="C100" s="14" t="inlineStr">
        <is>
          <t>Honeywell STG-94L</t>
        </is>
      </c>
      <c r="D100" s="14" t="inlineStr">
        <is>
          <t>11W17 C3313690002012</t>
        </is>
      </c>
      <c r="E100" s="15" t="n">
        <v>2011</v>
      </c>
      <c r="F100" s="3" t="inlineStr">
        <is>
          <t>-100…530 кПа</t>
        </is>
      </c>
      <c r="G100" s="14" t="n">
        <v>0.075</v>
      </c>
      <c r="H100" s="14" t="inlineStr">
        <is>
          <t>Давление воздуха в средней опоре</t>
        </is>
      </c>
      <c r="I100" s="15" t="inlineStr">
        <is>
          <t>ГПА 61</t>
        </is>
      </c>
      <c r="J100" s="15" t="inlineStr">
        <is>
          <t>АСУ,А и ТМ (КЦ № 6)</t>
        </is>
      </c>
      <c r="K100" s="15" t="n">
        <v>2012</v>
      </c>
      <c r="L100" s="14" t="n">
        <v>36</v>
      </c>
      <c r="M100" s="3" t="n"/>
      <c r="N100" s="70" t="n"/>
    </row>
    <row r="101" ht="33.75" customHeight="1" s="151">
      <c r="A101" s="15">
        <f>IF(B101&lt;&gt;"", COUNTA($B$2:B101), "")</f>
        <v/>
      </c>
      <c r="B101" s="73" t="inlineStr">
        <is>
          <t>Преобразователь избыточного давления</t>
        </is>
      </c>
      <c r="C101" s="14" t="inlineStr">
        <is>
          <t>Honeywell STG-94L</t>
        </is>
      </c>
      <c r="D101" s="14" t="inlineStr">
        <is>
          <t>11W13 C3303059004026</t>
        </is>
      </c>
      <c r="E101" s="15" t="n">
        <v>2011</v>
      </c>
      <c r="F101" s="14" t="inlineStr">
        <is>
          <t xml:space="preserve">0…1 МПа </t>
        </is>
      </c>
      <c r="G101" s="14" t="n">
        <v>0.075</v>
      </c>
      <c r="H101" s="14" t="inlineStr">
        <is>
          <t>Давление защиного воздуха на выходе ресивера Р1 (после воздушного компрессора)</t>
        </is>
      </c>
      <c r="I101" s="15" t="inlineStr">
        <is>
          <t>ГПА 61</t>
        </is>
      </c>
      <c r="J101" s="15" t="inlineStr">
        <is>
          <t>АСУ,А и ТМ (КЦ № 6)</t>
        </is>
      </c>
      <c r="K101" s="15" t="n">
        <v>2012</v>
      </c>
      <c r="L101" s="14" t="n">
        <v>36</v>
      </c>
      <c r="M101" s="3" t="n"/>
      <c r="N101" s="70" t="n"/>
    </row>
    <row r="102" ht="22.5" customHeight="1" s="151">
      <c r="A102" s="15">
        <f>IF(B102&lt;&gt;"", COUNTA($B$2:B102), "")</f>
        <v/>
      </c>
      <c r="B102" s="73" t="inlineStr">
        <is>
          <t>Преобразователь избыточного давления</t>
        </is>
      </c>
      <c r="C102" s="14" t="inlineStr">
        <is>
          <t>Honeywell STD-930</t>
        </is>
      </c>
      <c r="D102" s="14" t="inlineStr">
        <is>
          <t>11W04 C3287149005007</t>
        </is>
      </c>
      <c r="E102" s="15" t="n">
        <v>2011</v>
      </c>
      <c r="F102" s="3" t="inlineStr">
        <is>
          <t>-34…689 кПа</t>
        </is>
      </c>
      <c r="G102" s="14" t="n">
        <v>0.075</v>
      </c>
      <c r="H102" s="14" t="inlineStr">
        <is>
          <t>Перепад воздуха на шайбе</t>
        </is>
      </c>
      <c r="I102" s="15" t="inlineStr">
        <is>
          <t>ГПА 61</t>
        </is>
      </c>
      <c r="J102" s="15" t="inlineStr">
        <is>
          <t>АСУ,А и ТМ (КЦ № 6)</t>
        </is>
      </c>
      <c r="K102" s="15" t="n">
        <v>2012</v>
      </c>
      <c r="L102" s="14" t="n">
        <v>36</v>
      </c>
      <c r="M102" s="3" t="n"/>
      <c r="N102" s="70" t="n"/>
    </row>
    <row r="103" ht="22.5" customHeight="1" s="151">
      <c r="A103" s="15">
        <f>IF(B103&lt;&gt;"", COUNTA($B$2:B103), "")</f>
        <v/>
      </c>
      <c r="B103" s="73" t="inlineStr">
        <is>
          <t>Преобразователь избыточного давления</t>
        </is>
      </c>
      <c r="C103" s="14" t="inlineStr">
        <is>
          <t>Honeywell STD-924</t>
        </is>
      </c>
      <c r="D103" s="14" t="inlineStr">
        <is>
          <t>11W16 C3310520005004</t>
        </is>
      </c>
      <c r="E103" s="15" t="n">
        <v>2011</v>
      </c>
      <c r="F103" s="3" t="inlineStr">
        <is>
          <t>0…63 кПа</t>
        </is>
      </c>
      <c r="G103" s="14" t="n">
        <v>0.075</v>
      </c>
      <c r="H103" s="14" t="inlineStr">
        <is>
          <t>Перепад давления газа на всасывающем патрубке (конфузоре)</t>
        </is>
      </c>
      <c r="I103" s="15" t="inlineStr">
        <is>
          <t>ГПА 61</t>
        </is>
      </c>
      <c r="J103" s="15" t="inlineStr">
        <is>
          <t>АСУ,А и ТМ (КЦ № 6)</t>
        </is>
      </c>
      <c r="K103" s="15" t="n">
        <v>2012</v>
      </c>
      <c r="L103" s="14" t="n">
        <v>36</v>
      </c>
      <c r="M103" s="3" t="n"/>
      <c r="N103" s="70" t="n"/>
    </row>
    <row r="104" ht="33.75" customHeight="1" s="151">
      <c r="A104" s="15">
        <f>IF(B104&lt;&gt;"", COUNTA($B$2:B104), "")</f>
        <v/>
      </c>
      <c r="B104" s="73" t="inlineStr">
        <is>
          <t>Преобразователь избыточного давления</t>
        </is>
      </c>
      <c r="C104" s="14" t="inlineStr">
        <is>
          <t>Honeywell STD-924</t>
        </is>
      </c>
      <c r="D104" s="14" t="inlineStr">
        <is>
          <t>11W16 C3310520005001</t>
        </is>
      </c>
      <c r="E104" s="15" t="n">
        <v>2011</v>
      </c>
      <c r="F104" s="3" t="inlineStr">
        <is>
          <t>0…4 кПа</t>
        </is>
      </c>
      <c r="G104" s="14" t="n">
        <v>0.075</v>
      </c>
      <c r="H104" s="14" t="inlineStr">
        <is>
          <t>Перепад давления между оболочкой опорного подшипника и 2-ой супенью ТУ</t>
        </is>
      </c>
      <c r="I104" s="15" t="inlineStr">
        <is>
          <t>ГПА 61</t>
        </is>
      </c>
      <c r="J104" s="15" t="inlineStr">
        <is>
          <t>АСУ,А и ТМ (КЦ № 6)</t>
        </is>
      </c>
      <c r="K104" s="15" t="n">
        <v>2012</v>
      </c>
      <c r="L104" s="14" t="n">
        <v>36</v>
      </c>
      <c r="M104" s="3" t="n"/>
      <c r="N104" s="70" t="n"/>
    </row>
    <row r="105" ht="33.75" customHeight="1" s="151">
      <c r="A105" s="15">
        <f>IF(B105&lt;&gt;"", COUNTA($B$2:B105), "")</f>
        <v/>
      </c>
      <c r="B105" s="73" t="inlineStr">
        <is>
          <t>Преобразователь избыточного давления</t>
        </is>
      </c>
      <c r="C105" s="14" t="inlineStr">
        <is>
          <t>Honeywell STD-924</t>
        </is>
      </c>
      <c r="D105" s="14" t="inlineStr">
        <is>
          <t>11W17 C3313690001027</t>
        </is>
      </c>
      <c r="E105" s="15" t="n">
        <v>2011</v>
      </c>
      <c r="F105" s="3" t="inlineStr">
        <is>
          <t>0…4 кПа</t>
        </is>
      </c>
      <c r="G105" s="14" t="n">
        <v>0.075</v>
      </c>
      <c r="H105" s="14" t="inlineStr">
        <is>
          <t>Перепад давления между оболочкой опорно-упорного подшипника и 2-ой супенью ТУ</t>
        </is>
      </c>
      <c r="I105" s="15" t="inlineStr">
        <is>
          <t>ГПА 61</t>
        </is>
      </c>
      <c r="J105" s="15" t="inlineStr">
        <is>
          <t>АСУ,А и ТМ (КЦ № 6)</t>
        </is>
      </c>
      <c r="K105" s="15" t="n">
        <v>2012</v>
      </c>
      <c r="L105" s="14" t="n">
        <v>36</v>
      </c>
      <c r="M105" s="3" t="n"/>
      <c r="N105" s="70" t="n"/>
    </row>
    <row r="106" ht="22.5" customHeight="1" s="151">
      <c r="A106" s="15">
        <f>IF(B106&lt;&gt;"", COUNTA($B$2:B106), "")</f>
        <v/>
      </c>
      <c r="B106" s="73" t="inlineStr">
        <is>
          <t>Преобразователь избыточного давления</t>
        </is>
      </c>
      <c r="C106" s="14" t="inlineStr">
        <is>
          <t>Honeywell STD-924</t>
        </is>
      </c>
      <c r="D106" s="14" t="inlineStr">
        <is>
          <t>11W18 C3313690001031</t>
        </is>
      </c>
      <c r="E106" s="15" t="n">
        <v>2011</v>
      </c>
      <c r="F106" s="3" t="inlineStr">
        <is>
          <t>0…1,6 кПа</t>
        </is>
      </c>
      <c r="G106" s="14" t="n">
        <v>0.075</v>
      </c>
      <c r="H106" s="14" t="inlineStr">
        <is>
          <t>Давление во входном сечении лемнискаты ГТД</t>
        </is>
      </c>
      <c r="I106" s="15" t="inlineStr">
        <is>
          <t>ГПА 61</t>
        </is>
      </c>
      <c r="J106" s="15" t="inlineStr">
        <is>
          <t>АСУ,А и ТМ (КЦ № 6)</t>
        </is>
      </c>
      <c r="K106" s="15" t="n">
        <v>2012</v>
      </c>
      <c r="L106" s="14" t="n">
        <v>36</v>
      </c>
      <c r="M106" s="3" t="n"/>
      <c r="N106" s="70" t="n"/>
    </row>
    <row r="107" ht="22.5" customHeight="1" s="151">
      <c r="A107" s="15">
        <f>IF(B107&lt;&gt;"", COUNTA($B$2:B107), "")</f>
        <v/>
      </c>
      <c r="B107" s="73" t="inlineStr">
        <is>
          <t>Преобразователь избыточного давления</t>
        </is>
      </c>
      <c r="C107" s="14" t="inlineStr">
        <is>
          <t>Honeywell STD-924</t>
        </is>
      </c>
      <c r="D107" s="14" t="inlineStr">
        <is>
          <t>11W17 C3313690001018</t>
        </is>
      </c>
      <c r="E107" s="15" t="n">
        <v>2011</v>
      </c>
      <c r="F107" s="3" t="inlineStr">
        <is>
          <t>-5…100 кПа</t>
        </is>
      </c>
      <c r="G107" s="14" t="n">
        <v>0.075</v>
      </c>
      <c r="H107" s="14" t="inlineStr">
        <is>
          <t>Давление на срезе улитки ГТД</t>
        </is>
      </c>
      <c r="I107" s="15" t="inlineStr">
        <is>
          <t>ГПА 61</t>
        </is>
      </c>
      <c r="J107" s="15" t="inlineStr">
        <is>
          <t>АСУ,А и ТМ (КЦ № 6)</t>
        </is>
      </c>
      <c r="K107" s="15" t="n">
        <v>2012</v>
      </c>
      <c r="L107" s="14" t="n">
        <v>36</v>
      </c>
      <c r="M107" s="3" t="n"/>
      <c r="N107" s="70" t="n"/>
    </row>
    <row r="108" ht="22.5" customHeight="1" s="151">
      <c r="A108" s="15">
        <f>IF(B108&lt;&gt;"", COUNTA($B$2:B108), "")</f>
        <v/>
      </c>
      <c r="B108" s="73" t="inlineStr">
        <is>
          <t>Преобразователь избыточного давления</t>
        </is>
      </c>
      <c r="C108" s="14" t="inlineStr">
        <is>
          <t>Honeywell STD-924</t>
        </is>
      </c>
      <c r="D108" s="14" t="inlineStr">
        <is>
          <t>11W18 C3313690001032</t>
        </is>
      </c>
      <c r="E108" s="15" t="n">
        <v>2011</v>
      </c>
      <c r="F108" s="3" t="inlineStr">
        <is>
          <t>0…1158,4 мм</t>
        </is>
      </c>
      <c r="G108" s="14" t="n">
        <v>0.075</v>
      </c>
      <c r="H108" s="14" t="inlineStr">
        <is>
          <t>Уровень масла в маслобаке двигателя</t>
        </is>
      </c>
      <c r="I108" s="15" t="inlineStr">
        <is>
          <t>ГПА 61</t>
        </is>
      </c>
      <c r="J108" s="15" t="inlineStr">
        <is>
          <t>АСУ,А и ТМ (КЦ № 6)</t>
        </is>
      </c>
      <c r="K108" s="15" t="n">
        <v>2012</v>
      </c>
      <c r="L108" s="14" t="n">
        <v>36</v>
      </c>
      <c r="M108" s="3" t="n"/>
      <c r="N108" s="70" t="n"/>
    </row>
    <row r="109" ht="22.5" customHeight="1" s="151">
      <c r="A109" s="15">
        <f>IF(B109&lt;&gt;"", COUNTA($B$2:B109), "")</f>
        <v/>
      </c>
      <c r="B109" s="73" t="inlineStr">
        <is>
          <t>Преобразователь избыточного давления</t>
        </is>
      </c>
      <c r="C109" s="14" t="inlineStr">
        <is>
          <t>Honeywell STD-924</t>
        </is>
      </c>
      <c r="D109" s="14" t="inlineStr">
        <is>
          <t>11W18 C3313690001044</t>
        </is>
      </c>
      <c r="E109" s="15" t="n">
        <v>2011</v>
      </c>
      <c r="F109" s="3" t="inlineStr">
        <is>
          <t>0…2000 мм</t>
        </is>
      </c>
      <c r="G109" s="14" t="n">
        <v>0.075</v>
      </c>
      <c r="H109" s="14" t="inlineStr">
        <is>
          <t>Уровеь масла в расходном баке</t>
        </is>
      </c>
      <c r="I109" s="15" t="inlineStr">
        <is>
          <t>ГПА 61</t>
        </is>
      </c>
      <c r="J109" s="15" t="inlineStr">
        <is>
          <t>АСУ,А и ТМ (КЦ № 6)</t>
        </is>
      </c>
      <c r="K109" s="15" t="n">
        <v>2012</v>
      </c>
      <c r="L109" s="14" t="n">
        <v>36</v>
      </c>
      <c r="M109" s="3" t="n"/>
      <c r="N109" s="70" t="n"/>
    </row>
    <row r="110" ht="22.5" customHeight="1" s="151">
      <c r="A110" s="15">
        <f>IF(B110&lt;&gt;"", COUNTA($B$2:B110), "")</f>
        <v/>
      </c>
      <c r="B110" s="73" t="inlineStr">
        <is>
          <t>Преобразователь избыточного давления</t>
        </is>
      </c>
      <c r="C110" s="14" t="inlineStr">
        <is>
          <t>Honeywell STD-924</t>
        </is>
      </c>
      <c r="D110" s="14" t="inlineStr">
        <is>
          <t>11W17 C3313690001010</t>
        </is>
      </c>
      <c r="E110" s="15" t="n">
        <v>2011</v>
      </c>
      <c r="F110" s="3" t="inlineStr">
        <is>
          <t>0…100 кПа</t>
        </is>
      </c>
      <c r="G110" s="14" t="n">
        <v>0.075</v>
      </c>
      <c r="H110" s="14" t="inlineStr">
        <is>
          <t>Перепад давлений между входной и выходной камерами Ф1</t>
        </is>
      </c>
      <c r="I110" s="15" t="inlineStr">
        <is>
          <t>ГПА 61</t>
        </is>
      </c>
      <c r="J110" s="15" t="inlineStr">
        <is>
          <t>АСУ,А и ТМ (КЦ № 6)</t>
        </is>
      </c>
      <c r="K110" s="15" t="n">
        <v>2012</v>
      </c>
      <c r="L110" s="14" t="n">
        <v>36</v>
      </c>
      <c r="M110" s="3" t="n"/>
      <c r="N110" s="70" t="n"/>
    </row>
    <row r="111" ht="22.5" customHeight="1" s="151">
      <c r="A111" s="15">
        <f>IF(B111&lt;&gt;"", COUNTA($B$2:B111), "")</f>
        <v/>
      </c>
      <c r="B111" s="73" t="inlineStr">
        <is>
          <t>Преобразователь избыточного давления</t>
        </is>
      </c>
      <c r="C111" s="14" t="inlineStr">
        <is>
          <t>Honeywell STD-924</t>
        </is>
      </c>
      <c r="D111" s="14" t="inlineStr">
        <is>
          <t>11W18 C3313690001048</t>
        </is>
      </c>
      <c r="E111" s="15" t="n">
        <v>2011</v>
      </c>
      <c r="F111" s="3" t="inlineStr">
        <is>
          <t>0…100 кПа</t>
        </is>
      </c>
      <c r="G111" s="14" t="n">
        <v>0.075</v>
      </c>
      <c r="H111" s="14" t="inlineStr">
        <is>
          <t>Перепад давлений между входной и выходной камерами Ф2</t>
        </is>
      </c>
      <c r="I111" s="15" t="inlineStr">
        <is>
          <t>ГПА 61</t>
        </is>
      </c>
      <c r="J111" s="15" t="inlineStr">
        <is>
          <t>АСУ,А и ТМ (КЦ № 6)</t>
        </is>
      </c>
      <c r="K111" s="15" t="n">
        <v>2012</v>
      </c>
      <c r="L111" s="14" t="n">
        <v>36</v>
      </c>
      <c r="M111" s="3" t="n"/>
      <c r="N111" s="70" t="n"/>
    </row>
    <row r="112" ht="22.5" customHeight="1" s="151">
      <c r="A112" s="15">
        <f>IF(B112&lt;&gt;"", COUNTA($B$2:B112), "")</f>
        <v/>
      </c>
      <c r="B112" s="73" t="inlineStr">
        <is>
          <t>Преобразователь избыточного давления</t>
        </is>
      </c>
      <c r="C112" s="14" t="inlineStr">
        <is>
          <t>Honeywell STD-120</t>
        </is>
      </c>
      <c r="D112" s="14" t="inlineStr">
        <is>
          <t>10W45 C3273987001085</t>
        </is>
      </c>
      <c r="E112" s="14" t="n">
        <v>2010</v>
      </c>
      <c r="F112" s="3" t="inlineStr">
        <is>
          <t>-1000…2500 Па</t>
        </is>
      </c>
      <c r="G112" s="14" t="n">
        <v>0.075</v>
      </c>
      <c r="H112" s="14" t="inlineStr">
        <is>
          <t>Давление инжектируемого потока перед сепаратором С1</t>
        </is>
      </c>
      <c r="I112" s="15" t="inlineStr">
        <is>
          <t>ГПА 61</t>
        </is>
      </c>
      <c r="J112" s="15" t="inlineStr">
        <is>
          <t>АСУ,А и ТМ (КЦ № 6)</t>
        </is>
      </c>
      <c r="K112" s="15" t="n">
        <v>2012</v>
      </c>
      <c r="L112" s="14" t="n">
        <v>36</v>
      </c>
      <c r="M112" s="3" t="n"/>
      <c r="N112" s="70" t="n"/>
    </row>
    <row r="113" ht="22.5" customHeight="1" s="151">
      <c r="A113" s="15">
        <f>IF(B113&lt;&gt;"", COUNTA($B$2:B113), "")</f>
        <v/>
      </c>
      <c r="B113" s="73" t="inlineStr">
        <is>
          <t>Преобразователь избыточного давления</t>
        </is>
      </c>
      <c r="C113" s="14" t="inlineStr">
        <is>
          <t>Honeywell STD-120</t>
        </is>
      </c>
      <c r="D113" s="14" t="inlineStr">
        <is>
          <t>10W45 C3273987001071</t>
        </is>
      </c>
      <c r="E113" s="14" t="n">
        <v>2010</v>
      </c>
      <c r="F113" s="3" t="inlineStr">
        <is>
          <t>0…400 Па</t>
        </is>
      </c>
      <c r="G113" s="14" t="n">
        <v>0.075</v>
      </c>
      <c r="H113" s="14" t="inlineStr">
        <is>
          <t>Избыточное давление воздуха под кожухом двигателя</t>
        </is>
      </c>
      <c r="I113" s="15" t="inlineStr">
        <is>
          <t>ГПА 61</t>
        </is>
      </c>
      <c r="J113" s="15" t="inlineStr">
        <is>
          <t>АСУ,А и ТМ (КЦ № 6)</t>
        </is>
      </c>
      <c r="K113" s="15" t="n">
        <v>2012</v>
      </c>
      <c r="L113" s="14" t="n">
        <v>36</v>
      </c>
      <c r="M113" s="3" t="n"/>
      <c r="N113" s="70" t="n"/>
    </row>
    <row r="114" ht="22.5" customHeight="1" s="151">
      <c r="A114" s="15">
        <f>IF(B114&lt;&gt;"", COUNTA($B$2:B114), "")</f>
        <v/>
      </c>
      <c r="B114" s="73" t="inlineStr">
        <is>
          <t>Преобразователь избыточного давления</t>
        </is>
      </c>
      <c r="C114" s="14" t="inlineStr">
        <is>
          <t>Honeywell STD-120</t>
        </is>
      </c>
      <c r="D114" s="14" t="inlineStr">
        <is>
          <t>10W45 C3273987001054</t>
        </is>
      </c>
      <c r="E114" s="14" t="n">
        <v>2010</v>
      </c>
      <c r="F114" s="3" t="inlineStr">
        <is>
          <t>0…10 кПа</t>
        </is>
      </c>
      <c r="G114" s="14" t="n">
        <v>0.075</v>
      </c>
      <c r="H114" s="14" t="inlineStr">
        <is>
          <t>Давление защитного воздуха на входе опорного подшипника</t>
        </is>
      </c>
      <c r="I114" s="15" t="inlineStr">
        <is>
          <t>ГПА 61</t>
        </is>
      </c>
      <c r="J114" s="15" t="inlineStr">
        <is>
          <t>АСУ,А и ТМ (КЦ № 6)</t>
        </is>
      </c>
      <c r="K114" s="15" t="n">
        <v>2012</v>
      </c>
      <c r="L114" s="14" t="n">
        <v>36</v>
      </c>
      <c r="M114" s="3" t="n"/>
      <c r="N114" s="70" t="n"/>
    </row>
    <row r="115" ht="22.5" customHeight="1" s="151">
      <c r="A115" s="15">
        <f>IF(B115&lt;&gt;"", COUNTA($B$2:B115), "")</f>
        <v/>
      </c>
      <c r="B115" s="73" t="inlineStr">
        <is>
          <t>Преобразователь избыточного давления</t>
        </is>
      </c>
      <c r="C115" s="14" t="inlineStr">
        <is>
          <t>Honeywell STD-120</t>
        </is>
      </c>
      <c r="D115" s="14" t="inlineStr">
        <is>
          <t>11W03 C3287149001020</t>
        </is>
      </c>
      <c r="E115" s="15" t="n">
        <v>2011</v>
      </c>
      <c r="F115" s="3" t="inlineStr">
        <is>
          <t>0…4 кПа</t>
        </is>
      </c>
      <c r="G115" s="14" t="n">
        <v>0.075</v>
      </c>
      <c r="H115" s="14" t="inlineStr">
        <is>
          <t>Давление защитного воздуха на входе опорно-упорного подшипника</t>
        </is>
      </c>
      <c r="I115" s="15" t="inlineStr">
        <is>
          <t>ГПА 61</t>
        </is>
      </c>
      <c r="J115" s="15" t="inlineStr">
        <is>
          <t>АСУ,А и ТМ (КЦ № 6)</t>
        </is>
      </c>
      <c r="K115" s="15" t="n">
        <v>2012</v>
      </c>
      <c r="L115" s="14" t="n">
        <v>36</v>
      </c>
      <c r="M115" s="3" t="n"/>
      <c r="N115" s="70" t="n"/>
    </row>
    <row r="116" ht="33.75" customHeight="1" s="151">
      <c r="A116" s="15">
        <f>IF(B116&lt;&gt;"", COUNTA($B$2:B116), "")</f>
        <v/>
      </c>
      <c r="B116" s="73" t="inlineStr">
        <is>
          <t>Преобразователь избыточного давления</t>
        </is>
      </c>
      <c r="C116" s="14" t="inlineStr">
        <is>
          <t>Honeywell STD-120</t>
        </is>
      </c>
      <c r="D116" s="14" t="inlineStr">
        <is>
          <t>10W45 C3273987001121</t>
        </is>
      </c>
      <c r="E116" s="14" t="n">
        <v>2010</v>
      </c>
      <c r="F116" s="3" t="inlineStr">
        <is>
          <t>0…10 кПа</t>
        </is>
      </c>
      <c r="G116" s="14" t="n">
        <v>0.075</v>
      </c>
      <c r="H116" s="14" t="inlineStr">
        <is>
          <t>Давление защитного воздуха на выходе оболочки опорного подшипника</t>
        </is>
      </c>
      <c r="I116" s="15" t="inlineStr">
        <is>
          <t>ГПА 61</t>
        </is>
      </c>
      <c r="J116" s="15" t="inlineStr">
        <is>
          <t>АСУ,А и ТМ (КЦ № 6)</t>
        </is>
      </c>
      <c r="K116" s="15" t="n">
        <v>2012</v>
      </c>
      <c r="L116" s="14" t="n">
        <v>36</v>
      </c>
      <c r="M116" s="3" t="n"/>
      <c r="N116" s="70" t="n"/>
    </row>
    <row r="117" ht="33.75" customHeight="1" s="151">
      <c r="A117" s="15">
        <f>IF(B117&lt;&gt;"", COUNTA($B$2:B117), "")</f>
        <v/>
      </c>
      <c r="B117" s="73" t="inlineStr">
        <is>
          <t>Преобразователь избыточного давления</t>
        </is>
      </c>
      <c r="C117" s="14" t="inlineStr">
        <is>
          <t>Honeywell STD-120</t>
        </is>
      </c>
      <c r="D117" s="14" t="inlineStr">
        <is>
          <t>10W45 C3273987001130</t>
        </is>
      </c>
      <c r="E117" s="14" t="n">
        <v>2010</v>
      </c>
      <c r="F117" s="3" t="inlineStr">
        <is>
          <t>0…4 кПа</t>
        </is>
      </c>
      <c r="G117" s="14" t="n">
        <v>0.075</v>
      </c>
      <c r="H117" s="14" t="inlineStr">
        <is>
          <t>Давление защитного воздуха на выходе оболочки опорно-упорного подшипника</t>
        </is>
      </c>
      <c r="I117" s="15" t="inlineStr">
        <is>
          <t>ГПА 61</t>
        </is>
      </c>
      <c r="J117" s="15" t="inlineStr">
        <is>
          <t>АСУ,А и ТМ (КЦ № 6)</t>
        </is>
      </c>
      <c r="K117" s="15" t="n">
        <v>2012</v>
      </c>
      <c r="L117" s="14" t="n">
        <v>36</v>
      </c>
      <c r="M117" s="3" t="n"/>
      <c r="N117" s="70" t="n"/>
    </row>
    <row r="118" ht="22.5" customHeight="1" s="151">
      <c r="A118" s="15">
        <f>IF(B118&lt;&gt;"", COUNTA($B$2:B118), "")</f>
        <v/>
      </c>
      <c r="B118" s="73" t="inlineStr">
        <is>
          <t>Преобразователь избыточного давления</t>
        </is>
      </c>
      <c r="C118" s="14" t="inlineStr">
        <is>
          <t>Honeywell STD-120</t>
        </is>
      </c>
      <c r="D118" s="14" t="inlineStr">
        <is>
          <t>10W45 C3273987001037</t>
        </is>
      </c>
      <c r="E118" s="14" t="n">
        <v>2010</v>
      </c>
      <c r="F118" s="3" t="inlineStr">
        <is>
          <t>0…1 кПа</t>
        </is>
      </c>
      <c r="G118" s="14" t="n">
        <v>0.075</v>
      </c>
      <c r="H118" s="14" t="inlineStr">
        <is>
          <t>Давление воздуха на входе Д (разрежение во всас. камере)</t>
        </is>
      </c>
      <c r="I118" s="15" t="inlineStr">
        <is>
          <t>ГПА 61</t>
        </is>
      </c>
      <c r="J118" s="15" t="inlineStr">
        <is>
          <t>АСУ,А и ТМ (КЦ № 6)</t>
        </is>
      </c>
      <c r="K118" s="15" t="n">
        <v>2012</v>
      </c>
      <c r="L118" s="14" t="n">
        <v>36</v>
      </c>
      <c r="M118" s="3" t="n"/>
      <c r="N118" s="70" t="n"/>
    </row>
    <row r="119" ht="22.5" customHeight="1" s="151">
      <c r="A119" s="15">
        <f>IF(B119&lt;&gt;"", COUNTA($B$2:B119), "")</f>
        <v/>
      </c>
      <c r="B119" s="3" t="inlineStr">
        <is>
          <t xml:space="preserve">Расходомер                 </t>
        </is>
      </c>
      <c r="C119" s="17" t="inlineStr">
        <is>
          <t>KROHNE OPTISWIRL 4070/C</t>
        </is>
      </c>
      <c r="D119" s="17" t="inlineStr">
        <is>
          <t>D110000000199396</t>
        </is>
      </c>
      <c r="E119" s="15" t="n">
        <v>2011</v>
      </c>
      <c r="F119" s="17" t="inlineStr">
        <is>
          <t>1,5…15 Нм3/мин</t>
        </is>
      </c>
      <c r="G119" s="17" t="inlineStr">
        <is>
          <t>1</t>
        </is>
      </c>
      <c r="H119" s="17" t="inlineStr">
        <is>
          <t>Расход воздуха на выходе из оболочки опорно-упорного подшипника</t>
        </is>
      </c>
      <c r="I119" s="15" t="inlineStr">
        <is>
          <t>ГПА 61</t>
        </is>
      </c>
      <c r="J119" s="15" t="inlineStr">
        <is>
          <t>АСУ,А и ТМ (КЦ № 6)</t>
        </is>
      </c>
      <c r="K119" s="15" t="n">
        <v>2012</v>
      </c>
      <c r="L119" s="14" t="n">
        <v>36</v>
      </c>
      <c r="M119" s="3" t="n"/>
      <c r="N119" s="70" t="n"/>
      <c r="O119" t="inlineStr">
        <is>
          <t>не соответствуют единицы расхода в АРМ</t>
        </is>
      </c>
    </row>
    <row r="120" ht="22.5" customHeight="1" s="151">
      <c r="A120" s="15">
        <f>IF(B120&lt;&gt;"", COUNTA($B$2:B120), "")</f>
        <v/>
      </c>
      <c r="B120" s="3" t="inlineStr">
        <is>
          <t xml:space="preserve">Расходомер                 </t>
        </is>
      </c>
      <c r="C120" s="17" t="inlineStr">
        <is>
          <t>KROHNE OPTISWIRL 4070/C</t>
        </is>
      </c>
      <c r="D120" s="17" t="inlineStr">
        <is>
          <t>D110000000199390</t>
        </is>
      </c>
      <c r="E120" s="15" t="n">
        <v>2011</v>
      </c>
      <c r="F120" s="17" t="inlineStr">
        <is>
          <t>1,5…15 Нм3/мин</t>
        </is>
      </c>
      <c r="G120" s="17" t="inlineStr">
        <is>
          <t>1</t>
        </is>
      </c>
      <c r="H120" s="17" t="inlineStr">
        <is>
          <t>Расход воздуха на выходе из оболочки опорного подшипника</t>
        </is>
      </c>
      <c r="I120" s="15" t="inlineStr">
        <is>
          <t>ГПА 61</t>
        </is>
      </c>
      <c r="J120" s="15" t="inlineStr">
        <is>
          <t>АСУ,А и ТМ (КЦ № 6)</t>
        </is>
      </c>
      <c r="K120" s="15" t="n">
        <v>2012</v>
      </c>
      <c r="L120" s="14" t="n">
        <v>36</v>
      </c>
      <c r="M120" s="3" t="n"/>
      <c r="N120" s="70" t="n"/>
      <c r="O120" t="inlineStr">
        <is>
          <t>не соответствуют единицы расхода в АРМ</t>
        </is>
      </c>
    </row>
    <row r="121" ht="22.5" customHeight="1" s="151">
      <c r="A121" s="15">
        <f>IF(B121&lt;&gt;"", COUNTA($B$2:B121), "")</f>
        <v/>
      </c>
      <c r="B121" s="3" t="inlineStr">
        <is>
          <t xml:space="preserve">Расходомер                 </t>
        </is>
      </c>
      <c r="C121" s="17" t="inlineStr">
        <is>
          <t>KROHNE/H250</t>
        </is>
      </c>
      <c r="D121" s="17" t="inlineStr">
        <is>
          <t>D110000000182275</t>
        </is>
      </c>
      <c r="E121" s="15" t="n">
        <v>2011</v>
      </c>
      <c r="F121" s="17" t="inlineStr">
        <is>
          <t>6…60 Нм3/час</t>
        </is>
      </c>
      <c r="G121" s="17" t="inlineStr">
        <is>
          <t>1,6</t>
        </is>
      </c>
      <c r="H121" s="17" t="inlineStr">
        <is>
          <t>Расход газа на выходе первой ступени ЗКВ</t>
        </is>
      </c>
      <c r="I121" s="15" t="inlineStr">
        <is>
          <t>ГПА 61</t>
        </is>
      </c>
      <c r="J121" s="15" t="inlineStr">
        <is>
          <t>АСУ,А и ТМ (КЦ № 6)</t>
        </is>
      </c>
      <c r="K121" s="15" t="n">
        <v>2012</v>
      </c>
      <c r="L121" s="14" t="n">
        <v>36</v>
      </c>
      <c r="M121" s="3" t="n"/>
      <c r="N121" s="70" t="n"/>
    </row>
    <row r="122" ht="22.5" customHeight="1" s="151">
      <c r="A122" s="15">
        <f>IF(B122&lt;&gt;"", COUNTA($B$2:B122), "")</f>
        <v/>
      </c>
      <c r="B122" s="3" t="inlineStr">
        <is>
          <t xml:space="preserve">Расходомер                 </t>
        </is>
      </c>
      <c r="C122" s="17" t="inlineStr">
        <is>
          <t>KROHNE/H250</t>
        </is>
      </c>
      <c r="D122" s="17" t="inlineStr">
        <is>
          <t>D110000000182271</t>
        </is>
      </c>
      <c r="E122" s="15" t="n">
        <v>2011</v>
      </c>
      <c r="F122" s="17" t="inlineStr">
        <is>
          <t>6…60 Нм3/час</t>
        </is>
      </c>
      <c r="G122" s="14" t="n">
        <v>1.6</v>
      </c>
      <c r="H122" s="17" t="inlineStr">
        <is>
          <t>Расход газа на выходе первой ступени ПКВ</t>
        </is>
      </c>
      <c r="I122" s="15" t="inlineStr">
        <is>
          <t>ГПА 61</t>
        </is>
      </c>
      <c r="J122" s="15" t="inlineStr">
        <is>
          <t>АСУ,А и ТМ (КЦ № 6)</t>
        </is>
      </c>
      <c r="K122" s="15" t="n">
        <v>2012</v>
      </c>
      <c r="L122" s="14" t="n">
        <v>36</v>
      </c>
      <c r="M122" s="3" t="n"/>
      <c r="N122" s="70" t="n"/>
    </row>
    <row r="123" ht="22.5" customHeight="1" s="151">
      <c r="A123" s="15">
        <f>IF(B123&lt;&gt;"", COUNTA($B$2:B123), "")</f>
        <v/>
      </c>
      <c r="B123" s="15" t="inlineStr">
        <is>
          <t>Уровнемер</t>
        </is>
      </c>
      <c r="C123" s="14" t="inlineStr">
        <is>
          <t>KROHNE BM-26A</t>
        </is>
      </c>
      <c r="D123" s="14" t="inlineStr">
        <is>
          <t>447006647/10.07</t>
        </is>
      </c>
      <c r="E123" s="15" t="n">
        <v>2011</v>
      </c>
      <c r="F123" s="14" t="inlineStr">
        <is>
          <t>0…100 %</t>
        </is>
      </c>
      <c r="G123" s="14" t="inlineStr">
        <is>
          <t>±10 мм</t>
        </is>
      </c>
      <c r="H123" s="14" t="inlineStr">
        <is>
          <t>Уровень жидкости во входной камере Ф1/1</t>
        </is>
      </c>
      <c r="I123" s="15" t="inlineStr">
        <is>
          <t>ГПА 61</t>
        </is>
      </c>
      <c r="J123" s="15" t="inlineStr">
        <is>
          <t>АСУ,А и ТМ (КЦ № 6)</t>
        </is>
      </c>
      <c r="K123" s="15" t="n">
        <v>2012</v>
      </c>
      <c r="L123" s="14" t="n">
        <v>48</v>
      </c>
      <c r="M123" s="3" t="n"/>
      <c r="N123" s="70" t="n"/>
    </row>
    <row r="124">
      <c r="A124" s="15">
        <f>IF(B124&lt;&gt;"", COUNTA($B$2:B124), "")</f>
        <v/>
      </c>
      <c r="B124" s="15" t="inlineStr">
        <is>
          <t>Уровнемер</t>
        </is>
      </c>
      <c r="C124" s="14" t="inlineStr">
        <is>
          <t>KROHNE MS15</t>
        </is>
      </c>
      <c r="D124" s="14" t="inlineStr">
        <is>
          <t>447006647.10.25</t>
        </is>
      </c>
      <c r="E124" s="15" t="n">
        <v>2011</v>
      </c>
      <c r="F124" s="14" t="n"/>
      <c r="G124" s="14" t="n"/>
      <c r="H124" s="14" t="inlineStr">
        <is>
          <t>Нижний уровень SQ2 (Ф1/1)</t>
        </is>
      </c>
      <c r="I124" s="15" t="inlineStr">
        <is>
          <t>ГПА 61</t>
        </is>
      </c>
      <c r="J124" s="15" t="inlineStr">
        <is>
          <t>АСУ,А и ТМ (КЦ № 6)</t>
        </is>
      </c>
      <c r="K124" s="15" t="n">
        <v>2012</v>
      </c>
      <c r="L124" s="14" t="n"/>
      <c r="M124" s="3" t="n"/>
      <c r="N124" s="70" t="n"/>
    </row>
    <row r="125">
      <c r="A125" s="15">
        <f>IF(B125&lt;&gt;"", COUNTA($B$2:B125), "")</f>
        <v/>
      </c>
      <c r="B125" s="15" t="inlineStr">
        <is>
          <t>Уровнемер</t>
        </is>
      </c>
      <c r="C125" s="14" t="inlineStr">
        <is>
          <t>KROHNE MS15</t>
        </is>
      </c>
      <c r="D125" s="14" t="inlineStr">
        <is>
          <t>447006647.10.29</t>
        </is>
      </c>
      <c r="E125" s="15" t="n">
        <v>2011</v>
      </c>
      <c r="F125" s="14" t="n"/>
      <c r="G125" s="14" t="n"/>
      <c r="H125" s="14" t="inlineStr">
        <is>
          <t>Верхний уровень SQ1 (Ф1/1)</t>
        </is>
      </c>
      <c r="I125" s="15" t="inlineStr">
        <is>
          <t>ГПА 61</t>
        </is>
      </c>
      <c r="J125" s="15" t="inlineStr">
        <is>
          <t>АСУ,А и ТМ (КЦ № 6)</t>
        </is>
      </c>
      <c r="K125" s="15" t="n">
        <v>2012</v>
      </c>
      <c r="L125" s="14" t="n"/>
      <c r="M125" s="3" t="n"/>
      <c r="N125" s="70" t="n"/>
    </row>
    <row r="126">
      <c r="A126" s="15">
        <f>IF(B126&lt;&gt;"", COUNTA($B$2:B126), "")</f>
        <v/>
      </c>
      <c r="B126" s="15" t="inlineStr">
        <is>
          <t>Уровнемер</t>
        </is>
      </c>
      <c r="C126" s="14" t="inlineStr">
        <is>
          <t>KROHNE ER/EXD/AL/D</t>
        </is>
      </c>
      <c r="D126" s="14" t="inlineStr">
        <is>
          <t>447006647.10.07</t>
        </is>
      </c>
      <c r="E126" s="15" t="n">
        <v>2011</v>
      </c>
      <c r="F126" s="14" t="n"/>
      <c r="G126" s="14" t="n"/>
      <c r="H126" s="14" t="inlineStr">
        <is>
          <t>Уровень конденсата BL710 (Ф1/1)</t>
        </is>
      </c>
      <c r="I126" s="15" t="inlineStr">
        <is>
          <t>ГПА 61</t>
        </is>
      </c>
      <c r="J126" s="15" t="inlineStr">
        <is>
          <t>АСУ,А и ТМ (КЦ № 6)</t>
        </is>
      </c>
      <c r="K126" s="15" t="n">
        <v>2012</v>
      </c>
      <c r="L126" s="14" t="n"/>
      <c r="M126" s="3" t="n"/>
      <c r="N126" s="70" t="n"/>
    </row>
    <row r="127" ht="22.5" customHeight="1" s="151">
      <c r="A127" s="15">
        <f>IF(B127&lt;&gt;"", COUNTA($B$2:B127), "")</f>
        <v/>
      </c>
      <c r="B127" s="15" t="inlineStr">
        <is>
          <t>Уровнемер</t>
        </is>
      </c>
      <c r="C127" s="14" t="inlineStr">
        <is>
          <t>KROHNE BM-26A</t>
        </is>
      </c>
      <c r="D127" s="14" t="inlineStr">
        <is>
          <t>447006647/10.05</t>
        </is>
      </c>
      <c r="E127" s="15" t="n">
        <v>2011</v>
      </c>
      <c r="F127" s="14" t="inlineStr">
        <is>
          <t>0…100 %</t>
        </is>
      </c>
      <c r="G127" s="14" t="inlineStr">
        <is>
          <t>±10 мм</t>
        </is>
      </c>
      <c r="H127" s="14" t="inlineStr">
        <is>
          <t>Уровень жидкости в выходной камере Ф1/2</t>
        </is>
      </c>
      <c r="I127" s="15" t="inlineStr">
        <is>
          <t>ГПА 61</t>
        </is>
      </c>
      <c r="J127" s="15" t="inlineStr">
        <is>
          <t>АСУ,А и ТМ (КЦ № 6)</t>
        </is>
      </c>
      <c r="K127" s="15" t="n">
        <v>2012</v>
      </c>
      <c r="L127" s="14" t="n">
        <v>48</v>
      </c>
      <c r="M127" s="3" t="n"/>
      <c r="N127" s="70" t="n"/>
    </row>
    <row r="128">
      <c r="A128" s="15">
        <f>IF(B128&lt;&gt;"", COUNTA($B$2:B128), "")</f>
        <v/>
      </c>
      <c r="B128" s="15" t="inlineStr">
        <is>
          <t>Уровнемер</t>
        </is>
      </c>
      <c r="C128" s="14" t="inlineStr">
        <is>
          <t>KROHNE MS15</t>
        </is>
      </c>
      <c r="D128" s="14" t="inlineStr">
        <is>
          <t>447006647.10.28</t>
        </is>
      </c>
      <c r="E128" s="15" t="n">
        <v>2011</v>
      </c>
      <c r="F128" s="14" t="n"/>
      <c r="G128" s="14" t="n"/>
      <c r="H128" s="14" t="inlineStr">
        <is>
          <t>Нижний уровень SQ2 (Ф1/2)</t>
        </is>
      </c>
      <c r="I128" s="15" t="inlineStr">
        <is>
          <t>ГПА 61</t>
        </is>
      </c>
      <c r="J128" s="15" t="inlineStr">
        <is>
          <t>АСУ,А и ТМ (КЦ № 6)</t>
        </is>
      </c>
      <c r="K128" s="15" t="n">
        <v>2012</v>
      </c>
      <c r="L128" s="14" t="n"/>
      <c r="M128" s="3" t="n"/>
      <c r="N128" s="70" t="n"/>
    </row>
    <row r="129">
      <c r="A129" s="15">
        <f>IF(B129&lt;&gt;"", COUNTA($B$2:B129), "")</f>
        <v/>
      </c>
      <c r="B129" s="15" t="inlineStr">
        <is>
          <t>Уровнемер</t>
        </is>
      </c>
      <c r="C129" s="14" t="inlineStr">
        <is>
          <t>KROHNE MS15</t>
        </is>
      </c>
      <c r="D129" s="14" t="inlineStr">
        <is>
          <t>447006647.10.31</t>
        </is>
      </c>
      <c r="E129" s="15" t="n">
        <v>2011</v>
      </c>
      <c r="F129" s="14" t="n"/>
      <c r="G129" s="14" t="n"/>
      <c r="H129" s="14" t="inlineStr">
        <is>
          <t>Верхний уровень SQ1 (Ф1/2)</t>
        </is>
      </c>
      <c r="I129" s="15" t="inlineStr">
        <is>
          <t>ГПА 61</t>
        </is>
      </c>
      <c r="J129" s="15" t="inlineStr">
        <is>
          <t>АСУ,А и ТМ (КЦ № 6)</t>
        </is>
      </c>
      <c r="K129" s="15" t="n">
        <v>2012</v>
      </c>
      <c r="L129" s="14" t="n"/>
      <c r="M129" s="3" t="n"/>
      <c r="N129" s="70" t="n"/>
    </row>
    <row r="130">
      <c r="A130" s="15">
        <f>IF(B130&lt;&gt;"", COUNTA($B$2:B130), "")</f>
        <v/>
      </c>
      <c r="B130" s="15" t="inlineStr">
        <is>
          <t>Уровнемер</t>
        </is>
      </c>
      <c r="C130" s="14" t="inlineStr">
        <is>
          <t>KROHNE ER/EXD/AL/D</t>
        </is>
      </c>
      <c r="D130" s="14" t="inlineStr">
        <is>
          <t>447006647.10.05</t>
        </is>
      </c>
      <c r="E130" s="15" t="n">
        <v>2011</v>
      </c>
      <c r="F130" s="14" t="n"/>
      <c r="G130" s="14" t="n"/>
      <c r="H130" s="14" t="inlineStr">
        <is>
          <t>Уровень конденсата BL711 (Ф1/2)</t>
        </is>
      </c>
      <c r="I130" s="15" t="inlineStr">
        <is>
          <t>ГПА 61</t>
        </is>
      </c>
      <c r="J130" s="15" t="inlineStr">
        <is>
          <t>АСУ,А и ТМ (КЦ № 6)</t>
        </is>
      </c>
      <c r="K130" s="15" t="n">
        <v>2012</v>
      </c>
      <c r="L130" s="14" t="n"/>
      <c r="M130" s="3" t="n"/>
      <c r="N130" s="70" t="n"/>
    </row>
    <row r="131" ht="22.5" customHeight="1" s="151">
      <c r="A131" s="15">
        <f>IF(B131&lt;&gt;"", COUNTA($B$2:B131), "")</f>
        <v/>
      </c>
      <c r="B131" s="15" t="inlineStr">
        <is>
          <t>Уровнемер</t>
        </is>
      </c>
      <c r="C131" s="14" t="inlineStr">
        <is>
          <t>KROHNE BM-26A</t>
        </is>
      </c>
      <c r="D131" s="14" t="inlineStr">
        <is>
          <t>447006647/10.03</t>
        </is>
      </c>
      <c r="E131" s="15" t="n">
        <v>2011</v>
      </c>
      <c r="F131" s="14" t="inlineStr">
        <is>
          <t>0…100 %</t>
        </is>
      </c>
      <c r="G131" s="14" t="inlineStr">
        <is>
          <t>±10 мм</t>
        </is>
      </c>
      <c r="H131" s="14" t="inlineStr">
        <is>
          <t>Уровень жидкости во входной камере Ф2/1</t>
        </is>
      </c>
      <c r="I131" s="15" t="inlineStr">
        <is>
          <t>ГПА 61</t>
        </is>
      </c>
      <c r="J131" s="15" t="inlineStr">
        <is>
          <t>АСУ,А и ТМ (КЦ № 6)</t>
        </is>
      </c>
      <c r="K131" s="15" t="n">
        <v>2012</v>
      </c>
      <c r="L131" s="14" t="n">
        <v>48</v>
      </c>
      <c r="M131" s="3" t="n"/>
      <c r="N131" s="70" t="n"/>
    </row>
    <row r="132">
      <c r="A132" s="15">
        <f>IF(B132&lt;&gt;"", COUNTA($B$2:B132), "")</f>
        <v/>
      </c>
      <c r="B132" s="15" t="inlineStr">
        <is>
          <t>Уровнемер</t>
        </is>
      </c>
      <c r="C132" s="14" t="inlineStr">
        <is>
          <t>KROHNE MS15</t>
        </is>
      </c>
      <c r="D132" s="14" t="inlineStr">
        <is>
          <t>447006647.10.32</t>
        </is>
      </c>
      <c r="E132" s="15" t="n">
        <v>2011</v>
      </c>
      <c r="F132" s="14" t="n"/>
      <c r="G132" s="14" t="n"/>
      <c r="H132" s="14" t="inlineStr">
        <is>
          <t>Нижний уровень SQ2 (Ф2/1)</t>
        </is>
      </c>
      <c r="I132" s="15" t="inlineStr">
        <is>
          <t>ГПА 61</t>
        </is>
      </c>
      <c r="J132" s="15" t="inlineStr">
        <is>
          <t>АСУ,А и ТМ (КЦ № 6)</t>
        </is>
      </c>
      <c r="K132" s="15" t="n">
        <v>2012</v>
      </c>
      <c r="L132" s="14" t="n"/>
      <c r="M132" s="3" t="n"/>
      <c r="N132" s="70" t="n"/>
    </row>
    <row r="133">
      <c r="A133" s="15">
        <f>IF(B133&lt;&gt;"", COUNTA($B$2:B133), "")</f>
        <v/>
      </c>
      <c r="B133" s="15" t="inlineStr">
        <is>
          <t>Уровнемер</t>
        </is>
      </c>
      <c r="C133" s="14" t="inlineStr">
        <is>
          <t>KROHNE MS15</t>
        </is>
      </c>
      <c r="D133" s="14" t="inlineStr">
        <is>
          <t>447006647.10.26</t>
        </is>
      </c>
      <c r="E133" s="15" t="n">
        <v>2011</v>
      </c>
      <c r="F133" s="14" t="n"/>
      <c r="G133" s="14" t="n"/>
      <c r="H133" s="14" t="inlineStr">
        <is>
          <t>Верхний уровень SQ1 (Ф2/1)</t>
        </is>
      </c>
      <c r="I133" s="15" t="inlineStr">
        <is>
          <t>ГПА 61</t>
        </is>
      </c>
      <c r="J133" s="15" t="inlineStr">
        <is>
          <t>АСУ,А и ТМ (КЦ № 6)</t>
        </is>
      </c>
      <c r="K133" s="15" t="n">
        <v>2012</v>
      </c>
      <c r="L133" s="14" t="n"/>
      <c r="M133" s="3" t="n"/>
      <c r="N133" s="70" t="n"/>
    </row>
    <row r="134">
      <c r="A134" s="15">
        <f>IF(B134&lt;&gt;"", COUNTA($B$2:B134), "")</f>
        <v/>
      </c>
      <c r="B134" s="15" t="inlineStr">
        <is>
          <t>Уровнемер</t>
        </is>
      </c>
      <c r="C134" s="14" t="inlineStr">
        <is>
          <t>KROHNE ER/EXD/AL/D</t>
        </is>
      </c>
      <c r="D134" s="14" t="inlineStr">
        <is>
          <t>447006647.10.03</t>
        </is>
      </c>
      <c r="E134" s="15" t="n">
        <v>2011</v>
      </c>
      <c r="F134" s="14" t="n"/>
      <c r="G134" s="14" t="n"/>
      <c r="H134" s="14" t="inlineStr">
        <is>
          <t>Уровень конденсата BL712 (Ф2/1)</t>
        </is>
      </c>
      <c r="I134" s="15" t="inlineStr">
        <is>
          <t>ГПА 61</t>
        </is>
      </c>
      <c r="J134" s="15" t="inlineStr">
        <is>
          <t>АСУ,А и ТМ (КЦ № 6)</t>
        </is>
      </c>
      <c r="K134" s="15" t="n">
        <v>2012</v>
      </c>
      <c r="L134" s="14" t="n"/>
      <c r="M134" s="3" t="n"/>
      <c r="N134" s="70" t="n"/>
    </row>
    <row r="135" ht="22.5" customHeight="1" s="151">
      <c r="A135" s="15">
        <f>IF(B135&lt;&gt;"", COUNTA($B$2:B135), "")</f>
        <v/>
      </c>
      <c r="B135" s="15" t="inlineStr">
        <is>
          <t>Уровнемер</t>
        </is>
      </c>
      <c r="C135" s="14" t="inlineStr">
        <is>
          <t>KROHNE BM-26A</t>
        </is>
      </c>
      <c r="D135" s="14" t="inlineStr">
        <is>
          <t>447006647/10.11</t>
        </is>
      </c>
      <c r="E135" s="15" t="n">
        <v>2011</v>
      </c>
      <c r="F135" s="14" t="inlineStr">
        <is>
          <t>0…100 %</t>
        </is>
      </c>
      <c r="G135" s="14" t="inlineStr">
        <is>
          <t>±10 мм</t>
        </is>
      </c>
      <c r="H135" s="14" t="inlineStr">
        <is>
          <t>Уровень жидкости в выходной камере Ф2/2</t>
        </is>
      </c>
      <c r="I135" s="15" t="inlineStr">
        <is>
          <t>ГПА 61</t>
        </is>
      </c>
      <c r="J135" s="15" t="inlineStr">
        <is>
          <t>АСУ,А и ТМ (КЦ № 6)</t>
        </is>
      </c>
      <c r="K135" s="15" t="n">
        <v>2012</v>
      </c>
      <c r="L135" s="14" t="n">
        <v>48</v>
      </c>
      <c r="M135" s="3" t="n"/>
      <c r="N135" s="70" t="n"/>
    </row>
    <row r="136">
      <c r="A136" s="15">
        <f>IF(B136&lt;&gt;"", COUNTA($B$2:B136), "")</f>
        <v/>
      </c>
      <c r="B136" s="15" t="inlineStr">
        <is>
          <t>Уровнемер</t>
        </is>
      </c>
      <c r="C136" s="14" t="inlineStr">
        <is>
          <t>KROHNE MS15</t>
        </is>
      </c>
      <c r="D136" s="14" t="inlineStr">
        <is>
          <t>447006647.10.30</t>
        </is>
      </c>
      <c r="E136" s="15" t="n">
        <v>2011</v>
      </c>
      <c r="F136" s="14" t="n"/>
      <c r="G136" s="14" t="n"/>
      <c r="H136" s="14" t="inlineStr">
        <is>
          <t>Нижний уровень SQ2 (Ф2/2)</t>
        </is>
      </c>
      <c r="I136" s="15" t="inlineStr">
        <is>
          <t>ГПА 61</t>
        </is>
      </c>
      <c r="J136" s="15" t="inlineStr">
        <is>
          <t>АСУ,А и ТМ (КЦ № 6)</t>
        </is>
      </c>
      <c r="K136" s="15" t="n">
        <v>2012</v>
      </c>
      <c r="L136" s="14" t="n"/>
      <c r="M136" s="3" t="n"/>
      <c r="N136" s="70" t="n"/>
    </row>
    <row r="137">
      <c r="A137" s="15">
        <f>IF(B137&lt;&gt;"", COUNTA($B$2:B137), "")</f>
        <v/>
      </c>
      <c r="B137" s="15" t="inlineStr">
        <is>
          <t>Уровнемер</t>
        </is>
      </c>
      <c r="C137" s="14" t="inlineStr">
        <is>
          <t>KROHNE MS15</t>
        </is>
      </c>
      <c r="D137" s="14" t="inlineStr">
        <is>
          <t>447006647.10.27</t>
        </is>
      </c>
      <c r="E137" s="15" t="n">
        <v>2011</v>
      </c>
      <c r="F137" s="14" t="n"/>
      <c r="G137" s="14" t="n"/>
      <c r="H137" s="14" t="inlineStr">
        <is>
          <t>Верхний уровень SQ1 (Ф2/2)</t>
        </is>
      </c>
      <c r="I137" s="15" t="inlineStr">
        <is>
          <t>ГПА 61</t>
        </is>
      </c>
      <c r="J137" s="15" t="inlineStr">
        <is>
          <t>АСУ,А и ТМ (КЦ № 6)</t>
        </is>
      </c>
      <c r="K137" s="15" t="n">
        <v>2012</v>
      </c>
      <c r="L137" s="14" t="n"/>
      <c r="M137" s="3" t="n"/>
      <c r="N137" s="70" t="n"/>
    </row>
    <row r="138">
      <c r="A138" s="15">
        <f>IF(B138&lt;&gt;"", COUNTA($B$2:B138), "")</f>
        <v/>
      </c>
      <c r="B138" s="15" t="inlineStr">
        <is>
          <t>Уровнемер</t>
        </is>
      </c>
      <c r="C138" s="14" t="inlineStr">
        <is>
          <t>KROHNE ER/EXD/AL/D</t>
        </is>
      </c>
      <c r="D138" s="14" t="inlineStr">
        <is>
          <t>447006647.10.11</t>
        </is>
      </c>
      <c r="E138" s="15" t="n">
        <v>2011</v>
      </c>
      <c r="F138" s="14" t="n"/>
      <c r="G138" s="14" t="n"/>
      <c r="H138" s="14" t="inlineStr">
        <is>
          <t>Уровень конденсата BL713 (Ф2/2)</t>
        </is>
      </c>
      <c r="I138" s="15" t="inlineStr">
        <is>
          <t>ГПА 61</t>
        </is>
      </c>
      <c r="J138" s="15" t="inlineStr">
        <is>
          <t>АСУ,А и ТМ (КЦ № 6)</t>
        </is>
      </c>
      <c r="K138" s="15" t="n">
        <v>2012</v>
      </c>
      <c r="L138" s="14" t="n"/>
      <c r="M138" s="3" t="n"/>
      <c r="N138" s="70" t="n"/>
    </row>
    <row r="139" ht="22.5" customHeight="1" s="151">
      <c r="A139" s="15">
        <f>IF(B139&lt;&gt;"", COUNTA($B$2:B139), "")</f>
        <v/>
      </c>
      <c r="B139" s="15" t="inlineStr">
        <is>
          <t>Уровнемер</t>
        </is>
      </c>
      <c r="C139" s="14" t="inlineStr">
        <is>
          <t>KROHNE optiswitch 5200C</t>
        </is>
      </c>
      <c r="D139" s="14" t="n">
        <v>20408761</v>
      </c>
      <c r="E139" s="15" t="n">
        <v>2011</v>
      </c>
      <c r="F139" s="14" t="inlineStr">
        <is>
          <t>0…400 мм</t>
        </is>
      </c>
      <c r="G139" s="14" t="n"/>
      <c r="H139" s="14" t="inlineStr">
        <is>
          <t>Уровень теплоносителя в подогревателе BL1</t>
        </is>
      </c>
      <c r="I139" s="15" t="inlineStr">
        <is>
          <t>ГПА 61</t>
        </is>
      </c>
      <c r="J139" s="15" t="inlineStr">
        <is>
          <t>АСУ,А и ТМ (КЦ № 6)</t>
        </is>
      </c>
      <c r="K139" s="15" t="n">
        <v>2012</v>
      </c>
      <c r="L139" s="14" t="n"/>
      <c r="M139" s="3" t="n"/>
      <c r="N139" s="70" t="n"/>
    </row>
    <row r="140" ht="33.75" customHeight="1" s="151">
      <c r="A140" s="15">
        <f>IF(B140&lt;&gt;"", COUNTA($B$2:B140), "")</f>
        <v/>
      </c>
      <c r="B140" s="3" t="inlineStr">
        <is>
          <t xml:space="preserve">Расходомер                 </t>
        </is>
      </c>
      <c r="C140" s="14" t="inlineStr">
        <is>
          <t>Micrp Motion F200S-366-C-C-A-Z-E-ZZZ-Z (170011AFFEZZZ)</t>
        </is>
      </c>
      <c r="D140" s="14" t="inlineStr">
        <is>
          <t>sensor       14232611     (голова       3812871)</t>
        </is>
      </c>
      <c r="E140" s="15" t="n">
        <v>2011</v>
      </c>
      <c r="F140" s="14" t="inlineStr">
        <is>
          <t xml:space="preserve">0…6300 кг/час </t>
        </is>
      </c>
      <c r="G140" s="14" t="inlineStr">
        <is>
          <t>±0,5 (для газа)</t>
        </is>
      </c>
      <c r="H140" s="14" t="inlineStr">
        <is>
          <t>Расход топливного газа (коммерческий учет)</t>
        </is>
      </c>
      <c r="I140" s="15" t="inlineStr">
        <is>
          <t>ГПА 61</t>
        </is>
      </c>
      <c r="J140" s="15" t="inlineStr">
        <is>
          <t>АСУ,А и ТМ (КЦ № 6)</t>
        </is>
      </c>
      <c r="K140" s="15" t="n">
        <v>2012</v>
      </c>
      <c r="L140" s="14" t="n">
        <v>48</v>
      </c>
      <c r="M140" s="3" t="n"/>
      <c r="N140" s="70" t="n"/>
    </row>
    <row r="141" ht="33.75" customHeight="1" s="151">
      <c r="A141" s="15">
        <f>IF(B141&lt;&gt;"", COUNTA($B$2:B141), "")</f>
        <v/>
      </c>
      <c r="B141" s="14" t="inlineStr">
        <is>
          <t>Датчик вибрации</t>
        </is>
      </c>
      <c r="C141" s="8" t="inlineStr">
        <is>
          <t>ВПД 10-1,0/8,0</t>
        </is>
      </c>
      <c r="D141" s="14" t="inlineStr">
        <is>
          <t>Отсутствует доступ к датчику</t>
        </is>
      </c>
      <c r="E141" s="14" t="n">
        <v>2010</v>
      </c>
      <c r="F141" s="14" t="inlineStr">
        <is>
          <t>0…500 мкм (канал)</t>
        </is>
      </c>
      <c r="G141" s="14" t="inlineStr">
        <is>
          <t>нормируется для канала измерения</t>
        </is>
      </c>
      <c r="H141" s="15" t="inlineStr">
        <is>
          <t>Размах виброперемещения со стороны привода (горизонтальная составляющая)</t>
        </is>
      </c>
      <c r="I141" s="15" t="inlineStr">
        <is>
          <t>ГПА 61</t>
        </is>
      </c>
      <c r="J141" s="15" t="inlineStr">
        <is>
          <t>АСУ,А и ТМ (КЦ № 6)</t>
        </is>
      </c>
      <c r="K141" s="15" t="n">
        <v>2012</v>
      </c>
      <c r="L141" s="14" t="n">
        <v>24</v>
      </c>
      <c r="M141" s="3" t="n"/>
      <c r="N141" s="70" t="n"/>
    </row>
    <row r="142" ht="22.5" customHeight="1" s="151">
      <c r="A142" s="15">
        <f>IF(B142&lt;&gt;"", COUNTA($B$2:B142), "")</f>
        <v/>
      </c>
      <c r="B142" s="14" t="inlineStr">
        <is>
          <t>Датчик вибрации</t>
        </is>
      </c>
      <c r="C142" s="8" t="inlineStr">
        <is>
          <t>ВПД 10-1,0/8,0</t>
        </is>
      </c>
      <c r="D142" s="14" t="inlineStr">
        <is>
          <t>Отсутствует доступ к датчику</t>
        </is>
      </c>
      <c r="E142" s="14" t="n">
        <v>2010</v>
      </c>
      <c r="F142" s="14" t="inlineStr">
        <is>
          <t>0…500 мкм (канал)</t>
        </is>
      </c>
      <c r="G142" s="14" t="inlineStr">
        <is>
          <t>нормируется для канала измерения</t>
        </is>
      </c>
      <c r="H142" s="15" t="inlineStr">
        <is>
          <t>Размах виброперемещения со стороны привода (вертикальная составляющая)</t>
        </is>
      </c>
      <c r="I142" s="15" t="inlineStr">
        <is>
          <t>ГПА 61</t>
        </is>
      </c>
      <c r="J142" s="15" t="inlineStr">
        <is>
          <t>АСУ,А и ТМ (КЦ № 6)</t>
        </is>
      </c>
      <c r="K142" s="15" t="n">
        <v>2012</v>
      </c>
      <c r="L142" s="14" t="n">
        <v>24</v>
      </c>
      <c r="M142" s="3" t="n"/>
      <c r="N142" s="70" t="n"/>
    </row>
    <row r="143" ht="33.75" customHeight="1" s="151">
      <c r="A143" s="15">
        <f>IF(B143&lt;&gt;"", COUNTA($B$2:B143), "")</f>
        <v/>
      </c>
      <c r="B143" s="14" t="inlineStr">
        <is>
          <t>Датчик вибрации</t>
        </is>
      </c>
      <c r="C143" s="8" t="inlineStr">
        <is>
          <t>ВПД 10-1,0/8,0</t>
        </is>
      </c>
      <c r="D143" s="14" t="inlineStr">
        <is>
          <t>Отсутствует доступ к датчику</t>
        </is>
      </c>
      <c r="E143" s="14" t="n">
        <v>2010</v>
      </c>
      <c r="F143" s="14" t="inlineStr">
        <is>
          <t>0…500 мкм (канал)</t>
        </is>
      </c>
      <c r="G143" s="14" t="inlineStr">
        <is>
          <t>нормируется для канала измерения</t>
        </is>
      </c>
      <c r="H143" s="15" t="inlineStr">
        <is>
          <t>Размах виброперемещения со стороны свободного конца (горизонтальная составляющая)</t>
        </is>
      </c>
      <c r="I143" s="15" t="inlineStr">
        <is>
          <t>ГПА 61</t>
        </is>
      </c>
      <c r="J143" s="15" t="inlineStr">
        <is>
          <t>АСУ,А и ТМ (КЦ № 6)</t>
        </is>
      </c>
      <c r="K143" s="15" t="n">
        <v>2012</v>
      </c>
      <c r="L143" s="14" t="n">
        <v>24</v>
      </c>
      <c r="M143" s="3" t="n"/>
      <c r="N143" s="70" t="n"/>
    </row>
    <row r="144" ht="33.75" customHeight="1" s="151">
      <c r="A144" s="15">
        <f>IF(B144&lt;&gt;"", COUNTA($B$2:B144), "")</f>
        <v/>
      </c>
      <c r="B144" s="14" t="inlineStr">
        <is>
          <t>Датчик вибрации</t>
        </is>
      </c>
      <c r="C144" s="8" t="inlineStr">
        <is>
          <t>ВПД 10-1,0/8,0</t>
        </is>
      </c>
      <c r="D144" s="14" t="inlineStr">
        <is>
          <t>Отсутствует доступ к датчику</t>
        </is>
      </c>
      <c r="E144" s="14" t="n">
        <v>2010</v>
      </c>
      <c r="F144" s="14" t="inlineStr">
        <is>
          <t>0…500 мкм (канал)</t>
        </is>
      </c>
      <c r="G144" s="14" t="inlineStr">
        <is>
          <t>нормируется для канала измерения</t>
        </is>
      </c>
      <c r="H144" s="15" t="inlineStr">
        <is>
          <t>Размах виброперемещения со стороны свободного конца (вертикальная составляющая)</t>
        </is>
      </c>
      <c r="I144" s="15" t="inlineStr">
        <is>
          <t>ГПА 61</t>
        </is>
      </c>
      <c r="J144" s="15" t="inlineStr">
        <is>
          <t>АСУ,А и ТМ (КЦ № 6)</t>
        </is>
      </c>
      <c r="K144" s="15" t="n">
        <v>2012</v>
      </c>
      <c r="L144" s="14" t="n">
        <v>24</v>
      </c>
      <c r="M144" s="3" t="n"/>
      <c r="N144" s="70" t="n"/>
    </row>
    <row r="145" ht="22.5" customHeight="1" s="151">
      <c r="A145" s="15">
        <f>IF(B145&lt;&gt;"", COUNTA($B$2:B145), "")</f>
        <v/>
      </c>
      <c r="B145" s="14" t="inlineStr">
        <is>
          <t>Датчик вибрации</t>
        </is>
      </c>
      <c r="C145" s="8" t="inlineStr">
        <is>
          <t>ВПД 10-1,0/8,0</t>
        </is>
      </c>
      <c r="D145" s="14" t="inlineStr">
        <is>
          <t>Отсутствует доступ к датчику</t>
        </is>
      </c>
      <c r="E145" s="14" t="n">
        <v>2010</v>
      </c>
      <c r="F145" s="14" t="inlineStr">
        <is>
          <t>0…500 мкм (канал)</t>
        </is>
      </c>
      <c r="G145" s="14" t="inlineStr">
        <is>
          <t>нормируется для канала измерения</t>
        </is>
      </c>
      <c r="H145" s="15" t="inlineStr">
        <is>
          <t>Размах виброперемещения в осевом направлении</t>
        </is>
      </c>
      <c r="I145" s="15" t="inlineStr">
        <is>
          <t>ГПА 61</t>
        </is>
      </c>
      <c r="J145" s="15" t="inlineStr">
        <is>
          <t>АСУ,А и ТМ (КЦ № 6)</t>
        </is>
      </c>
      <c r="K145" s="15" t="n">
        <v>2012</v>
      </c>
      <c r="L145" s="14" t="n">
        <v>24</v>
      </c>
      <c r="M145" s="3" t="n"/>
      <c r="N145" s="70" t="n"/>
    </row>
    <row r="146" ht="22.5" customHeight="1" s="151">
      <c r="A146" s="15">
        <f>IF(B146&lt;&gt;"", COUNTA($B$2:B146), "")</f>
        <v/>
      </c>
      <c r="B146" s="14" t="inlineStr">
        <is>
          <t>Датчик вибрации</t>
        </is>
      </c>
      <c r="C146" s="8" t="inlineStr">
        <is>
          <t>ВПД 10-1,0/7,0Р</t>
        </is>
      </c>
      <c r="D146" s="14" t="inlineStr">
        <is>
          <t>Отсутствует доступ к датчику</t>
        </is>
      </c>
      <c r="E146" s="14" t="n">
        <v>2010</v>
      </c>
      <c r="F146" s="14" t="inlineStr">
        <is>
          <t>0…1000 мкм (канал)</t>
        </is>
      </c>
      <c r="G146" s="14" t="inlineStr">
        <is>
          <t>нормируется для канала измерения</t>
        </is>
      </c>
      <c r="H146" s="15" t="inlineStr">
        <is>
          <t>Датчик оборотов ротора нагнетателя</t>
        </is>
      </c>
      <c r="I146" s="15" t="inlineStr">
        <is>
          <t>ГПА 61</t>
        </is>
      </c>
      <c r="J146" s="15" t="inlineStr">
        <is>
          <t>АСУ,А и ТМ (КЦ № 6)</t>
        </is>
      </c>
      <c r="K146" s="15" t="n">
        <v>2012</v>
      </c>
      <c r="L146" s="14" t="n">
        <v>24</v>
      </c>
      <c r="M146" s="3" t="n"/>
      <c r="N146" s="70" t="n"/>
    </row>
    <row r="147" ht="22.5" customHeight="1" s="151">
      <c r="A147" s="15">
        <f>IF(B147&lt;&gt;"", COUNTA($B$2:B147), "")</f>
        <v/>
      </c>
      <c r="B147" s="16" t="inlineStr">
        <is>
          <t>Термометр сопротивления</t>
        </is>
      </c>
      <c r="C147" s="17" t="inlineStr">
        <is>
          <t>ТСП 012.60 Pt100/B/3</t>
        </is>
      </c>
      <c r="D147" s="17" t="inlineStr">
        <is>
          <t>395</t>
        </is>
      </c>
      <c r="E147" s="15" t="n">
        <v>2011</v>
      </c>
      <c r="F147" s="17" t="inlineStr">
        <is>
          <t>-60…200 °С</t>
        </is>
      </c>
      <c r="G147" s="17" t="inlineStr">
        <is>
          <t>B</t>
        </is>
      </c>
      <c r="H147" s="16" t="inlineStr">
        <is>
          <t>Температура масла после охладителя (на входе в двигатель)</t>
        </is>
      </c>
      <c r="I147" s="15" t="inlineStr">
        <is>
          <t>ГПА 61</t>
        </is>
      </c>
      <c r="J147" s="15" t="inlineStr">
        <is>
          <t>АСУ,А и ТМ (КЦ № 6)</t>
        </is>
      </c>
      <c r="K147" s="15" t="n">
        <v>2012</v>
      </c>
      <c r="L147" s="14" t="n">
        <v>36</v>
      </c>
      <c r="M147" s="3" t="n"/>
      <c r="N147" s="70" t="n"/>
    </row>
    <row r="148" ht="22.5" customHeight="1" s="151">
      <c r="A148" s="15">
        <f>IF(B148&lt;&gt;"", COUNTA($B$2:B148), "")</f>
        <v/>
      </c>
      <c r="B148" s="16" t="inlineStr">
        <is>
          <t>Термометр сопротивления</t>
        </is>
      </c>
      <c r="C148" s="17" t="inlineStr">
        <is>
          <t>ТСП 012.60 Pt100/B/3</t>
        </is>
      </c>
      <c r="D148" s="17" t="inlineStr">
        <is>
          <t>194</t>
        </is>
      </c>
      <c r="E148" s="15" t="n">
        <v>2011</v>
      </c>
      <c r="F148" s="17" t="inlineStr">
        <is>
          <t>-60…200 °С</t>
        </is>
      </c>
      <c r="G148" s="17" t="inlineStr">
        <is>
          <t>B</t>
        </is>
      </c>
      <c r="H148" s="16" t="inlineStr">
        <is>
          <t>Температура масла на выходе двигателя (перед маслоохладителем)</t>
        </is>
      </c>
      <c r="I148" s="15" t="inlineStr">
        <is>
          <t>ГПА 61</t>
        </is>
      </c>
      <c r="J148" s="15" t="inlineStr">
        <is>
          <t>АСУ,А и ТМ (КЦ № 6)</t>
        </is>
      </c>
      <c r="K148" s="15" t="n">
        <v>2012</v>
      </c>
      <c r="L148" s="14" t="n">
        <v>36</v>
      </c>
      <c r="M148" s="3" t="n"/>
      <c r="N148" s="70" t="n"/>
    </row>
    <row r="149">
      <c r="A149" s="15">
        <f>IF(B149&lt;&gt;"", COUNTA($B$2:B149), "")</f>
        <v/>
      </c>
      <c r="B149" s="16" t="inlineStr">
        <is>
          <t>Термометр сопротивления</t>
        </is>
      </c>
      <c r="C149" s="17" t="inlineStr">
        <is>
          <t>ТСП 012.60 Pt100/B/3</t>
        </is>
      </c>
      <c r="D149" s="17" t="inlineStr">
        <is>
          <t>324</t>
        </is>
      </c>
      <c r="E149" s="15" t="n">
        <v>2011</v>
      </c>
      <c r="F149" s="17" t="inlineStr">
        <is>
          <t>-60…200 °С</t>
        </is>
      </c>
      <c r="G149" s="17" t="inlineStr">
        <is>
          <t>B</t>
        </is>
      </c>
      <c r="H149" s="16" t="inlineStr">
        <is>
          <t>Температра масла в баке двигателя</t>
        </is>
      </c>
      <c r="I149" s="15" t="inlineStr">
        <is>
          <t>ГПА 61</t>
        </is>
      </c>
      <c r="J149" s="15" t="inlineStr">
        <is>
          <t>АСУ,А и ТМ (КЦ № 6)</t>
        </is>
      </c>
      <c r="K149" s="15" t="n">
        <v>2012</v>
      </c>
      <c r="L149" s="14" t="n">
        <v>36</v>
      </c>
      <c r="M149" s="3" t="n"/>
      <c r="N149" s="70" t="n"/>
    </row>
    <row r="150" ht="22.5" customHeight="1" s="151">
      <c r="A150" s="15">
        <f>IF(B150&lt;&gt;"", COUNTA($B$2:B150), "")</f>
        <v/>
      </c>
      <c r="B150" s="16" t="inlineStr">
        <is>
          <t>Термометр сопротивления</t>
        </is>
      </c>
      <c r="C150" s="17" t="inlineStr">
        <is>
          <t>ТСП 012.60 Pt100/B/3</t>
        </is>
      </c>
      <c r="D150" s="17" t="inlineStr">
        <is>
          <t>321</t>
        </is>
      </c>
      <c r="E150" s="15" t="n">
        <v>2011</v>
      </c>
      <c r="F150" s="17" t="inlineStr">
        <is>
          <t>-60…200 °С</t>
        </is>
      </c>
      <c r="G150" s="17" t="inlineStr">
        <is>
          <t>B</t>
        </is>
      </c>
      <c r="H150" s="16" t="inlineStr">
        <is>
          <t>Температура топливного газа перед расходомерным устройством</t>
        </is>
      </c>
      <c r="I150" s="15" t="inlineStr">
        <is>
          <t>ГПА 61</t>
        </is>
      </c>
      <c r="J150" s="15" t="inlineStr">
        <is>
          <t>АСУ,А и ТМ (КЦ № 6)</t>
        </is>
      </c>
      <c r="K150" s="15" t="n">
        <v>2012</v>
      </c>
      <c r="L150" s="14" t="n">
        <v>36</v>
      </c>
      <c r="M150" s="3" t="n"/>
      <c r="N150" s="70" t="n"/>
    </row>
    <row r="151" ht="22.5" customHeight="1" s="151">
      <c r="A151" s="15">
        <f>IF(B151&lt;&gt;"", COUNTA($B$2:B151), "")</f>
        <v/>
      </c>
      <c r="B151" s="16" t="inlineStr">
        <is>
          <t>Термометр сопротивления</t>
        </is>
      </c>
      <c r="C151" s="17" t="inlineStr">
        <is>
          <t>ТСП 012.60Сп Pt100/B/3</t>
        </is>
      </c>
      <c r="D151" s="17" t="inlineStr">
        <is>
          <t>347</t>
        </is>
      </c>
      <c r="E151" s="15" t="n">
        <v>2011</v>
      </c>
      <c r="F151" s="17" t="inlineStr">
        <is>
          <t>-60…200 °С</t>
        </is>
      </c>
      <c r="G151" s="17" t="inlineStr">
        <is>
          <t>B</t>
        </is>
      </c>
      <c r="H151" s="16" t="inlineStr">
        <is>
          <t>Температура воздуха под кожухом Д т.1</t>
        </is>
      </c>
      <c r="I151" s="15" t="inlineStr">
        <is>
          <t>ГПА 61</t>
        </is>
      </c>
      <c r="J151" s="15" t="inlineStr">
        <is>
          <t>АСУ,А и ТМ (КЦ № 6)</t>
        </is>
      </c>
      <c r="K151" s="15" t="n">
        <v>2012</v>
      </c>
      <c r="L151" s="14" t="n">
        <v>36</v>
      </c>
      <c r="M151" s="3" t="n"/>
      <c r="N151" s="70" t="n"/>
    </row>
    <row r="152" ht="22.5" customHeight="1" s="151">
      <c r="A152" s="15">
        <f>IF(B152&lt;&gt;"", COUNTA($B$2:B152), "")</f>
        <v/>
      </c>
      <c r="B152" s="16" t="inlineStr">
        <is>
          <t>Термометр сопротивления</t>
        </is>
      </c>
      <c r="C152" s="17" t="inlineStr">
        <is>
          <t>ТСП 012.60Сп Pt100/B/3</t>
        </is>
      </c>
      <c r="D152" s="17" t="inlineStr">
        <is>
          <t>351</t>
        </is>
      </c>
      <c r="E152" s="15" t="n">
        <v>2011</v>
      </c>
      <c r="F152" s="17" t="inlineStr">
        <is>
          <t>-60…200 °С</t>
        </is>
      </c>
      <c r="G152" s="17" t="inlineStr">
        <is>
          <t>B</t>
        </is>
      </c>
      <c r="H152" s="16" t="inlineStr">
        <is>
          <t>Температура воздуха под кожухом Д т.2</t>
        </is>
      </c>
      <c r="I152" s="15" t="inlineStr">
        <is>
          <t>ГПА 61</t>
        </is>
      </c>
      <c r="J152" s="15" t="inlineStr">
        <is>
          <t>АСУ,А и ТМ (КЦ № 6)</t>
        </is>
      </c>
      <c r="K152" s="15" t="n">
        <v>2012</v>
      </c>
      <c r="L152" s="14" t="n">
        <v>36</v>
      </c>
      <c r="M152" s="3" t="n"/>
      <c r="N152" s="70" t="n"/>
    </row>
    <row r="153" ht="22.5" customHeight="1" s="151">
      <c r="A153" s="15">
        <f>IF(B153&lt;&gt;"", COUNTA($B$2:B153), "")</f>
        <v/>
      </c>
      <c r="B153" s="16" t="inlineStr">
        <is>
          <t>Термометр сопротивления</t>
        </is>
      </c>
      <c r="C153" s="17" t="inlineStr">
        <is>
          <t>ТСП 012.60Сп Pt100/B/3</t>
        </is>
      </c>
      <c r="D153" s="17" t="inlineStr">
        <is>
          <t>353</t>
        </is>
      </c>
      <c r="E153" s="15" t="n">
        <v>2011</v>
      </c>
      <c r="F153" s="17" t="inlineStr">
        <is>
          <t>-60…200 °С</t>
        </is>
      </c>
      <c r="G153" s="17" t="inlineStr">
        <is>
          <t>B</t>
        </is>
      </c>
      <c r="H153" s="16" t="inlineStr">
        <is>
          <t>Температура воздуха под кожухом Д т.3</t>
        </is>
      </c>
      <c r="I153" s="15" t="inlineStr">
        <is>
          <t>ГПА 61</t>
        </is>
      </c>
      <c r="J153" s="15" t="inlineStr">
        <is>
          <t>АСУ,А и ТМ (КЦ № 6)</t>
        </is>
      </c>
      <c r="K153" s="15" t="n">
        <v>2012</v>
      </c>
      <c r="L153" s="14" t="n">
        <v>36</v>
      </c>
      <c r="M153" s="3" t="n"/>
      <c r="N153" s="70" t="n"/>
    </row>
    <row r="154" ht="22.5" customHeight="1" s="151">
      <c r="A154" s="15">
        <f>IF(B154&lt;&gt;"", COUNTA($B$2:B154), "")</f>
        <v/>
      </c>
      <c r="B154" s="16" t="inlineStr">
        <is>
          <t>Термометр сопротивления</t>
        </is>
      </c>
      <c r="C154" s="17" t="inlineStr">
        <is>
          <t>ТСП 012.60Сп Pt100/B/3</t>
        </is>
      </c>
      <c r="D154" s="17" t="inlineStr">
        <is>
          <t>343</t>
        </is>
      </c>
      <c r="E154" s="15" t="n">
        <v>2011</v>
      </c>
      <c r="F154" s="17" t="inlineStr">
        <is>
          <t>-60…200 °С</t>
        </is>
      </c>
      <c r="G154" s="17" t="inlineStr">
        <is>
          <t>B</t>
        </is>
      </c>
      <c r="H154" s="16" t="inlineStr">
        <is>
          <t>Температура воздуха под кожухом Д т.4</t>
        </is>
      </c>
      <c r="I154" s="15" t="inlineStr">
        <is>
          <t>ГПА 61</t>
        </is>
      </c>
      <c r="J154" s="15" t="inlineStr">
        <is>
          <t>АСУ,А и ТМ (КЦ № 6)</t>
        </is>
      </c>
      <c r="K154" s="15" t="n">
        <v>2012</v>
      </c>
      <c r="L154" s="14" t="n">
        <v>36</v>
      </c>
      <c r="M154" s="3" t="n"/>
      <c r="N154" s="70" t="n"/>
    </row>
    <row r="155" ht="33.75" customHeight="1" s="151">
      <c r="A155" s="15">
        <f>IF(B155&lt;&gt;"", COUNTA($B$2:B155), "")</f>
        <v/>
      </c>
      <c r="B155" s="16" t="inlineStr">
        <is>
          <t>Термометр сопротивления</t>
        </is>
      </c>
      <c r="C155" s="17" t="inlineStr">
        <is>
          <t>ТСП 012.60 Pt100/B/3</t>
        </is>
      </c>
      <c r="D155" s="17" t="inlineStr">
        <is>
          <t>330</t>
        </is>
      </c>
      <c r="E155" s="15" t="n">
        <v>2011</v>
      </c>
      <c r="F155" s="17" t="inlineStr">
        <is>
          <t>-60…200 °С</t>
        </is>
      </c>
      <c r="G155" s="17" t="inlineStr">
        <is>
          <t>B</t>
        </is>
      </c>
      <c r="H155" s="16" t="inlineStr">
        <is>
          <t>Температура защитного воздуха на выходе оболочки опорного подшипника (передний)</t>
        </is>
      </c>
      <c r="I155" s="15" t="inlineStr">
        <is>
          <t>ГПА 61</t>
        </is>
      </c>
      <c r="J155" s="15" t="inlineStr">
        <is>
          <t>АСУ,А и ТМ (КЦ № 6)</t>
        </is>
      </c>
      <c r="K155" s="15" t="n">
        <v>2012</v>
      </c>
      <c r="L155" s="14" t="n">
        <v>36</v>
      </c>
      <c r="M155" s="3" t="n"/>
      <c r="N155" s="70" t="n"/>
    </row>
    <row r="156" ht="33.75" customHeight="1" s="151">
      <c r="A156" s="15">
        <f>IF(B156&lt;&gt;"", COUNTA($B$2:B156), "")</f>
        <v/>
      </c>
      <c r="B156" s="16" t="inlineStr">
        <is>
          <t>Термометр сопротивления</t>
        </is>
      </c>
      <c r="C156" s="17" t="inlineStr">
        <is>
          <t>ТСП 012.60 Pt100/B/3</t>
        </is>
      </c>
      <c r="D156" s="17" t="inlineStr">
        <is>
          <t>197</t>
        </is>
      </c>
      <c r="E156" s="41" t="n">
        <v>2011</v>
      </c>
      <c r="F156" s="17" t="inlineStr">
        <is>
          <t>-60…200 °С</t>
        </is>
      </c>
      <c r="G156" s="17" t="inlineStr">
        <is>
          <t>B</t>
        </is>
      </c>
      <c r="H156" s="17" t="inlineStr">
        <is>
          <t>Температура защитного воздуха на входе установки фильтров перед КЭП10 (на входе ТГДУ)</t>
        </is>
      </c>
      <c r="I156" s="15" t="inlineStr">
        <is>
          <t>ГПА 61</t>
        </is>
      </c>
      <c r="J156" s="15" t="inlineStr">
        <is>
          <t>АСУ,А и ТМ (КЦ № 6)</t>
        </is>
      </c>
      <c r="K156" s="15" t="n">
        <v>2012</v>
      </c>
      <c r="L156" s="14" t="n">
        <v>36</v>
      </c>
      <c r="M156" s="3" t="n"/>
      <c r="N156" s="70" t="n"/>
    </row>
    <row r="157" ht="22.5" customHeight="1" s="151">
      <c r="A157" s="15">
        <f>IF(B157&lt;&gt;"", COUNTA($B$2:B157), "")</f>
        <v/>
      </c>
      <c r="B157" s="16" t="inlineStr">
        <is>
          <t>Термометр сопротивления</t>
        </is>
      </c>
      <c r="C157" s="17" t="inlineStr">
        <is>
          <t>ТСП 012.60 Pt100/B/3</t>
        </is>
      </c>
      <c r="D157" s="15" t="n">
        <v>311</v>
      </c>
      <c r="E157" s="41" t="n">
        <v>2011</v>
      </c>
      <c r="F157" s="17" t="inlineStr">
        <is>
          <t>-60…200 °С</t>
        </is>
      </c>
      <c r="G157" s="17" t="inlineStr">
        <is>
          <t>B</t>
        </is>
      </c>
      <c r="H157" s="17" t="inlineStr">
        <is>
          <t>Температура газа на выходе из компрессора</t>
        </is>
      </c>
      <c r="I157" s="15" t="inlineStr">
        <is>
          <t>ГПА 61</t>
        </is>
      </c>
      <c r="J157" s="15" t="inlineStr">
        <is>
          <t>АСУ,А и ТМ (КЦ № 6)</t>
        </is>
      </c>
      <c r="K157" s="15" t="n">
        <v>2012</v>
      </c>
      <c r="L157" s="14" t="n">
        <v>36</v>
      </c>
      <c r="M157" s="3" t="n"/>
      <c r="N157" s="70" t="n"/>
    </row>
    <row r="158" s="151">
      <c r="A158" s="15">
        <f>IF(B158&lt;&gt;"", COUNTA($B$2:B158), "")</f>
        <v/>
      </c>
      <c r="B158" s="16" t="inlineStr">
        <is>
          <t>Термометр сопротивления</t>
        </is>
      </c>
      <c r="C158" s="17" t="inlineStr">
        <is>
          <t>ТСПУ-Л-22162</t>
        </is>
      </c>
      <c r="D158" s="17" t="inlineStr">
        <is>
          <t>65</t>
        </is>
      </c>
      <c r="E158" s="48" t="inlineStr">
        <is>
          <t>2012</t>
        </is>
      </c>
      <c r="F158" s="10" t="inlineStr">
        <is>
          <t>­50…100 °C</t>
        </is>
      </c>
      <c r="G158" s="17" t="inlineStr">
        <is>
          <t>0,5</t>
        </is>
      </c>
      <c r="H158" s="17" t="inlineStr">
        <is>
          <t>Температура воздуха в укрытии</t>
        </is>
      </c>
      <c r="I158" s="15" t="inlineStr">
        <is>
          <t>ГПА 61</t>
        </is>
      </c>
      <c r="J158" s="15" t="inlineStr">
        <is>
          <t>АСУ,А и ТМ (КЦ № 6)</t>
        </is>
      </c>
      <c r="K158" s="15" t="n">
        <v>2012</v>
      </c>
      <c r="L158" s="14" t="n">
        <v>60</v>
      </c>
      <c r="M158" s="3" t="n"/>
      <c r="N158" s="70" t="n"/>
    </row>
    <row r="159" ht="22.5" customHeight="1" s="151">
      <c r="A159" s="15">
        <f>IF(B159&lt;&gt;"", COUNTA($B$2:B159), "")</f>
        <v/>
      </c>
      <c r="B159" s="16" t="inlineStr">
        <is>
          <t>Термометр сопротивления</t>
        </is>
      </c>
      <c r="C159" s="17" t="inlineStr">
        <is>
          <t>ТСП 012.60 Pt100/B/3</t>
        </is>
      </c>
      <c r="D159" s="17" t="inlineStr">
        <is>
          <t>385</t>
        </is>
      </c>
      <c r="E159" s="41" t="n">
        <v>2011</v>
      </c>
      <c r="F159" s="17" t="inlineStr">
        <is>
          <t>-60…200 °С</t>
        </is>
      </c>
      <c r="G159" s="17" t="inlineStr">
        <is>
          <t>B</t>
        </is>
      </c>
      <c r="H159" s="17" t="inlineStr">
        <is>
          <t>Температура теплоносителя в подогревателе буферного газа</t>
        </is>
      </c>
      <c r="I159" s="15" t="inlineStr">
        <is>
          <t>ГПА 61</t>
        </is>
      </c>
      <c r="J159" s="15" t="inlineStr">
        <is>
          <t>АСУ,А и ТМ (КЦ № 6)</t>
        </is>
      </c>
      <c r="K159" s="15" t="n">
        <v>2012</v>
      </c>
      <c r="L159" s="14" t="n">
        <v>36</v>
      </c>
      <c r="M159" s="3" t="n"/>
      <c r="N159" s="70" t="n"/>
    </row>
    <row r="160" ht="22.5" customHeight="1" s="151">
      <c r="A160" s="15">
        <f>IF(B160&lt;&gt;"", COUNTA($B$2:B160), "")</f>
        <v/>
      </c>
      <c r="B160" s="16" t="inlineStr">
        <is>
          <t>Термометр сопротивления</t>
        </is>
      </c>
      <c r="C160" s="17" t="inlineStr">
        <is>
          <t>ТСП 012.60 Pt100/B/3</t>
        </is>
      </c>
      <c r="D160" s="17" t="inlineStr">
        <is>
          <t>203</t>
        </is>
      </c>
      <c r="E160" s="41" t="n">
        <v>2011</v>
      </c>
      <c r="F160" s="17" t="inlineStr">
        <is>
          <t>-60…200 °С</t>
        </is>
      </c>
      <c r="G160" s="17" t="inlineStr">
        <is>
          <t>B</t>
        </is>
      </c>
      <c r="H160" s="17" t="inlineStr">
        <is>
          <t>Температура буферного газа на выходе подогревателя</t>
        </is>
      </c>
      <c r="I160" s="15" t="inlineStr">
        <is>
          <t>ГПА 61</t>
        </is>
      </c>
      <c r="J160" s="15" t="inlineStr">
        <is>
          <t>АСУ,А и ТМ (КЦ № 6)</t>
        </is>
      </c>
      <c r="K160" s="15" t="n">
        <v>2012</v>
      </c>
      <c r="L160" s="14" t="n">
        <v>36</v>
      </c>
      <c r="M160" s="3" t="n"/>
      <c r="N160" s="70" t="n"/>
    </row>
    <row r="161" ht="22.5" customHeight="1" s="151">
      <c r="A161" s="15">
        <f>IF(B161&lt;&gt;"", COUNTA($B$2:B161), "")</f>
        <v/>
      </c>
      <c r="B161" s="16" t="inlineStr">
        <is>
          <t>Термометр сопротивления</t>
        </is>
      </c>
      <c r="C161" s="17" t="inlineStr">
        <is>
          <t>ТСП 012.60 Pt100/B/3</t>
        </is>
      </c>
      <c r="D161" s="17" t="inlineStr">
        <is>
          <t>350</t>
        </is>
      </c>
      <c r="E161" s="41" t="n">
        <v>2011</v>
      </c>
      <c r="F161" s="17" t="inlineStr">
        <is>
          <t>-60…200 °С</t>
        </is>
      </c>
      <c r="G161" s="17" t="inlineStr">
        <is>
          <t>B</t>
        </is>
      </c>
      <c r="H161" s="17" t="inlineStr">
        <is>
          <t>Температура газа на входе в компрессор</t>
        </is>
      </c>
      <c r="I161" s="15" t="inlineStr">
        <is>
          <t>ГПА 61</t>
        </is>
      </c>
      <c r="J161" s="15" t="inlineStr">
        <is>
          <t>АСУ,А и ТМ (КЦ № 6)</t>
        </is>
      </c>
      <c r="K161" s="15" t="n">
        <v>2012</v>
      </c>
      <c r="L161" s="14" t="n">
        <v>36</v>
      </c>
      <c r="M161" s="3" t="n"/>
      <c r="N161" s="70" t="n"/>
    </row>
    <row r="162" ht="33.75" customHeight="1" s="151">
      <c r="A162" s="15">
        <f>IF(B162&lt;&gt;"", COUNTA($B$2:B162), "")</f>
        <v/>
      </c>
      <c r="B162" s="16" t="inlineStr">
        <is>
          <t>Термометр сопротивления</t>
        </is>
      </c>
      <c r="C162" s="17" t="inlineStr">
        <is>
          <t>ТСП 319М.09 Pt100/B/3</t>
        </is>
      </c>
      <c r="D162" s="17" t="inlineStr">
        <is>
          <t>1167</t>
        </is>
      </c>
      <c r="E162" s="39" t="n"/>
      <c r="F162" s="39" t="inlineStr">
        <is>
          <t>-60…180 °С</t>
        </is>
      </c>
      <c r="G162" s="17" t="inlineStr">
        <is>
          <t>B</t>
        </is>
      </c>
      <c r="H162" s="17" t="inlineStr">
        <is>
          <t>Температура электромагнита опорного подшипника со стороны привода</t>
        </is>
      </c>
      <c r="I162" s="15" t="inlineStr">
        <is>
          <t>ГПА 61</t>
        </is>
      </c>
      <c r="J162" s="15" t="inlineStr">
        <is>
          <t>АСУ,А и ТМ (КЦ № 6)</t>
        </is>
      </c>
      <c r="K162" s="15" t="n"/>
      <c r="L162" s="26" t="n"/>
      <c r="M162" s="3" t="n"/>
      <c r="N162" s="70" t="n"/>
    </row>
    <row r="163" ht="33.75" customHeight="1" s="151">
      <c r="A163" s="15">
        <f>IF(B163&lt;&gt;"", COUNTA($B$2:B163), "")</f>
        <v/>
      </c>
      <c r="B163" s="16" t="inlineStr">
        <is>
          <t>Термометр сопротивления</t>
        </is>
      </c>
      <c r="C163" s="17" t="inlineStr">
        <is>
          <t>ТСП 319М.09 Pt100/B/3</t>
        </is>
      </c>
      <c r="D163" s="14" t="inlineStr">
        <is>
          <t xml:space="preserve">Нет доступа                                                                                                                                                                                                            </t>
        </is>
      </c>
      <c r="E163" s="48" t="inlineStr">
        <is>
          <t>2010</t>
        </is>
      </c>
      <c r="F163" s="39" t="inlineStr">
        <is>
          <t>-60…180 °С</t>
        </is>
      </c>
      <c r="G163" s="17" t="inlineStr">
        <is>
          <t>B</t>
        </is>
      </c>
      <c r="H163" s="17" t="inlineStr">
        <is>
          <t>Температура электромагнита опорного подшипника со стороны свободного конца</t>
        </is>
      </c>
      <c r="I163" s="15" t="inlineStr">
        <is>
          <t>ГПА 61</t>
        </is>
      </c>
      <c r="J163" s="15" t="inlineStr">
        <is>
          <t>АСУ,А и ТМ (КЦ № 6)</t>
        </is>
      </c>
      <c r="K163" s="15" t="n">
        <v>2012</v>
      </c>
      <c r="L163" s="14" t="n">
        <v>24</v>
      </c>
      <c r="M163" s="3" t="n"/>
      <c r="N163" s="70" t="n"/>
    </row>
    <row r="164" ht="22.5" customHeight="1" s="151">
      <c r="A164" s="15">
        <f>IF(B164&lt;&gt;"", COUNTA($B$2:B164), "")</f>
        <v/>
      </c>
      <c r="B164" s="38" t="inlineStr">
        <is>
          <t>Термометр сопротивления</t>
        </is>
      </c>
      <c r="C164" s="39" t="inlineStr">
        <is>
          <t>ТСП 319М.09 Pt100/B/3</t>
        </is>
      </c>
      <c r="D164" s="39" t="inlineStr">
        <is>
          <t>1156</t>
        </is>
      </c>
      <c r="E164" s="48" t="inlineStr">
        <is>
          <t>2010</t>
        </is>
      </c>
      <c r="F164" s="39" t="inlineStr">
        <is>
          <t>-60…180 °С</t>
        </is>
      </c>
      <c r="G164" s="39" t="inlineStr">
        <is>
          <t>B</t>
        </is>
      </c>
      <c r="H164" s="38" t="inlineStr">
        <is>
          <t>Температура левого осевого электромагнита</t>
        </is>
      </c>
      <c r="I164" s="15" t="inlineStr">
        <is>
          <t>ГПА 61</t>
        </is>
      </c>
      <c r="J164" s="15" t="inlineStr">
        <is>
          <t>АСУ,А и ТМ (КЦ № 6)</t>
        </is>
      </c>
      <c r="K164" s="15" t="n">
        <v>2012</v>
      </c>
      <c r="L164" s="14" t="n">
        <v>24</v>
      </c>
      <c r="M164" s="3" t="n"/>
      <c r="N164" s="70" t="n"/>
    </row>
    <row r="165" ht="22.5" customHeight="1" s="151">
      <c r="A165" s="15">
        <f>IF(B165&lt;&gt;"", COUNTA($B$2:B165), "")</f>
        <v/>
      </c>
      <c r="B165" s="16" t="inlineStr">
        <is>
          <t>Термометр сопротивления</t>
        </is>
      </c>
      <c r="C165" s="17" t="inlineStr">
        <is>
          <t>ТСП 319М.09 Pt100/B/3</t>
        </is>
      </c>
      <c r="D165" s="17" t="inlineStr">
        <is>
          <t>1187</t>
        </is>
      </c>
      <c r="E165" s="17" t="n"/>
      <c r="F165" s="39" t="inlineStr">
        <is>
          <t>-60…180 °С</t>
        </is>
      </c>
      <c r="G165" s="17" t="inlineStr">
        <is>
          <t>B</t>
        </is>
      </c>
      <c r="H165" s="16" t="inlineStr">
        <is>
          <t>Температура правого осевого электромагнита</t>
        </is>
      </c>
      <c r="I165" s="15" t="inlineStr">
        <is>
          <t>ГПА 61</t>
        </is>
      </c>
      <c r="J165" s="15" t="inlineStr">
        <is>
          <t>АСУ,А и ТМ (КЦ № 6)</t>
        </is>
      </c>
      <c r="K165" s="15" t="n"/>
      <c r="L165" s="26" t="n"/>
      <c r="M165" s="3" t="n"/>
      <c r="N165" s="70" t="n"/>
    </row>
    <row r="166">
      <c r="A166" s="15">
        <f>IF(B166&lt;&gt;"", COUNTA($B$2:B166), "")</f>
        <v/>
      </c>
      <c r="B166" s="16" t="inlineStr">
        <is>
          <t>Термометр сопротивления</t>
        </is>
      </c>
      <c r="C166" s="17" t="inlineStr">
        <is>
          <t>ТСП 9204-06 100П/B/3</t>
        </is>
      </c>
      <c r="D166" s="17" t="inlineStr">
        <is>
          <t>4035</t>
        </is>
      </c>
      <c r="E166" s="15" t="n">
        <v>2011</v>
      </c>
      <c r="F166" s="17" t="inlineStr">
        <is>
          <t>-50…150 °С</t>
        </is>
      </c>
      <c r="G166" s="17" t="inlineStr">
        <is>
          <t>B</t>
        </is>
      </c>
      <c r="H166" s="16" t="inlineStr">
        <is>
          <t>Температура холодного спая в САУ</t>
        </is>
      </c>
      <c r="I166" s="15" t="inlineStr">
        <is>
          <t>ГПА 61</t>
        </is>
      </c>
      <c r="J166" s="15" t="inlineStr">
        <is>
          <t>АСУ,А и ТМ (КЦ № 6)</t>
        </is>
      </c>
      <c r="K166" s="15" t="n">
        <v>2012</v>
      </c>
      <c r="L166" s="26" t="n">
        <v>24</v>
      </c>
      <c r="M166" s="3" t="n"/>
      <c r="N166" s="70" t="n"/>
    </row>
    <row r="167" ht="22.5" customHeight="1" s="151">
      <c r="A167" s="15">
        <f>IF(B167&lt;&gt;"", COUNTA($B$2:B167), "")</f>
        <v/>
      </c>
      <c r="B167" s="16" t="inlineStr">
        <is>
          <t>Термометр сопротивления</t>
        </is>
      </c>
      <c r="C167" s="17" t="inlineStr">
        <is>
          <t>ТСП 012.60 Pt100/B/3</t>
        </is>
      </c>
      <c r="D167" s="17" t="inlineStr">
        <is>
          <t xml:space="preserve">196 </t>
        </is>
      </c>
      <c r="E167" s="15" t="n">
        <v>2011</v>
      </c>
      <c r="F167" s="17" t="inlineStr">
        <is>
          <t>-60…200 °С</t>
        </is>
      </c>
      <c r="G167" s="17" t="inlineStr">
        <is>
          <t>B</t>
        </is>
      </c>
      <c r="H167" s="17" t="inlineStr">
        <is>
          <t>Температура воздуха в  отсеке пожаротушения</t>
        </is>
      </c>
      <c r="I167" s="15" t="inlineStr">
        <is>
          <t>ГПА 61</t>
        </is>
      </c>
      <c r="J167" s="15" t="inlineStr">
        <is>
          <t>АСУ,А и ТМ (КЦ № 6)</t>
        </is>
      </c>
      <c r="K167" s="15" t="n">
        <v>2012</v>
      </c>
      <c r="L167" s="14" t="n">
        <v>36</v>
      </c>
      <c r="M167" s="3" t="n"/>
      <c r="N167" s="70" t="n"/>
    </row>
    <row r="168" ht="22.5" customHeight="1" s="151">
      <c r="A168" s="15">
        <f>IF(B168&lt;&gt;"", COUNTA($B$2:B168), "")</f>
        <v/>
      </c>
      <c r="B168" s="16" t="inlineStr">
        <is>
          <t>Термометр сопротивления</t>
        </is>
      </c>
      <c r="C168" s="17" t="inlineStr">
        <is>
          <t>ТСП 012.60 Pt100/B/3</t>
        </is>
      </c>
      <c r="D168" s="17" t="inlineStr">
        <is>
          <t>317</t>
        </is>
      </c>
      <c r="E168" s="15" t="n">
        <v>2011</v>
      </c>
      <c r="F168" s="17" t="inlineStr">
        <is>
          <t>-60…200 °С</t>
        </is>
      </c>
      <c r="G168" s="17" t="inlineStr">
        <is>
          <t>B</t>
        </is>
      </c>
      <c r="H168" s="17" t="inlineStr">
        <is>
          <t>Температура воздуха в  отсеке пожаротушения</t>
        </is>
      </c>
      <c r="I168" s="15" t="inlineStr">
        <is>
          <t>ГПА 61</t>
        </is>
      </c>
      <c r="J168" s="15" t="inlineStr">
        <is>
          <t>АСУ,А и ТМ (КЦ № 6)</t>
        </is>
      </c>
      <c r="K168" s="15" t="n">
        <v>2012</v>
      </c>
      <c r="L168" s="14" t="n">
        <v>36</v>
      </c>
      <c r="M168" s="3" t="n"/>
      <c r="N168" s="70" t="n"/>
    </row>
    <row r="169" ht="22.5" customHeight="1" s="151">
      <c r="A169" s="15">
        <f>IF(B169&lt;&gt;"", COUNTA($B$2:B169), "")</f>
        <v/>
      </c>
      <c r="B169" s="16" t="inlineStr">
        <is>
          <t>Термометр сопротивления</t>
        </is>
      </c>
      <c r="C169" s="17" t="inlineStr">
        <is>
          <t>ТСП 012.60 Pt100/B/3</t>
        </is>
      </c>
      <c r="D169" s="3" t="inlineStr">
        <is>
          <t>330</t>
        </is>
      </c>
      <c r="E169" s="15" t="n">
        <v>2011</v>
      </c>
      <c r="F169" s="17" t="inlineStr">
        <is>
          <t>-60…200 °С</t>
        </is>
      </c>
      <c r="G169" s="17" t="inlineStr">
        <is>
          <t>B</t>
        </is>
      </c>
      <c r="H169" s="17" t="inlineStr">
        <is>
          <t>Температура обогревателя в  отсеке пожаротушения</t>
        </is>
      </c>
      <c r="I169" s="15" t="inlineStr">
        <is>
          <t>ГПА 61</t>
        </is>
      </c>
      <c r="J169" s="15" t="inlineStr">
        <is>
          <t>АСУ,А и ТМ (КЦ № 6)</t>
        </is>
      </c>
      <c r="K169" s="15" t="n">
        <v>2012</v>
      </c>
      <c r="L169" s="14" t="n">
        <v>36</v>
      </c>
      <c r="M169" s="3" t="n"/>
      <c r="N169" s="70" t="n"/>
    </row>
    <row r="170" ht="22.5" customHeight="1" s="151">
      <c r="A170" s="15">
        <f>IF(B170&lt;&gt;"", COUNTA($B$2:B170), "")</f>
        <v/>
      </c>
      <c r="B170" s="16" t="inlineStr">
        <is>
          <t>Термометр сопротивления</t>
        </is>
      </c>
      <c r="C170" s="17" t="inlineStr">
        <is>
          <t>ТСП 319М.03 Pt100/B/3</t>
        </is>
      </c>
      <c r="D170" s="17" t="inlineStr">
        <is>
          <t>1167</t>
        </is>
      </c>
      <c r="E170" s="15" t="n">
        <v>2011</v>
      </c>
      <c r="F170" s="17" t="inlineStr">
        <is>
          <t>-60…180 °С</t>
        </is>
      </c>
      <c r="G170" s="17" t="inlineStr">
        <is>
          <t>B</t>
        </is>
      </c>
      <c r="H170" s="17" t="inlineStr">
        <is>
          <t>Температура воздуха в блоке автоматики</t>
        </is>
      </c>
      <c r="I170" s="15" t="inlineStr">
        <is>
          <t>ГПА 61</t>
        </is>
      </c>
      <c r="J170" s="15" t="inlineStr">
        <is>
          <t>АСУ,А и ТМ (КЦ № 6)</t>
        </is>
      </c>
      <c r="K170" s="15" t="n">
        <v>2012</v>
      </c>
      <c r="L170" s="14" t="n">
        <v>36</v>
      </c>
      <c r="M170" s="3" t="n"/>
      <c r="N170" s="70" t="n"/>
    </row>
    <row r="171">
      <c r="A171" s="15">
        <f>IF(B171&lt;&gt;"", COUNTA($B$2:B171), "")</f>
        <v/>
      </c>
      <c r="B171" s="16" t="inlineStr">
        <is>
          <t>Термометр сопротивления</t>
        </is>
      </c>
      <c r="C171" s="17" t="inlineStr">
        <is>
          <t>ТСП 012.60Сп Pt100/B/3</t>
        </is>
      </c>
      <c r="D171" s="15" t="n">
        <v>338</v>
      </c>
      <c r="E171" s="15" t="n">
        <v>2011</v>
      </c>
      <c r="F171" s="17" t="inlineStr">
        <is>
          <t>-60…200 °С</t>
        </is>
      </c>
      <c r="G171" s="17" t="inlineStr">
        <is>
          <t>B</t>
        </is>
      </c>
      <c r="H171" s="17" t="inlineStr">
        <is>
          <t xml:space="preserve">Температура атмосферного воздуха </t>
        </is>
      </c>
      <c r="I171" s="15" t="inlineStr">
        <is>
          <t>ГПА 61</t>
        </is>
      </c>
      <c r="J171" s="15" t="inlineStr">
        <is>
          <t>АСУ,А и ТМ (КЦ № 6)</t>
        </is>
      </c>
      <c r="K171" s="15" t="n">
        <v>2012</v>
      </c>
      <c r="L171" s="26" t="n">
        <v>24</v>
      </c>
      <c r="M171" s="3" t="n"/>
      <c r="N171" s="70" t="n"/>
    </row>
    <row r="172" ht="22.5" customHeight="1" s="151">
      <c r="A172" s="15">
        <f>IF(B172&lt;&gt;"", COUNTA($B$2:B172), "")</f>
        <v/>
      </c>
      <c r="B172" s="16" t="inlineStr">
        <is>
          <t>Термометр сопротивления</t>
        </is>
      </c>
      <c r="C172" s="17" t="inlineStr">
        <is>
          <t>ТСМ 319М-05.02 50М/B/3</t>
        </is>
      </c>
      <c r="D172" s="17" t="inlineStr">
        <is>
          <t>1369</t>
        </is>
      </c>
      <c r="E172" s="15" t="n">
        <v>2011</v>
      </c>
      <c r="F172" s="17" t="inlineStr">
        <is>
          <t>-60…180 °С</t>
        </is>
      </c>
      <c r="G172" s="17" t="inlineStr">
        <is>
          <t>B</t>
        </is>
      </c>
      <c r="H172" s="17" t="inlineStr">
        <is>
          <t>Температура в контейнере Atlas Copco</t>
        </is>
      </c>
      <c r="I172" s="15" t="inlineStr">
        <is>
          <t>ГПА 61</t>
        </is>
      </c>
      <c r="J172" s="15" t="inlineStr">
        <is>
          <t>АСУ,А и ТМ (КЦ № 6)</t>
        </is>
      </c>
      <c r="K172" s="15" t="n">
        <v>2012</v>
      </c>
      <c r="L172" s="26" t="n">
        <v>24</v>
      </c>
      <c r="M172" s="3" t="n"/>
      <c r="N172" s="70" t="n"/>
    </row>
    <row r="173" ht="22.5" customHeight="1" s="151">
      <c r="A173" s="15">
        <f>IF(B173&lt;&gt;"", COUNTA($B$2:B173), "")</f>
        <v/>
      </c>
      <c r="B173" s="14" t="inlineStr">
        <is>
          <t>Датчик вибрации</t>
        </is>
      </c>
      <c r="C173" s="71" t="inlineStr">
        <is>
          <t>МВ-46Г</t>
        </is>
      </c>
      <c r="D173" s="14" t="n">
        <v>112683</v>
      </c>
      <c r="E173" s="15" t="n">
        <v>2011</v>
      </c>
      <c r="F173" s="14" t="inlineStr">
        <is>
          <t>0…100 мм/с</t>
        </is>
      </c>
      <c r="G173" s="14" t="n">
        <v>2.5</v>
      </c>
      <c r="H173" s="14" t="inlineStr">
        <is>
          <t>Виброскорость в зоне КНД (вертикаль)</t>
        </is>
      </c>
      <c r="I173" s="15" t="inlineStr">
        <is>
          <t>ГПА 61</t>
        </is>
      </c>
      <c r="J173" s="15" t="inlineStr">
        <is>
          <t>АСУ,А и ТМ (КЦ № 6)</t>
        </is>
      </c>
      <c r="K173" s="15" t="n">
        <v>2012</v>
      </c>
      <c r="L173" s="15" t="n">
        <v>12</v>
      </c>
      <c r="M173" s="3" t="n"/>
      <c r="N173" s="70" t="n"/>
    </row>
    <row r="174" ht="22.5" customHeight="1" s="151">
      <c r="A174" s="15">
        <f>IF(B174&lt;&gt;"", COUNTA($B$2:B174), "")</f>
        <v/>
      </c>
      <c r="B174" s="14" t="inlineStr">
        <is>
          <t>Датчик вибрации</t>
        </is>
      </c>
      <c r="C174" s="71" t="inlineStr">
        <is>
          <t>МВ-46Г</t>
        </is>
      </c>
      <c r="D174" s="14" t="n">
        <v>112701</v>
      </c>
      <c r="E174" s="15" t="n">
        <v>2011</v>
      </c>
      <c r="F174" s="14" t="inlineStr">
        <is>
          <t>0…100 мм/с</t>
        </is>
      </c>
      <c r="G174" s="14" t="n">
        <v>2.5</v>
      </c>
      <c r="H174" s="14" t="inlineStr">
        <is>
          <t>Виброскорость в зоне КНД (горизонталь)</t>
        </is>
      </c>
      <c r="I174" s="15" t="inlineStr">
        <is>
          <t>ГПА 61</t>
        </is>
      </c>
      <c r="J174" s="15" t="inlineStr">
        <is>
          <t>АСУ,А и ТМ (КЦ № 6)</t>
        </is>
      </c>
      <c r="K174" s="15" t="n">
        <v>2012</v>
      </c>
      <c r="L174" s="15" t="n">
        <v>12</v>
      </c>
      <c r="M174" s="3" t="n"/>
      <c r="N174" s="70" t="n"/>
    </row>
    <row r="175" ht="22.5" customHeight="1" s="151">
      <c r="A175" s="15">
        <f>IF(B175&lt;&gt;"", COUNTA($B$2:B175), "")</f>
        <v/>
      </c>
      <c r="B175" s="14" t="inlineStr">
        <is>
          <t>Датчик вибрации</t>
        </is>
      </c>
      <c r="C175" s="71" t="inlineStr">
        <is>
          <t>МВ-46Г</t>
        </is>
      </c>
      <c r="D175" s="14" t="n">
        <v>111611</v>
      </c>
      <c r="E175" s="15" t="n">
        <v>2011</v>
      </c>
      <c r="F175" s="14" t="inlineStr">
        <is>
          <t>0…100 мм/с</t>
        </is>
      </c>
      <c r="G175" s="14" t="n">
        <v>2.5</v>
      </c>
      <c r="H175" s="14" t="inlineStr">
        <is>
          <t>Виброскорость в зоне средней опоры (вертикаль)</t>
        </is>
      </c>
      <c r="I175" s="15" t="inlineStr">
        <is>
          <t>ГПА 61</t>
        </is>
      </c>
      <c r="J175" s="15" t="inlineStr">
        <is>
          <t>АСУ,А и ТМ (КЦ № 6)</t>
        </is>
      </c>
      <c r="K175" s="15" t="n">
        <v>2012</v>
      </c>
      <c r="L175" s="15" t="n">
        <v>12</v>
      </c>
      <c r="M175" s="3" t="n"/>
      <c r="N175" s="70" t="n"/>
    </row>
    <row r="176" ht="22.5" customHeight="1" s="151">
      <c r="A176" s="15">
        <f>IF(B176&lt;&gt;"", COUNTA($B$2:B176), "")</f>
        <v/>
      </c>
      <c r="B176" s="14" t="inlineStr">
        <is>
          <t>Датчик вибрации</t>
        </is>
      </c>
      <c r="C176" s="71" t="inlineStr">
        <is>
          <t>МВ-46Г</t>
        </is>
      </c>
      <c r="D176" s="14" t="n">
        <v>112687</v>
      </c>
      <c r="E176" s="15" t="n">
        <v>2011</v>
      </c>
      <c r="F176" s="14" t="inlineStr">
        <is>
          <t>0…100 мм/с</t>
        </is>
      </c>
      <c r="G176" s="14" t="n">
        <v>2.5</v>
      </c>
      <c r="H176" s="14" t="inlineStr">
        <is>
          <t>Виброскорость в зоне средней опоры (горизонталь)</t>
        </is>
      </c>
      <c r="I176" s="15" t="inlineStr">
        <is>
          <t>ГПА 61</t>
        </is>
      </c>
      <c r="J176" s="15" t="inlineStr">
        <is>
          <t>АСУ,А и ТМ (КЦ № 6)</t>
        </is>
      </c>
      <c r="K176" s="15" t="n">
        <v>2012</v>
      </c>
      <c r="L176" s="15" t="n">
        <v>12</v>
      </c>
      <c r="M176" s="3" t="n"/>
      <c r="N176" s="70" t="n"/>
    </row>
    <row r="177" ht="22.5" customHeight="1" s="151">
      <c r="A177" s="15">
        <f>IF(B177&lt;&gt;"", COUNTA($B$2:B177), "")</f>
        <v/>
      </c>
      <c r="B177" s="14" t="inlineStr">
        <is>
          <t>Датчик вибрации</t>
        </is>
      </c>
      <c r="C177" s="71" t="inlineStr">
        <is>
          <t>МВ-46Г</t>
        </is>
      </c>
      <c r="D177" s="14" t="n">
        <v>84227</v>
      </c>
      <c r="E177" s="15" t="n">
        <v>2011</v>
      </c>
      <c r="F177" s="14" t="inlineStr">
        <is>
          <t>0…100 мм/с</t>
        </is>
      </c>
      <c r="G177" s="14" t="n">
        <v>2.5</v>
      </c>
      <c r="H177" s="14" t="inlineStr">
        <is>
          <t>Виброскорость в зоне средней опоры (осевое направление)</t>
        </is>
      </c>
      <c r="I177" s="15" t="inlineStr">
        <is>
          <t>ГПА 61</t>
        </is>
      </c>
      <c r="J177" s="15" t="inlineStr">
        <is>
          <t>АСУ,А и ТМ (КЦ № 6)</t>
        </is>
      </c>
      <c r="K177" s="15" t="n">
        <v>2012</v>
      </c>
      <c r="L177" s="15" t="n">
        <v>12</v>
      </c>
      <c r="M177" s="3" t="n"/>
      <c r="N177" s="70" t="n"/>
    </row>
    <row r="178">
      <c r="A178" s="15">
        <f>IF(B178&lt;&gt;"", COUNTA($B$2:B178), "")</f>
        <v/>
      </c>
      <c r="B178" s="14" t="inlineStr">
        <is>
          <t>Датчик вибрации</t>
        </is>
      </c>
      <c r="C178" s="71" t="inlineStr">
        <is>
          <t>МВ-44-1Г</t>
        </is>
      </c>
      <c r="D178" s="14" t="n">
        <v>113218</v>
      </c>
      <c r="E178" s="15" t="n">
        <v>2011</v>
      </c>
      <c r="F178" s="14" t="inlineStr">
        <is>
          <t>0…100 мм/с</t>
        </is>
      </c>
      <c r="G178" s="14" t="n">
        <v>2.5</v>
      </c>
      <c r="H178" s="14" t="inlineStr">
        <is>
          <t>Виброскорость в зоне СТ (вертикаль)</t>
        </is>
      </c>
      <c r="I178" s="15" t="inlineStr">
        <is>
          <t>ГПА 61</t>
        </is>
      </c>
      <c r="J178" s="15" t="inlineStr">
        <is>
          <t>АСУ,А и ТМ (КЦ № 6)</t>
        </is>
      </c>
      <c r="K178" s="15" t="n">
        <v>2012</v>
      </c>
      <c r="L178" s="15" t="n">
        <v>12</v>
      </c>
      <c r="M178" s="3" t="n"/>
      <c r="N178" s="70" t="n"/>
    </row>
    <row r="179" ht="22.5" customHeight="1" s="151">
      <c r="A179" s="15">
        <f>IF(B179&lt;&gt;"", COUNTA($B$2:B179), "")</f>
        <v/>
      </c>
      <c r="B179" s="14" t="inlineStr">
        <is>
          <t>Датчик вибрации</t>
        </is>
      </c>
      <c r="C179" s="71" t="inlineStr">
        <is>
          <t>МВ-44-1Г</t>
        </is>
      </c>
      <c r="D179" s="14" t="n">
        <v>120085</v>
      </c>
      <c r="E179" s="15" t="n">
        <v>2011</v>
      </c>
      <c r="F179" s="14" t="inlineStr">
        <is>
          <t>0…100 мм/с</t>
        </is>
      </c>
      <c r="G179" s="14" t="n">
        <v>2.5</v>
      </c>
      <c r="H179" s="14" t="inlineStr">
        <is>
          <t>Виброскорость в зоне СТ (горизонталь)</t>
        </is>
      </c>
      <c r="I179" s="15" t="inlineStr">
        <is>
          <t>ГПА 61</t>
        </is>
      </c>
      <c r="J179" s="15" t="inlineStr">
        <is>
          <t>АСУ,А и ТМ (КЦ № 6)</t>
        </is>
      </c>
      <c r="K179" s="15" t="n">
        <v>2012</v>
      </c>
      <c r="L179" s="15" t="n">
        <v>12</v>
      </c>
      <c r="M179" s="3" t="n"/>
      <c r="N179" s="70" t="n"/>
    </row>
    <row r="180">
      <c r="A180" s="15">
        <f>IF(B180&lt;&gt;"", COUNTA($B$2:B180), "")</f>
        <v/>
      </c>
      <c r="B180" s="280" t="inlineStr">
        <is>
          <t>Манометр технический</t>
        </is>
      </c>
      <c r="C180" s="10" t="inlineStr">
        <is>
          <t>МП4-УУ2</t>
        </is>
      </c>
      <c r="D180" s="10" t="n">
        <v>15096</v>
      </c>
      <c r="E180" s="10" t="n">
        <v>2010</v>
      </c>
      <c r="F180" s="10" t="inlineStr">
        <is>
          <t>0…160 кгс/см2</t>
        </is>
      </c>
      <c r="G180" s="10" t="n">
        <v>1.5</v>
      </c>
      <c r="H180" s="26" t="inlineStr">
        <is>
          <t>Р газа на входе компрессора</t>
        </is>
      </c>
      <c r="I180" s="8" t="inlineStr">
        <is>
          <t>ГПА 61</t>
        </is>
      </c>
      <c r="J180" s="15" t="inlineStr">
        <is>
          <t>АСУ,А и ТМ (КЦ № 6)</t>
        </is>
      </c>
      <c r="K180" s="15" t="n">
        <v>2012</v>
      </c>
      <c r="L180" s="15" t="n">
        <v>12</v>
      </c>
      <c r="M180" s="3" t="inlineStr">
        <is>
          <t>1К26</t>
        </is>
      </c>
      <c r="N180" s="70" t="inlineStr">
        <is>
          <t>К</t>
        </is>
      </c>
    </row>
    <row r="181">
      <c r="A181" s="15">
        <f>IF(B181&lt;&gt;"", COUNTA($B$2:B181), "")</f>
        <v/>
      </c>
      <c r="B181" s="280" t="inlineStr">
        <is>
          <t>Манометр технический</t>
        </is>
      </c>
      <c r="C181" s="10" t="inlineStr">
        <is>
          <t>МП4-УУ2</t>
        </is>
      </c>
      <c r="D181" s="10" t="n">
        <v>15385</v>
      </c>
      <c r="E181" s="10" t="n">
        <v>2010</v>
      </c>
      <c r="F181" s="10" t="inlineStr">
        <is>
          <t>0…160 кгс/см2</t>
        </is>
      </c>
      <c r="G181" s="10" t="n">
        <v>1.5</v>
      </c>
      <c r="H181" s="26" t="inlineStr">
        <is>
          <t>Р газа на выходе компрессора</t>
        </is>
      </c>
      <c r="I181" s="8" t="inlineStr">
        <is>
          <t>ГПА 61</t>
        </is>
      </c>
      <c r="J181" s="15" t="inlineStr">
        <is>
          <t>АСУ,А и ТМ (КЦ № 6)</t>
        </is>
      </c>
      <c r="K181" s="15" t="n">
        <v>2012</v>
      </c>
      <c r="L181" s="15" t="n">
        <v>12</v>
      </c>
      <c r="M181" s="3" t="inlineStr">
        <is>
          <t>1К26</t>
        </is>
      </c>
      <c r="N181" s="70" t="inlineStr">
        <is>
          <t>К</t>
        </is>
      </c>
    </row>
    <row r="182">
      <c r="A182" s="15">
        <f>IF(B182&lt;&gt;"", COUNTA($B$2:B182), "")</f>
        <v/>
      </c>
      <c r="B182" s="280" t="inlineStr">
        <is>
          <t>Манометр технический</t>
        </is>
      </c>
      <c r="C182" s="71" t="inlineStr">
        <is>
          <t>МП4-УУ2</t>
        </is>
      </c>
      <c r="D182" s="71" t="n">
        <v>15100</v>
      </c>
      <c r="E182" s="10" t="n">
        <v>2010</v>
      </c>
      <c r="F182" s="10" t="inlineStr">
        <is>
          <t>0…160 кгс/см2</t>
        </is>
      </c>
      <c r="G182" s="71" t="n">
        <v>1.5</v>
      </c>
      <c r="H182" s="14" t="inlineStr">
        <is>
          <t>Р газа в Ф1</t>
        </is>
      </c>
      <c r="I182" s="8" t="inlineStr">
        <is>
          <t>ГПА 61</t>
        </is>
      </c>
      <c r="J182" s="15" t="inlineStr">
        <is>
          <t>АСУ,А и ТМ (КЦ № 6)</t>
        </is>
      </c>
      <c r="K182" s="15" t="n">
        <v>2012</v>
      </c>
      <c r="L182" s="15" t="n">
        <v>12</v>
      </c>
      <c r="M182" s="3" t="inlineStr">
        <is>
          <t>26ДЯУ</t>
        </is>
      </c>
      <c r="N182" s="70" t="inlineStr">
        <is>
          <t>П</t>
        </is>
      </c>
      <c r="O182" s="66" t="n"/>
    </row>
    <row r="183">
      <c r="A183" s="15">
        <f>IF(B183&lt;&gt;"", COUNTA($B$2:B183), "")</f>
        <v/>
      </c>
      <c r="B183" s="280" t="inlineStr">
        <is>
          <t>Манометр технический</t>
        </is>
      </c>
      <c r="C183" s="71" t="inlineStr">
        <is>
          <t>МП4-УУ2</t>
        </is>
      </c>
      <c r="D183" s="71" t="n">
        <v>15410</v>
      </c>
      <c r="E183" s="10" t="n">
        <v>2010</v>
      </c>
      <c r="F183" s="10" t="inlineStr">
        <is>
          <t>0…160 кгс/см2</t>
        </is>
      </c>
      <c r="G183" s="71" t="n">
        <v>1</v>
      </c>
      <c r="H183" s="14" t="inlineStr">
        <is>
          <t>Р газа в Ф2</t>
        </is>
      </c>
      <c r="I183" s="8" t="inlineStr">
        <is>
          <t>ГПА 61</t>
        </is>
      </c>
      <c r="J183" s="15" t="inlineStr">
        <is>
          <t>АСУ,А и ТМ (КЦ № 6)</t>
        </is>
      </c>
      <c r="K183" s="15" t="n">
        <v>2012</v>
      </c>
      <c r="L183" s="15" t="n">
        <v>12</v>
      </c>
      <c r="M183" s="3" t="inlineStr">
        <is>
          <t>26ДЯУ</t>
        </is>
      </c>
      <c r="N183" s="70" t="inlineStr">
        <is>
          <t>П</t>
        </is>
      </c>
      <c r="O183" s="66" t="n"/>
    </row>
    <row r="184">
      <c r="A184" s="15">
        <f>IF(B184&lt;&gt;"", COUNTA($B$2:B184), "")</f>
        <v/>
      </c>
      <c r="B184" s="280" t="inlineStr">
        <is>
          <t>Манометр технический</t>
        </is>
      </c>
      <c r="C184" s="10" t="inlineStr">
        <is>
          <t>МП4-УУ2</t>
        </is>
      </c>
      <c r="D184" s="11" t="inlineStr">
        <is>
          <t>15575</t>
        </is>
      </c>
      <c r="E184" s="10" t="n">
        <v>2010</v>
      </c>
      <c r="F184" s="10" t="inlineStr">
        <is>
          <t>0…0,6 кгс/см2</t>
        </is>
      </c>
      <c r="G184" s="10" t="n">
        <v>1.5</v>
      </c>
      <c r="H184" s="26" t="inlineStr">
        <is>
          <t>Р воздуха после РДВ</t>
        </is>
      </c>
      <c r="I184" s="8" t="inlineStr">
        <is>
          <t>ГПА 61</t>
        </is>
      </c>
      <c r="J184" s="15" t="inlineStr">
        <is>
          <t>АСУ,А и ТМ (КЦ № 6)</t>
        </is>
      </c>
      <c r="K184" s="15" t="n">
        <v>2012</v>
      </c>
      <c r="L184" s="15" t="n">
        <v>12</v>
      </c>
      <c r="M184" s="3" t="inlineStr">
        <is>
          <t>1К26</t>
        </is>
      </c>
      <c r="N184" s="70" t="inlineStr">
        <is>
          <t>К</t>
        </is>
      </c>
    </row>
    <row r="185">
      <c r="A185" s="15">
        <f>IF(B185&lt;&gt;"", COUNTA($B$2:B185), "")</f>
        <v/>
      </c>
      <c r="B185" s="280" t="inlineStr">
        <is>
          <t>Манометр технический</t>
        </is>
      </c>
      <c r="C185" s="10" t="inlineStr">
        <is>
          <t>МП4-УУ2</t>
        </is>
      </c>
      <c r="D185" s="11" t="inlineStr">
        <is>
          <t>15293</t>
        </is>
      </c>
      <c r="E185" s="10" t="n">
        <v>2010</v>
      </c>
      <c r="F185" s="10" t="inlineStr">
        <is>
          <t>0…16 кгс/см2</t>
        </is>
      </c>
      <c r="G185" s="10" t="n">
        <v>1.5</v>
      </c>
      <c r="H185" s="26" t="inlineStr">
        <is>
          <t>Р воздуха на входе фильтров</t>
        </is>
      </c>
      <c r="I185" s="8" t="inlineStr">
        <is>
          <t>ГПА 61</t>
        </is>
      </c>
      <c r="J185" s="15" t="inlineStr">
        <is>
          <t>АСУ,А и ТМ (КЦ № 6)</t>
        </is>
      </c>
      <c r="K185" s="15" t="n">
        <v>2012</v>
      </c>
      <c r="L185" s="15" t="n">
        <v>12</v>
      </c>
      <c r="M185" s="3" t="inlineStr">
        <is>
          <t>1К26</t>
        </is>
      </c>
      <c r="N185" s="70" t="inlineStr">
        <is>
          <t>К</t>
        </is>
      </c>
    </row>
    <row r="186">
      <c r="A186" s="15">
        <f>IF(B186&lt;&gt;"", COUNTA($B$2:B186), "")</f>
        <v/>
      </c>
      <c r="B186" s="280" t="inlineStr">
        <is>
          <t>Манометр технический</t>
        </is>
      </c>
      <c r="C186" s="10" t="inlineStr">
        <is>
          <t>МП4-УУ2</t>
        </is>
      </c>
      <c r="D186" s="11" t="inlineStr">
        <is>
          <t>15113</t>
        </is>
      </c>
      <c r="E186" s="10" t="n">
        <v>2010</v>
      </c>
      <c r="F186" s="10" t="inlineStr">
        <is>
          <t>0…16 кгс/см2</t>
        </is>
      </c>
      <c r="G186" s="10" t="n">
        <v>1.5</v>
      </c>
      <c r="H186" s="26" t="inlineStr">
        <is>
          <t>Р воздуха на выходе фильтров</t>
        </is>
      </c>
      <c r="I186" s="8" t="inlineStr">
        <is>
          <t>ГПА 61</t>
        </is>
      </c>
      <c r="J186" s="15" t="inlineStr">
        <is>
          <t>АСУ,А и ТМ (КЦ № 6)</t>
        </is>
      </c>
      <c r="K186" s="15" t="n">
        <v>2012</v>
      </c>
      <c r="L186" s="15" t="n">
        <v>12</v>
      </c>
      <c r="M186" s="3" t="inlineStr">
        <is>
          <t>1К26</t>
        </is>
      </c>
      <c r="N186" s="70" t="inlineStr">
        <is>
          <t>К</t>
        </is>
      </c>
    </row>
    <row r="187" ht="22.5" customHeight="1" s="151">
      <c r="A187" s="15">
        <f>IF(B187&lt;&gt;"", COUNTA($B$2:B187), "")</f>
        <v/>
      </c>
      <c r="B187" s="280" t="inlineStr">
        <is>
          <t>Манометр технический</t>
        </is>
      </c>
      <c r="C187" s="10" t="inlineStr">
        <is>
          <t>МП4-УУ2</t>
        </is>
      </c>
      <c r="D187" s="11" t="inlineStr">
        <is>
          <t>044</t>
        </is>
      </c>
      <c r="E187" s="10" t="n">
        <v>2010</v>
      </c>
      <c r="F187" s="10" t="inlineStr">
        <is>
          <t>0…6 кгс/см2</t>
        </is>
      </c>
      <c r="G187" s="10" t="n">
        <v>1.5</v>
      </c>
      <c r="H187" s="26" t="inlineStr">
        <is>
          <t>Р масла до фильтров подпитки двигателя</t>
        </is>
      </c>
      <c r="I187" s="8" t="inlineStr">
        <is>
          <t>ГПА 61</t>
        </is>
      </c>
      <c r="J187" s="15" t="inlineStr">
        <is>
          <t>АСУ,А и ТМ (КЦ № 6)</t>
        </is>
      </c>
      <c r="K187" s="15" t="n">
        <v>2012</v>
      </c>
      <c r="L187" s="15" t="n">
        <v>12</v>
      </c>
      <c r="M187" s="3" t="inlineStr">
        <is>
          <t>1К26</t>
        </is>
      </c>
      <c r="N187" s="70" t="inlineStr">
        <is>
          <t>К</t>
        </is>
      </c>
    </row>
    <row r="188" ht="22.5" customHeight="1" s="151">
      <c r="A188" s="15">
        <f>IF(B188&lt;&gt;"", COUNTA($B$2:B188), "")</f>
        <v/>
      </c>
      <c r="B188" s="280" t="inlineStr">
        <is>
          <t>Манометр технический</t>
        </is>
      </c>
      <c r="C188" s="10" t="inlineStr">
        <is>
          <t>МП4-УУ2</t>
        </is>
      </c>
      <c r="D188" s="11" t="inlineStr">
        <is>
          <t>15306</t>
        </is>
      </c>
      <c r="E188" s="10" t="n">
        <v>2010</v>
      </c>
      <c r="F188" s="10" t="inlineStr">
        <is>
          <t>0…6 кгс/см2</t>
        </is>
      </c>
      <c r="G188" s="10" t="n">
        <v>1.5</v>
      </c>
      <c r="H188" s="26" t="inlineStr">
        <is>
          <t>Р масла после фильтров подпитки двигателя</t>
        </is>
      </c>
      <c r="I188" s="8" t="inlineStr">
        <is>
          <t>ГПА 61</t>
        </is>
      </c>
      <c r="J188" s="15" t="inlineStr">
        <is>
          <t>АСУ,А и ТМ (КЦ № 6)</t>
        </is>
      </c>
      <c r="K188" s="15" t="n">
        <v>2012</v>
      </c>
      <c r="L188" s="15" t="n">
        <v>12</v>
      </c>
      <c r="M188" s="3" t="inlineStr">
        <is>
          <t>1К26</t>
        </is>
      </c>
      <c r="N188" s="70" t="inlineStr">
        <is>
          <t>К</t>
        </is>
      </c>
    </row>
    <row r="189">
      <c r="A189" s="15">
        <f>IF(B189&lt;&gt;"", COUNTA($B$2:B189), "")</f>
        <v/>
      </c>
      <c r="B189" s="280" t="inlineStr">
        <is>
          <t>Манометр технический</t>
        </is>
      </c>
      <c r="C189" s="10" t="inlineStr">
        <is>
          <t>МП4-УУ2</t>
        </is>
      </c>
      <c r="D189" s="11" t="inlineStr">
        <is>
          <t>40190</t>
        </is>
      </c>
      <c r="E189" s="10" t="n">
        <v>2010</v>
      </c>
      <c r="F189" s="10" t="inlineStr">
        <is>
          <t>0…6 кгс/см2</t>
        </is>
      </c>
      <c r="G189" s="10" t="n">
        <v>1.5</v>
      </c>
      <c r="H189" s="26" t="inlineStr">
        <is>
          <t>Р масла до фильтров смазки двигателя</t>
        </is>
      </c>
      <c r="I189" s="8" t="inlineStr">
        <is>
          <t>ГПА 61</t>
        </is>
      </c>
      <c r="J189" s="15" t="inlineStr">
        <is>
          <t>АСУ,А и ТМ (КЦ № 6)</t>
        </is>
      </c>
      <c r="K189" s="15" t="n">
        <v>2012</v>
      </c>
      <c r="L189" s="15" t="n">
        <v>12</v>
      </c>
      <c r="M189" s="3" t="inlineStr">
        <is>
          <t>1К26</t>
        </is>
      </c>
      <c r="N189" s="70" t="inlineStr">
        <is>
          <t>К</t>
        </is>
      </c>
    </row>
    <row r="190" ht="22.5" customHeight="1" s="151">
      <c r="A190" s="15">
        <f>IF(B190&lt;&gt;"", COUNTA($B$2:B190), "")</f>
        <v/>
      </c>
      <c r="B190" s="280" t="inlineStr">
        <is>
          <t>Манометр технический</t>
        </is>
      </c>
      <c r="C190" s="10" t="inlineStr">
        <is>
          <t>МП4-УУ2</t>
        </is>
      </c>
      <c r="D190" s="11" t="inlineStr">
        <is>
          <t>15232</t>
        </is>
      </c>
      <c r="E190" s="10" t="n">
        <v>2010</v>
      </c>
      <c r="F190" s="10" t="inlineStr">
        <is>
          <t>0…6 кгс/см2</t>
        </is>
      </c>
      <c r="G190" s="10" t="n">
        <v>1.5</v>
      </c>
      <c r="H190" s="26" t="inlineStr">
        <is>
          <t>Р масла после фильтров смазки двигателя</t>
        </is>
      </c>
      <c r="I190" s="8" t="inlineStr">
        <is>
          <t>ГПА 61</t>
        </is>
      </c>
      <c r="J190" s="15" t="inlineStr">
        <is>
          <t>АСУ,А и ТМ (КЦ № 6)</t>
        </is>
      </c>
      <c r="K190" s="15" t="n">
        <v>2012</v>
      </c>
      <c r="L190" s="15" t="n">
        <v>12</v>
      </c>
      <c r="M190" s="3" t="inlineStr">
        <is>
          <t>1К26</t>
        </is>
      </c>
      <c r="N190" s="70" t="inlineStr">
        <is>
          <t>К</t>
        </is>
      </c>
    </row>
    <row r="191" ht="22.5" customHeight="1" s="151">
      <c r="A191" s="15">
        <f>IF(B191&lt;&gt;"", COUNTA($B$2:B191), "")</f>
        <v/>
      </c>
      <c r="B191" s="280" t="inlineStr">
        <is>
          <t>Манометр технический</t>
        </is>
      </c>
      <c r="C191" s="10" t="inlineStr">
        <is>
          <t>МП4-УУ2</t>
        </is>
      </c>
      <c r="D191" s="11" t="inlineStr">
        <is>
          <t>15188</t>
        </is>
      </c>
      <c r="E191" s="10" t="n">
        <v>2010</v>
      </c>
      <c r="F191" s="10" t="inlineStr">
        <is>
          <t>0…0,6 кгс/см2</t>
        </is>
      </c>
      <c r="G191" s="10" t="n">
        <v>1.5</v>
      </c>
      <c r="H191" s="26" t="inlineStr">
        <is>
          <t>Р воздуха смешанного потока после эжектора С1</t>
        </is>
      </c>
      <c r="I191" s="8" t="inlineStr">
        <is>
          <t>ГПА 61</t>
        </is>
      </c>
      <c r="J191" s="15" t="inlineStr">
        <is>
          <t>АСУ,А и ТМ (КЦ № 6)</t>
        </is>
      </c>
      <c r="K191" s="15" t="n">
        <v>2012</v>
      </c>
      <c r="L191" s="15" t="n">
        <v>12</v>
      </c>
      <c r="M191" s="3" t="inlineStr">
        <is>
          <t>1К26</t>
        </is>
      </c>
      <c r="N191" s="70" t="inlineStr">
        <is>
          <t>К</t>
        </is>
      </c>
    </row>
    <row r="192" ht="22.5" customHeight="1" s="151">
      <c r="A192" s="15">
        <f>IF(B192&lt;&gt;"", COUNTA($B$2:B192), "")</f>
        <v/>
      </c>
      <c r="B192" s="280" t="inlineStr">
        <is>
          <t>Манометр технический</t>
        </is>
      </c>
      <c r="C192" s="10" t="inlineStr">
        <is>
          <t>МВП4-УУ2</t>
        </is>
      </c>
      <c r="D192" s="11" t="inlineStr">
        <is>
          <t>15285</t>
        </is>
      </c>
      <c r="E192" s="10" t="n">
        <v>2010</v>
      </c>
      <c r="F192" s="148" t="inlineStr">
        <is>
          <t>-1…1,5 кгс/см2</t>
        </is>
      </c>
      <c r="G192" s="10" t="n">
        <v>1.5</v>
      </c>
      <c r="H192" s="26" t="inlineStr">
        <is>
          <t>Р воздуха инжектируемого потока перед фильтром Ф1</t>
        </is>
      </c>
      <c r="I192" s="8" t="inlineStr">
        <is>
          <t>ГПА 61</t>
        </is>
      </c>
      <c r="J192" s="15" t="inlineStr">
        <is>
          <t>АСУ,А и ТМ (КЦ № 6)</t>
        </is>
      </c>
      <c r="K192" s="15" t="n">
        <v>2012</v>
      </c>
      <c r="L192" s="15" t="n">
        <v>12</v>
      </c>
      <c r="M192" s="3" t="inlineStr">
        <is>
          <t>1К26</t>
        </is>
      </c>
      <c r="N192" s="70" t="inlineStr">
        <is>
          <t>К</t>
        </is>
      </c>
    </row>
    <row r="193">
      <c r="A193" s="15">
        <f>IF(B193&lt;&gt;"", COUNTA($B$2:B193), "")</f>
        <v/>
      </c>
      <c r="B193" s="280" t="inlineStr">
        <is>
          <t>Манометр технический</t>
        </is>
      </c>
      <c r="C193" s="10" t="inlineStr">
        <is>
          <t>МП4-УУ2</t>
        </is>
      </c>
      <c r="D193" s="11" t="inlineStr">
        <is>
          <t>15303</t>
        </is>
      </c>
      <c r="E193" s="10" t="n">
        <v>2010</v>
      </c>
      <c r="F193" s="10" t="inlineStr">
        <is>
          <t>0…16 кгс/см2</t>
        </is>
      </c>
      <c r="G193" s="10" t="n">
        <v>1.5</v>
      </c>
      <c r="H193" s="26" t="inlineStr">
        <is>
          <t>Р воздуха активного потока перед Др1</t>
        </is>
      </c>
      <c r="I193" s="8" t="inlineStr">
        <is>
          <t>ГПА 61</t>
        </is>
      </c>
      <c r="J193" s="15" t="inlineStr">
        <is>
          <t>АСУ,А и ТМ (КЦ № 6)</t>
        </is>
      </c>
      <c r="K193" s="15" t="n">
        <v>2012</v>
      </c>
      <c r="L193" s="15" t="n">
        <v>12</v>
      </c>
      <c r="M193" s="3" t="inlineStr">
        <is>
          <t>1К26</t>
        </is>
      </c>
      <c r="N193" s="70" t="inlineStr">
        <is>
          <t>К</t>
        </is>
      </c>
    </row>
    <row r="194">
      <c r="A194" s="15">
        <f>IF(B194&lt;&gt;"", COUNTA($B$2:B194), "")</f>
        <v/>
      </c>
      <c r="B194" s="280" t="inlineStr">
        <is>
          <t>Манометр технический</t>
        </is>
      </c>
      <c r="C194" s="10" t="inlineStr">
        <is>
          <t>МП4-УУ2</t>
        </is>
      </c>
      <c r="D194" s="11" t="inlineStr">
        <is>
          <t>50184</t>
        </is>
      </c>
      <c r="E194" s="10" t="n">
        <v>2010</v>
      </c>
      <c r="F194" s="14" t="inlineStr">
        <is>
          <t>0…10 кгс/см2</t>
        </is>
      </c>
      <c r="G194" s="10" t="n">
        <v>1.5</v>
      </c>
      <c r="H194" s="26" t="inlineStr">
        <is>
          <t>Р воздуха активного потока после Кр1</t>
        </is>
      </c>
      <c r="I194" s="8" t="inlineStr">
        <is>
          <t>ГПА 61</t>
        </is>
      </c>
      <c r="J194" s="15" t="inlineStr">
        <is>
          <t>АСУ,А и ТМ (КЦ № 6)</t>
        </is>
      </c>
      <c r="K194" s="15" t="n">
        <v>2012</v>
      </c>
      <c r="L194" s="15" t="n">
        <v>12</v>
      </c>
      <c r="M194" s="3" t="inlineStr">
        <is>
          <t>1К26</t>
        </is>
      </c>
      <c r="N194" s="70" t="inlineStr">
        <is>
          <t>К</t>
        </is>
      </c>
    </row>
    <row r="195" ht="22.5" customHeight="1" s="151">
      <c r="A195" s="15">
        <f>IF(B195&lt;&gt;"", COUNTA($B$2:B195), "")</f>
        <v/>
      </c>
      <c r="B195" s="280" t="inlineStr">
        <is>
          <t>Манометр технический</t>
        </is>
      </c>
      <c r="C195" s="10" t="inlineStr">
        <is>
          <t>МВП4-УУ2</t>
        </is>
      </c>
      <c r="D195" s="11" t="inlineStr">
        <is>
          <t>15443</t>
        </is>
      </c>
      <c r="E195" s="10" t="n">
        <v>2010</v>
      </c>
      <c r="F195" s="148" t="inlineStr">
        <is>
          <t>-1…1,5 кгс/см2</t>
        </is>
      </c>
      <c r="G195" s="10" t="n">
        <v>1.5</v>
      </c>
      <c r="H195" s="26" t="inlineStr">
        <is>
          <t>Р воздуха инжектируемого потока после фильтра Ф1</t>
        </is>
      </c>
      <c r="I195" s="8" t="inlineStr">
        <is>
          <t>ГПА 61</t>
        </is>
      </c>
      <c r="J195" s="15" t="inlineStr">
        <is>
          <t>АСУ,А и ТМ (КЦ № 6)</t>
        </is>
      </c>
      <c r="K195" s="15" t="n">
        <v>2012</v>
      </c>
      <c r="L195" s="15" t="n">
        <v>12</v>
      </c>
      <c r="M195" s="3" t="inlineStr">
        <is>
          <t>1К26</t>
        </is>
      </c>
      <c r="N195" s="70" t="inlineStr">
        <is>
          <t>К</t>
        </is>
      </c>
    </row>
    <row r="196" s="151">
      <c r="A196" s="15">
        <f>IF(B196&lt;&gt;"", COUNTA($B$2:B196), "")</f>
        <v/>
      </c>
      <c r="B196" s="104" t="inlineStr">
        <is>
          <t>Манометр технический</t>
        </is>
      </c>
      <c r="C196" s="26" t="inlineStr">
        <is>
          <t>МП3-УУ2</t>
        </is>
      </c>
      <c r="D196" s="26" t="n">
        <v>211222500</v>
      </c>
      <c r="E196" s="10" t="n"/>
      <c r="F196" s="26" t="inlineStr">
        <is>
          <t>0…1,6 МПа</t>
        </is>
      </c>
      <c r="G196" s="26" t="n">
        <v>1.5</v>
      </c>
      <c r="H196" s="26" t="inlineStr">
        <is>
          <t xml:space="preserve">Р воздуха в ресивере </t>
        </is>
      </c>
      <c r="I196" s="10" t="inlineStr">
        <is>
          <t>ГПА 61</t>
        </is>
      </c>
      <c r="J196" s="26" t="inlineStr">
        <is>
          <t>АСУ,А и ТМ (КЦ № 6)</t>
        </is>
      </c>
      <c r="K196" s="26" t="n">
        <v>2012</v>
      </c>
      <c r="L196" s="26" t="n">
        <v>12</v>
      </c>
      <c r="M196" s="11" t="inlineStr">
        <is>
          <t>26ДЯУ</t>
        </is>
      </c>
      <c r="N196" s="10" t="inlineStr">
        <is>
          <t>П</t>
        </is>
      </c>
      <c r="O196" s="154" t="n"/>
    </row>
    <row r="197" ht="22.5" customHeight="1" s="151">
      <c r="A197" s="15">
        <f>IF(B197&lt;&gt;"", COUNTA($B$2:B197), "")</f>
        <v/>
      </c>
      <c r="B197" s="280" t="inlineStr">
        <is>
          <t>Термометр манометрический</t>
        </is>
      </c>
      <c r="C197" s="26" t="inlineStr">
        <is>
          <t>manotherm</t>
        </is>
      </c>
      <c r="D197" s="26" t="n">
        <v>111502127</v>
      </c>
      <c r="E197" s="10" t="n">
        <v>2010</v>
      </c>
      <c r="F197" s="26" t="inlineStr">
        <is>
          <t>­20…80°С</t>
        </is>
      </c>
      <c r="G197" s="26" t="n">
        <v>1</v>
      </c>
      <c r="H197" s="26" t="inlineStr">
        <is>
          <t>Тг на входе в нагнетатель</t>
        </is>
      </c>
      <c r="I197" s="26" t="inlineStr">
        <is>
          <t>ГПА 61</t>
        </is>
      </c>
      <c r="J197" s="15" t="inlineStr">
        <is>
          <t>АСУ,А и ТМ (КЦ № 6)</t>
        </is>
      </c>
      <c r="K197" s="15" t="n">
        <v>2012</v>
      </c>
      <c r="L197" s="15" t="n">
        <v>24</v>
      </c>
      <c r="M197" s="11" t="inlineStr">
        <is>
          <t>3К25</t>
        </is>
      </c>
      <c r="N197" s="70" t="inlineStr">
        <is>
          <t>К</t>
        </is>
      </c>
      <c r="O197" s="52" t="n"/>
    </row>
    <row r="198" ht="22.5" customHeight="1" s="151">
      <c r="A198" s="15">
        <f>IF(B198&lt;&gt;"", COUNTA($B$2:B198), "")</f>
        <v/>
      </c>
      <c r="B198" s="280" t="inlineStr">
        <is>
          <t>Термометр манометрический</t>
        </is>
      </c>
      <c r="C198" s="26" t="inlineStr">
        <is>
          <t>manotherm</t>
        </is>
      </c>
      <c r="D198" s="26" t="n">
        <v>111502124</v>
      </c>
      <c r="E198" s="10" t="n">
        <v>2010</v>
      </c>
      <c r="F198" s="26" t="inlineStr">
        <is>
          <t>0…100°С</t>
        </is>
      </c>
      <c r="G198" s="26" t="n">
        <v>1</v>
      </c>
      <c r="H198" s="26" t="inlineStr">
        <is>
          <t>Тг на выходе нагнетателя</t>
        </is>
      </c>
      <c r="I198" s="26" t="inlineStr">
        <is>
          <t>ГПА 61</t>
        </is>
      </c>
      <c r="J198" s="15" t="inlineStr">
        <is>
          <t>АСУ,А и ТМ (КЦ № 6)</t>
        </is>
      </c>
      <c r="K198" s="15" t="n">
        <v>2012</v>
      </c>
      <c r="L198" s="15" t="n">
        <v>24</v>
      </c>
      <c r="M198" s="11" t="inlineStr">
        <is>
          <t>3К25</t>
        </is>
      </c>
      <c r="N198" s="70" t="inlineStr">
        <is>
          <t>К</t>
        </is>
      </c>
      <c r="O198" s="52" t="n"/>
    </row>
    <row r="199">
      <c r="A199" s="15">
        <f>IF(B199&lt;&gt;"", COUNTA($B$2:B199), "")</f>
        <v/>
      </c>
      <c r="B199" s="16" t="inlineStr">
        <is>
          <t>Термометр сопротивления</t>
        </is>
      </c>
      <c r="C199" s="17" t="inlineStr">
        <is>
          <t>ТСП 012.60 Pt100/B/3</t>
        </is>
      </c>
      <c r="D199" s="17" t="inlineStr">
        <is>
          <t>312</t>
        </is>
      </c>
      <c r="E199" s="15" t="n">
        <v>2011</v>
      </c>
      <c r="F199" s="17" t="inlineStr">
        <is>
          <t>-60…200 °С</t>
        </is>
      </c>
      <c r="G199" s="17" t="inlineStr">
        <is>
          <t>B</t>
        </is>
      </c>
      <c r="H199" s="16" t="inlineStr">
        <is>
          <t>Температура воздуха продувки</t>
        </is>
      </c>
      <c r="I199" s="15" t="inlineStr">
        <is>
          <t>ГПА 61</t>
        </is>
      </c>
      <c r="J199" s="15" t="inlineStr">
        <is>
          <t>АСУ,А и ТМ (КЦ № 6)</t>
        </is>
      </c>
      <c r="K199" s="15" t="n">
        <v>2012</v>
      </c>
      <c r="L199" s="14" t="n">
        <v>36</v>
      </c>
      <c r="M199" s="3" t="n"/>
      <c r="N199" s="70" t="n"/>
    </row>
    <row r="200">
      <c r="A200" s="15">
        <f>IF(B200&lt;&gt;"", COUNTA($B$2:B200), "")</f>
        <v/>
      </c>
      <c r="B200" s="280" t="inlineStr">
        <is>
          <t>Контроль загазованности</t>
        </is>
      </c>
      <c r="C200" s="10" t="inlineStr">
        <is>
          <t>Det-Tronics (PIRECL 21M)</t>
        </is>
      </c>
      <c r="D200" s="10" t="n">
        <v>1105078</v>
      </c>
      <c r="E200" s="15" t="n">
        <v>2011</v>
      </c>
      <c r="F200" s="33" t="n"/>
      <c r="G200" s="33" t="n"/>
      <c r="H200" s="15" t="inlineStr">
        <is>
          <t>Над нагнетателем (QT 201)</t>
        </is>
      </c>
      <c r="I200" s="15" t="inlineStr">
        <is>
          <t>ГПА 61</t>
        </is>
      </c>
      <c r="J200" s="15" t="inlineStr">
        <is>
          <t>АСУ,А и ТМ (КЦ № 6)</t>
        </is>
      </c>
      <c r="K200" s="15" t="n">
        <v>2012</v>
      </c>
      <c r="L200" s="14" t="n"/>
      <c r="M200" s="3" t="n"/>
      <c r="N200" s="70" t="n"/>
    </row>
    <row r="201">
      <c r="A201" s="15">
        <f>IF(B201&lt;&gt;"", COUNTA($B$2:B201), "")</f>
        <v/>
      </c>
      <c r="B201" s="280" t="inlineStr">
        <is>
          <t>Контроль загазованности</t>
        </is>
      </c>
      <c r="C201" s="10" t="inlineStr">
        <is>
          <t>Det-Tronics (PIRECL 21M)</t>
        </is>
      </c>
      <c r="D201" s="10" t="n">
        <v>1105095</v>
      </c>
      <c r="E201" s="15" t="n">
        <v>2011</v>
      </c>
      <c r="F201" s="33" t="n"/>
      <c r="G201" s="33" t="n"/>
      <c r="H201" s="15" t="inlineStr">
        <is>
          <t>Над подогревателем буф.газа (QT 202)</t>
        </is>
      </c>
      <c r="I201" s="15" t="inlineStr">
        <is>
          <t>ГПА 61</t>
        </is>
      </c>
      <c r="J201" s="15" t="inlineStr">
        <is>
          <t>АСУ,А и ТМ (КЦ № 6)</t>
        </is>
      </c>
      <c r="K201" s="15" t="n">
        <v>2012</v>
      </c>
      <c r="L201" s="14" t="n"/>
      <c r="M201" s="3" t="n"/>
      <c r="N201" s="33" t="n"/>
    </row>
    <row r="202">
      <c r="A202" s="15">
        <f>IF(B202&lt;&gt;"", COUNTA($B$2:B202), "")</f>
        <v/>
      </c>
      <c r="B202" s="280" t="inlineStr">
        <is>
          <t>Контроль загазованности</t>
        </is>
      </c>
      <c r="C202" s="10" t="inlineStr">
        <is>
          <t>Det-Tronics (PIRECL 21M)</t>
        </is>
      </c>
      <c r="D202" s="10" t="n">
        <v>1105072</v>
      </c>
      <c r="E202" s="15" t="n">
        <v>2011</v>
      </c>
      <c r="F202" s="33" t="n"/>
      <c r="G202" s="33" t="n"/>
      <c r="H202" s="15" t="inlineStr">
        <is>
          <t>Напротив масляной консоли (QT 203)</t>
        </is>
      </c>
      <c r="I202" s="15" t="inlineStr">
        <is>
          <t>ГПА 61</t>
        </is>
      </c>
      <c r="J202" s="15" t="inlineStr">
        <is>
          <t>АСУ,А и ТМ (КЦ № 6)</t>
        </is>
      </c>
      <c r="K202" s="15" t="n">
        <v>2012</v>
      </c>
      <c r="L202" s="14" t="n"/>
      <c r="M202" s="3" t="n"/>
      <c r="N202" s="33" t="n"/>
    </row>
    <row r="203">
      <c r="A203" s="15">
        <f>IF(B203&lt;&gt;"", COUNTA($B$2:B203), "")</f>
        <v/>
      </c>
      <c r="B203" s="280" t="inlineStr">
        <is>
          <t>Контроль загазованности</t>
        </is>
      </c>
      <c r="C203" s="10" t="inlineStr">
        <is>
          <t>Det-Tronics (PIRECL 21M)</t>
        </is>
      </c>
      <c r="D203" s="10" t="n">
        <v>1105080</v>
      </c>
      <c r="E203" s="15" t="n">
        <v>2011</v>
      </c>
      <c r="F203" s="33" t="n"/>
      <c r="G203" s="33" t="n"/>
      <c r="H203" s="15" t="inlineStr">
        <is>
          <t>Под КШТ (QT100)</t>
        </is>
      </c>
      <c r="I203" s="15" t="inlineStr">
        <is>
          <t>ГПА 61</t>
        </is>
      </c>
      <c r="J203" s="15" t="inlineStr">
        <is>
          <t>АСУ,А и ТМ (КЦ № 6)</t>
        </is>
      </c>
      <c r="K203" s="67" t="n">
        <v>44475</v>
      </c>
      <c r="L203" s="14" t="n"/>
      <c r="M203" s="3" t="n"/>
      <c r="N203" s="33" t="n"/>
    </row>
    <row r="204" ht="22.5" customHeight="1" s="151">
      <c r="A204" s="15">
        <f>IF(B204&lt;&gt;"", COUNTA($B$2:B204), "")</f>
        <v/>
      </c>
      <c r="B204" s="280" t="inlineStr">
        <is>
          <t>Извещатель тепловой пожарный</t>
        </is>
      </c>
      <c r="C204" s="10" t="inlineStr">
        <is>
          <t>12-х27/21-000</t>
        </is>
      </c>
      <c r="D204" s="10" t="n">
        <v>1023</v>
      </c>
      <c r="E204" s="15" t="n">
        <v>2011</v>
      </c>
      <c r="F204" s="17" t="inlineStr">
        <is>
          <t>-60…200 °С</t>
        </is>
      </c>
      <c r="G204" s="33" t="n"/>
      <c r="H204" s="15" t="inlineStr">
        <is>
          <t>Под КШТ (ВТК 101)</t>
        </is>
      </c>
      <c r="I204" s="15" t="inlineStr">
        <is>
          <t>ГПА 61</t>
        </is>
      </c>
      <c r="J204" s="15" t="inlineStr">
        <is>
          <t>АСУ,А и ТМ (КЦ № 6)</t>
        </is>
      </c>
      <c r="K204" s="15" t="n">
        <v>2012</v>
      </c>
      <c r="L204" s="33" t="n"/>
      <c r="M204" s="33" t="n"/>
      <c r="N204" s="33" t="n"/>
    </row>
    <row r="205" ht="22.5" customHeight="1" s="151">
      <c r="A205" s="15">
        <f>IF(B205&lt;&gt;"", COUNTA($B$2:B205), "")</f>
        <v/>
      </c>
      <c r="B205" s="280" t="inlineStr">
        <is>
          <t>Извещатель тепловой пожарный</t>
        </is>
      </c>
      <c r="C205" s="10" t="inlineStr">
        <is>
          <t>12-х27/21-000</t>
        </is>
      </c>
      <c r="D205" s="10" t="n">
        <v>1024</v>
      </c>
      <c r="E205" s="15" t="n">
        <v>2011</v>
      </c>
      <c r="F205" s="17" t="inlineStr">
        <is>
          <t>-60…200 °С</t>
        </is>
      </c>
      <c r="G205" s="33" t="n"/>
      <c r="H205" s="15" t="inlineStr">
        <is>
          <t>Под КШТ (ВТК 102)</t>
        </is>
      </c>
      <c r="I205" s="15" t="inlineStr">
        <is>
          <t>ГПА 61</t>
        </is>
      </c>
      <c r="J205" s="15" t="inlineStr">
        <is>
          <t>АСУ,А и ТМ (КЦ № 6)</t>
        </is>
      </c>
      <c r="K205" s="15" t="n">
        <v>2012</v>
      </c>
      <c r="L205" s="33" t="n"/>
      <c r="M205" s="33" t="n"/>
      <c r="N205" s="33" t="n"/>
    </row>
    <row r="206" ht="22.5" customHeight="1" s="151">
      <c r="A206" s="15">
        <f>IF(B206&lt;&gt;"", COUNTA($B$2:B206), "")</f>
        <v/>
      </c>
      <c r="B206" s="280" t="inlineStr">
        <is>
          <t>Извещатель тепловой пожарный</t>
        </is>
      </c>
      <c r="C206" s="10" t="inlineStr">
        <is>
          <t>12-х27/21-000</t>
        </is>
      </c>
      <c r="D206" s="10" t="n">
        <v>1026</v>
      </c>
      <c r="E206" s="15" t="n">
        <v>2011</v>
      </c>
      <c r="F206" s="17" t="inlineStr">
        <is>
          <t>-60…200 °С</t>
        </is>
      </c>
      <c r="G206" s="33" t="n"/>
      <c r="H206" s="15" t="inlineStr">
        <is>
          <t>Под КШТ (ВТК 103)</t>
        </is>
      </c>
      <c r="I206" s="15" t="inlineStr">
        <is>
          <t>ГПА 61</t>
        </is>
      </c>
      <c r="J206" s="15" t="inlineStr">
        <is>
          <t>АСУ,А и ТМ (КЦ № 6)</t>
        </is>
      </c>
      <c r="K206" s="15" t="n">
        <v>2012</v>
      </c>
      <c r="L206" s="33" t="n"/>
      <c r="M206" s="33" t="n"/>
      <c r="N206" s="33" t="n"/>
    </row>
    <row r="207" ht="22.5" customHeight="1" s="151">
      <c r="A207" s="15">
        <f>IF(B207&lt;&gt;"", COUNTA($B$2:B207), "")</f>
        <v/>
      </c>
      <c r="B207" s="280" t="inlineStr">
        <is>
          <t>Извещатель тепловой пожарный</t>
        </is>
      </c>
      <c r="C207" s="10" t="inlineStr">
        <is>
          <t>12-х27/21-000</t>
        </is>
      </c>
      <c r="D207" s="10" t="n">
        <v>1053</v>
      </c>
      <c r="E207" s="15" t="n">
        <v>2011</v>
      </c>
      <c r="F207" s="17" t="inlineStr">
        <is>
          <t>-60…200 °С</t>
        </is>
      </c>
      <c r="G207" s="33" t="n"/>
      <c r="H207" s="15" t="inlineStr">
        <is>
          <t>Под КШТ (ВТК 104)</t>
        </is>
      </c>
      <c r="I207" s="15" t="inlineStr">
        <is>
          <t>ГПА 61</t>
        </is>
      </c>
      <c r="J207" s="15" t="inlineStr">
        <is>
          <t>АСУ,А и ТМ (КЦ № 6)</t>
        </is>
      </c>
      <c r="K207" s="15" t="n">
        <v>2012</v>
      </c>
      <c r="L207" s="33" t="n"/>
      <c r="M207" s="33" t="n"/>
      <c r="N207" s="33" t="n"/>
    </row>
    <row r="208">
      <c r="A208" s="15">
        <f>IF(B208&lt;&gt;"", COUNTA($B$2:B208), "")</f>
        <v/>
      </c>
      <c r="B208" s="280" t="inlineStr">
        <is>
          <t>Датчик пламени</t>
        </is>
      </c>
      <c r="C208" s="10" t="inlineStr">
        <is>
          <t>ИП330/3-20-А1</t>
        </is>
      </c>
      <c r="D208" s="11" t="inlineStr">
        <is>
          <t>000957</t>
        </is>
      </c>
      <c r="E208" s="15" t="n">
        <v>2011</v>
      </c>
      <c r="F208" s="33" t="n"/>
      <c r="G208" s="33" t="n"/>
      <c r="H208" s="10" t="inlineStr">
        <is>
          <t>Над входом слева (BTF201)</t>
        </is>
      </c>
      <c r="I208" s="15" t="inlineStr">
        <is>
          <t>ГПА 61</t>
        </is>
      </c>
      <c r="J208" s="15" t="inlineStr">
        <is>
          <t>АСУ,А и ТМ (КЦ № 6)</t>
        </is>
      </c>
      <c r="K208" s="15" t="n">
        <v>2012</v>
      </c>
      <c r="L208" s="33" t="n"/>
      <c r="M208" s="33" t="n"/>
      <c r="N208" s="33" t="n"/>
    </row>
    <row r="209">
      <c r="A209" s="15">
        <f>IF(B209&lt;&gt;"", COUNTA($B$2:B209), "")</f>
        <v/>
      </c>
      <c r="B209" s="280" t="inlineStr">
        <is>
          <t>Датчик пламени</t>
        </is>
      </c>
      <c r="C209" s="10" t="inlineStr">
        <is>
          <t>ИП330/3-20-А1</t>
        </is>
      </c>
      <c r="D209" s="11" t="inlineStr">
        <is>
          <t>000958</t>
        </is>
      </c>
      <c r="E209" s="15" t="n">
        <v>2011</v>
      </c>
      <c r="F209" s="33" t="n"/>
      <c r="G209" s="33" t="n"/>
      <c r="H209" s="10" t="inlineStr">
        <is>
          <t>Над входом с АВОг (BTF204)</t>
        </is>
      </c>
      <c r="I209" s="15" t="inlineStr">
        <is>
          <t>ГПА 61</t>
        </is>
      </c>
      <c r="J209" s="15" t="inlineStr">
        <is>
          <t>АСУ,А и ТМ (КЦ № 6)</t>
        </is>
      </c>
      <c r="K209" s="15" t="n">
        <v>2012</v>
      </c>
      <c r="L209" s="33" t="n"/>
      <c r="M209" s="33" t="n"/>
      <c r="N209" s="33" t="n"/>
    </row>
    <row r="210">
      <c r="A210" s="15">
        <f>IF(B210&lt;&gt;"", COUNTA($B$2:B210), "")</f>
        <v/>
      </c>
      <c r="B210" s="280" t="inlineStr">
        <is>
          <t>Датчик пламени</t>
        </is>
      </c>
      <c r="C210" s="10" t="inlineStr">
        <is>
          <t>ИП330/3-20-А1</t>
        </is>
      </c>
      <c r="D210" s="11" t="inlineStr">
        <is>
          <t>001020</t>
        </is>
      </c>
      <c r="E210" s="15" t="n">
        <v>2011</v>
      </c>
      <c r="F210" s="33" t="n"/>
      <c r="G210" s="33" t="n"/>
      <c r="H210" s="10" t="inlineStr">
        <is>
          <t>На леснице слева (BTF202)</t>
        </is>
      </c>
      <c r="I210" s="15" t="inlineStr">
        <is>
          <t>ГПА 61</t>
        </is>
      </c>
      <c r="J210" s="15" t="inlineStr">
        <is>
          <t>АСУ,А и ТМ (КЦ № 6)</t>
        </is>
      </c>
      <c r="K210" s="15" t="n">
        <v>2012</v>
      </c>
      <c r="L210" s="33" t="n"/>
      <c r="M210" s="33" t="n"/>
      <c r="N210" s="33" t="n"/>
    </row>
    <row r="211">
      <c r="A211" s="15">
        <f>IF(B211&lt;&gt;"", COUNTA($B$2:B211), "")</f>
        <v/>
      </c>
      <c r="B211" s="280" t="inlineStr">
        <is>
          <t>Датчик пламени</t>
        </is>
      </c>
      <c r="C211" s="10" t="inlineStr">
        <is>
          <t>ИП330/3-20-А1</t>
        </is>
      </c>
      <c r="D211" s="11" t="inlineStr">
        <is>
          <t>000997</t>
        </is>
      </c>
      <c r="E211" s="15" t="n">
        <v>2011</v>
      </c>
      <c r="F211" s="33" t="n"/>
      <c r="G211" s="33" t="n"/>
      <c r="H211" s="10" t="inlineStr">
        <is>
          <t>На леснице справа (BTF203)</t>
        </is>
      </c>
      <c r="I211" s="15" t="inlineStr">
        <is>
          <t>ГПА 61</t>
        </is>
      </c>
      <c r="J211" s="15" t="inlineStr">
        <is>
          <t>АСУ,А и ТМ (КЦ № 6)</t>
        </is>
      </c>
      <c r="K211" s="15" t="n">
        <v>2012</v>
      </c>
      <c r="L211" s="33" t="n"/>
      <c r="M211" s="33" t="n"/>
      <c r="N211" s="33" t="n"/>
    </row>
    <row r="212">
      <c r="A212" s="15">
        <f>IF(B212&lt;&gt;"", COUNTA($B$2:B212), "")</f>
        <v/>
      </c>
      <c r="B212" s="280" t="inlineStr">
        <is>
          <t>Датчик пламени</t>
        </is>
      </c>
      <c r="C212" s="10" t="inlineStr">
        <is>
          <t>ИП330/3-20-А1</t>
        </is>
      </c>
      <c r="D212" s="11" t="inlineStr">
        <is>
          <t>000948</t>
        </is>
      </c>
      <c r="E212" s="15" t="n">
        <v>2011</v>
      </c>
      <c r="F212" s="33" t="n"/>
      <c r="G212" s="33" t="n"/>
      <c r="H212" s="10" t="inlineStr">
        <is>
          <t>Над т.г. (BTF207)</t>
        </is>
      </c>
      <c r="I212" s="15" t="inlineStr">
        <is>
          <t>ГПА 61</t>
        </is>
      </c>
      <c r="J212" s="15" t="inlineStr">
        <is>
          <t>АСУ,А и ТМ (КЦ № 6)</t>
        </is>
      </c>
      <c r="K212" s="15" t="n">
        <v>2012</v>
      </c>
      <c r="L212" s="33" t="n"/>
      <c r="M212" s="33" t="n"/>
      <c r="N212" s="33" t="n"/>
    </row>
    <row r="213">
      <c r="A213" s="15">
        <f>IF(B213&lt;&gt;"", COUNTA($B$2:B213), "")</f>
        <v/>
      </c>
      <c r="B213" s="280" t="inlineStr">
        <is>
          <t>Датчик пламени</t>
        </is>
      </c>
      <c r="C213" s="10" t="inlineStr">
        <is>
          <t>ИП330/1-20-А1</t>
        </is>
      </c>
      <c r="D213" s="11" t="inlineStr">
        <is>
          <t>001345</t>
        </is>
      </c>
      <c r="E213" s="15" t="n">
        <v>2011</v>
      </c>
      <c r="F213" s="33" t="n"/>
      <c r="G213" s="33" t="n"/>
      <c r="H213" s="10" t="inlineStr">
        <is>
          <t>Под КШТ (BTF102)</t>
        </is>
      </c>
      <c r="I213" s="15" t="inlineStr">
        <is>
          <t>ГПА 61</t>
        </is>
      </c>
      <c r="J213" s="15" t="inlineStr">
        <is>
          <t>АСУ,А и ТМ (КЦ № 6)</t>
        </is>
      </c>
      <c r="K213" s="15" t="n">
        <v>2012</v>
      </c>
      <c r="L213" s="33" t="n"/>
      <c r="M213" s="33" t="n"/>
      <c r="N213" s="33" t="n"/>
    </row>
    <row r="214">
      <c r="A214" s="15">
        <f>IF(B214&lt;&gt;"", COUNTA($B$2:B214), "")</f>
        <v/>
      </c>
      <c r="B214" s="280" t="inlineStr">
        <is>
          <t>Датчик пламени</t>
        </is>
      </c>
      <c r="C214" s="10" t="inlineStr">
        <is>
          <t>ИП330/1-20-А1</t>
        </is>
      </c>
      <c r="D214" s="11" t="inlineStr">
        <is>
          <t>001171</t>
        </is>
      </c>
      <c r="E214" s="15" t="n">
        <v>2011</v>
      </c>
      <c r="F214" s="33" t="n"/>
      <c r="G214" s="33" t="n"/>
      <c r="H214" s="10" t="inlineStr">
        <is>
          <t>Под КШТ (BTF101)</t>
        </is>
      </c>
      <c r="I214" s="15" t="inlineStr">
        <is>
          <t>ГПА 61</t>
        </is>
      </c>
      <c r="J214" s="15" t="inlineStr">
        <is>
          <t>АСУ,А и ТМ (КЦ № 6)</t>
        </is>
      </c>
      <c r="K214" s="15" t="n">
        <v>2012</v>
      </c>
      <c r="L214" s="33" t="n"/>
      <c r="M214" s="33" t="n"/>
      <c r="N214" s="33" t="n"/>
    </row>
    <row r="215">
      <c r="A215" s="15">
        <f>IF(B215&lt;&gt;"", COUNTA($B$2:B215), "")</f>
        <v/>
      </c>
      <c r="B215" s="280" t="inlineStr">
        <is>
          <t>Датчик пламени</t>
        </is>
      </c>
      <c r="C215" s="10" t="inlineStr">
        <is>
          <t>ИП330/3-20-А1</t>
        </is>
      </c>
      <c r="D215" s="11" t="inlineStr">
        <is>
          <t>000987</t>
        </is>
      </c>
      <c r="E215" s="15" t="n">
        <v>2011</v>
      </c>
      <c r="F215" s="33" t="n"/>
      <c r="G215" s="33" t="n"/>
      <c r="H215" s="10" t="inlineStr">
        <is>
          <t>Масл.консоль (BTF211)</t>
        </is>
      </c>
      <c r="I215" s="15" t="inlineStr">
        <is>
          <t>ГПА 61</t>
        </is>
      </c>
      <c r="J215" s="15" t="inlineStr">
        <is>
          <t>АСУ,А и ТМ (КЦ № 6)</t>
        </is>
      </c>
      <c r="K215" s="15" t="n">
        <v>2012</v>
      </c>
      <c r="L215" s="33" t="n"/>
      <c r="M215" s="33" t="n"/>
      <c r="N215" s="33" t="n"/>
    </row>
    <row r="216">
      <c r="A216" s="15">
        <f>IF(B216&lt;&gt;"", COUNTA($B$2:B216), "")</f>
        <v/>
      </c>
      <c r="B216" s="280" t="inlineStr">
        <is>
          <t>Датчик пламени</t>
        </is>
      </c>
      <c r="C216" s="10" t="inlineStr">
        <is>
          <t>ИП330/3-20-А1</t>
        </is>
      </c>
      <c r="D216" s="11" t="inlineStr">
        <is>
          <t>000947</t>
        </is>
      </c>
      <c r="E216" s="15" t="n">
        <v>2011</v>
      </c>
      <c r="F216" s="33" t="n"/>
      <c r="G216" s="33" t="n"/>
      <c r="H216" s="26" t="inlineStr">
        <is>
          <t>(BTF210)</t>
        </is>
      </c>
      <c r="I216" s="15" t="inlineStr">
        <is>
          <t>ГПА 61</t>
        </is>
      </c>
      <c r="J216" s="15" t="inlineStr">
        <is>
          <t>АСУ,А и ТМ (КЦ № 6)</t>
        </is>
      </c>
      <c r="K216" s="15" t="n">
        <v>2012</v>
      </c>
      <c r="L216" s="33" t="n"/>
      <c r="M216" s="33" t="n"/>
      <c r="N216" s="33" t="n"/>
    </row>
    <row r="217">
      <c r="A217" s="15">
        <f>IF(B217&lt;&gt;"", COUNTA($B$2:B217), "")</f>
        <v/>
      </c>
      <c r="B217" s="280" t="inlineStr">
        <is>
          <t>Датчик пламени</t>
        </is>
      </c>
      <c r="C217" s="10" t="inlineStr">
        <is>
          <t>ИП330/3-20-А1</t>
        </is>
      </c>
      <c r="D217" s="11" t="inlineStr">
        <is>
          <t>000979</t>
        </is>
      </c>
      <c r="E217" s="15" t="n">
        <v>2011</v>
      </c>
      <c r="F217" s="33" t="n"/>
      <c r="G217" s="33" t="n"/>
      <c r="H217" s="26" t="inlineStr">
        <is>
          <t>(BTF208)</t>
        </is>
      </c>
      <c r="I217" s="15" t="inlineStr">
        <is>
          <t>ГПА 61</t>
        </is>
      </c>
      <c r="J217" s="15" t="inlineStr">
        <is>
          <t>АСУ,А и ТМ (КЦ № 6)</t>
        </is>
      </c>
      <c r="K217" s="15" t="n">
        <v>2012</v>
      </c>
      <c r="L217" s="33" t="n"/>
      <c r="M217" s="33" t="n"/>
      <c r="N217" s="33" t="n"/>
    </row>
    <row r="218">
      <c r="A218" s="15">
        <f>IF(B218&lt;&gt;"", COUNTA($B$2:B218), "")</f>
        <v/>
      </c>
      <c r="B218" s="280" t="inlineStr">
        <is>
          <t>Датчик пламени</t>
        </is>
      </c>
      <c r="C218" s="10" t="inlineStr">
        <is>
          <t>ИП330/3-20-А1</t>
        </is>
      </c>
      <c r="D218" s="11" t="inlineStr">
        <is>
          <t>000978</t>
        </is>
      </c>
      <c r="E218" s="15" t="n">
        <v>2011</v>
      </c>
      <c r="F218" s="33" t="n"/>
      <c r="G218" s="33" t="n"/>
      <c r="H218" s="26" t="inlineStr">
        <is>
          <t>(BTF206)</t>
        </is>
      </c>
      <c r="I218" s="15" t="inlineStr">
        <is>
          <t>ГПА 61</t>
        </is>
      </c>
      <c r="J218" s="15" t="inlineStr">
        <is>
          <t>АСУ,А и ТМ (КЦ № 6)</t>
        </is>
      </c>
      <c r="K218" s="15" t="n">
        <v>2012</v>
      </c>
      <c r="L218" s="33" t="n"/>
      <c r="M218" s="33" t="n"/>
      <c r="N218" s="33" t="n"/>
    </row>
    <row r="219">
      <c r="A219" s="15">
        <f>IF(B219&lt;&gt;"", COUNTA($B$2:B219), "")</f>
        <v/>
      </c>
      <c r="B219" s="280" t="inlineStr">
        <is>
          <t>Датчик пламени</t>
        </is>
      </c>
      <c r="C219" s="10" t="inlineStr">
        <is>
          <t>ИП330/3-20-А1</t>
        </is>
      </c>
      <c r="D219" s="11" t="inlineStr">
        <is>
          <t>000917</t>
        </is>
      </c>
      <c r="E219" s="15" t="n">
        <v>2011</v>
      </c>
      <c r="F219" s="33" t="n"/>
      <c r="G219" s="33" t="n"/>
      <c r="H219" s="26" t="inlineStr">
        <is>
          <t>(BTF205)</t>
        </is>
      </c>
      <c r="I219" s="15" t="inlineStr">
        <is>
          <t>ГПА 61</t>
        </is>
      </c>
      <c r="J219" s="15" t="inlineStr">
        <is>
          <t>АСУ,А и ТМ (КЦ № 6)</t>
        </is>
      </c>
      <c r="K219" s="15" t="n">
        <v>2012</v>
      </c>
      <c r="L219" s="33" t="n"/>
      <c r="M219" s="33" t="n"/>
      <c r="N219" s="33" t="n"/>
    </row>
    <row r="220">
      <c r="A220" s="15">
        <f>IF(B220&lt;&gt;"", COUNTA($B$2:B220), "")</f>
        <v/>
      </c>
      <c r="B220" s="280" t="inlineStr">
        <is>
          <t>Датчик пламени</t>
        </is>
      </c>
      <c r="C220" s="10" t="inlineStr">
        <is>
          <t>ИП330/3-20-А1</t>
        </is>
      </c>
      <c r="D220" s="11" t="inlineStr">
        <is>
          <t>000907</t>
        </is>
      </c>
      <c r="E220" s="15" t="n">
        <v>2011</v>
      </c>
      <c r="F220" s="33" t="n"/>
      <c r="G220" s="33" t="n"/>
      <c r="H220" s="26" t="inlineStr">
        <is>
          <t>(BTF209)</t>
        </is>
      </c>
      <c r="I220" s="15" t="inlineStr">
        <is>
          <t>ГПА 61</t>
        </is>
      </c>
      <c r="J220" s="15" t="inlineStr">
        <is>
          <t>АСУ,А и ТМ (КЦ № 6)</t>
        </is>
      </c>
      <c r="K220" s="15" t="n">
        <v>2012</v>
      </c>
      <c r="L220" s="33" t="n"/>
      <c r="M220" s="33" t="n"/>
      <c r="N220" s="33" t="n"/>
    </row>
    <row r="221" ht="22.5" customHeight="1" s="151">
      <c r="A221" s="15">
        <f>IF(B221&lt;&gt;"", COUNTA($B$2:B221), "")</f>
        <v/>
      </c>
      <c r="B221" s="16" t="inlineStr">
        <is>
          <t>Термометр сопротивления</t>
        </is>
      </c>
      <c r="C221" s="17" t="inlineStr">
        <is>
          <t>ТСП 012.60 Pt100/В/3</t>
        </is>
      </c>
      <c r="D221" s="17" t="inlineStr">
        <is>
          <t>191</t>
        </is>
      </c>
      <c r="E221" s="15" t="n">
        <v>2011</v>
      </c>
      <c r="F221" s="17" t="inlineStr">
        <is>
          <t>-60…200 °С</t>
        </is>
      </c>
      <c r="G221" s="17" t="inlineStr">
        <is>
          <t>B</t>
        </is>
      </c>
      <c r="H221" s="17" t="inlineStr">
        <is>
          <t>Температура воздуха во всасывающей камере</t>
        </is>
      </c>
      <c r="I221" s="15" t="inlineStr">
        <is>
          <t>ГПА 61</t>
        </is>
      </c>
      <c r="J221" s="15" t="inlineStr">
        <is>
          <t>АСУ,А и ТМ (КЦ № 6)</t>
        </is>
      </c>
      <c r="K221" s="15" t="n">
        <v>2012</v>
      </c>
      <c r="L221" s="14" t="n">
        <v>36</v>
      </c>
      <c r="M221" s="3" t="n"/>
      <c r="N221" s="70" t="n"/>
    </row>
    <row r="222" ht="22.5" customHeight="1" s="151">
      <c r="A222" s="15">
        <f>IF(B222&lt;&gt;"", COUNTA($B$2:B222), "")</f>
        <v/>
      </c>
      <c r="B222" s="73" t="inlineStr">
        <is>
          <t>Преобразователь влажности и температуры</t>
        </is>
      </c>
      <c r="C222" s="71" t="inlineStr">
        <is>
          <t>ИПТВ-206/М3-03</t>
        </is>
      </c>
      <c r="D222" s="17" t="inlineStr">
        <is>
          <t>09-2063</t>
        </is>
      </c>
      <c r="E222" s="15" t="n">
        <v>2011</v>
      </c>
      <c r="F222" s="17" t="inlineStr">
        <is>
          <t>-40…110 °С
0…100%</t>
        </is>
      </c>
      <c r="G222" s="14" t="inlineStr">
        <is>
          <t>0,4% (температура)
2% (влажность)</t>
        </is>
      </c>
      <c r="H222" s="14" t="inlineStr">
        <is>
          <t>Температура ВОУ</t>
        </is>
      </c>
      <c r="I222" s="15" t="inlineStr">
        <is>
          <t>ГПА 61</t>
        </is>
      </c>
      <c r="J222" s="15" t="inlineStr">
        <is>
          <t>АСУ,А и ТМ (КЦ № 6)</t>
        </is>
      </c>
      <c r="K222" s="15" t="n">
        <v>2012</v>
      </c>
      <c r="L222" s="14" t="n">
        <v>24</v>
      </c>
      <c r="M222" s="3" t="n"/>
      <c r="N222" s="70" t="n"/>
    </row>
    <row r="223">
      <c r="A223" s="15">
        <f>IF(B223&lt;&gt;"", COUNTA($B$2:B223), "")</f>
        <v/>
      </c>
      <c r="B223" s="73" t="inlineStr">
        <is>
          <t>Газоанализатор</t>
        </is>
      </c>
      <c r="C223" s="71" t="inlineStr">
        <is>
          <t>Даг - 510</t>
        </is>
      </c>
      <c r="D223" s="17" t="inlineStr">
        <is>
          <t>11091424</t>
        </is>
      </c>
      <c r="E223" s="15" t="n">
        <v>2011</v>
      </c>
      <c r="F223" s="17" t="inlineStr">
        <is>
          <t>10…400 ppm</t>
        </is>
      </c>
      <c r="G223" s="18" t="n">
        <v>0.1</v>
      </c>
      <c r="H223" s="14" t="inlineStr">
        <is>
          <t>выхлопные газы</t>
        </is>
      </c>
      <c r="I223" s="8" t="inlineStr">
        <is>
          <t>ГПА 61</t>
        </is>
      </c>
      <c r="J223" s="15" t="inlineStr">
        <is>
          <t>АСУ,А и ТМ (КЦ № 6)</t>
        </is>
      </c>
      <c r="K223" s="15" t="n">
        <v>2020</v>
      </c>
      <c r="L223" s="14" t="n">
        <v>12</v>
      </c>
      <c r="M223" s="3" t="inlineStr">
        <is>
          <t>15.09.23</t>
        </is>
      </c>
      <c r="N223" s="70" t="inlineStr">
        <is>
          <t>П</t>
        </is>
      </c>
    </row>
    <row r="224">
      <c r="A224" s="15">
        <f>IF(B224&lt;&gt;"", COUNTA($B$2:B224), "")</f>
        <v/>
      </c>
      <c r="B224" s="280" t="inlineStr">
        <is>
          <t>Манометр технический</t>
        </is>
      </c>
      <c r="C224" s="10" t="inlineStr">
        <is>
          <t>М-3ВУКсУХЛ1</t>
        </is>
      </c>
      <c r="D224" s="11" t="inlineStr">
        <is>
          <t>15609</t>
        </is>
      </c>
      <c r="E224" s="10" t="n">
        <v>2011</v>
      </c>
      <c r="F224" s="10" t="inlineStr">
        <is>
          <t>0…160 кгс/см2</t>
        </is>
      </c>
      <c r="G224" s="10" t="n">
        <v>1</v>
      </c>
      <c r="H224" s="26" t="inlineStr">
        <is>
          <t>Бустерная установка</t>
        </is>
      </c>
      <c r="I224" s="8" t="inlineStr">
        <is>
          <t>ГПА 61</t>
        </is>
      </c>
      <c r="J224" s="15" t="inlineStr">
        <is>
          <t>АСУ,А и ТМ (КЦ № 6)</t>
        </is>
      </c>
      <c r="K224" s="15" t="n">
        <v>2019</v>
      </c>
      <c r="L224" s="15" t="n">
        <v>12</v>
      </c>
      <c r="M224" s="3" t="inlineStr">
        <is>
          <t>1К26</t>
        </is>
      </c>
      <c r="N224" s="70" t="inlineStr">
        <is>
          <t>К</t>
        </is>
      </c>
    </row>
    <row r="225">
      <c r="B225" s="53" t="n"/>
      <c r="C225" s="107" t="n"/>
      <c r="D225" s="59" t="n"/>
      <c r="E225" s="107" t="n"/>
      <c r="F225" s="60" t="n"/>
      <c r="G225" s="107" t="n"/>
      <c r="H225" s="56" t="n"/>
      <c r="I225" s="61" t="n"/>
      <c r="J225" s="52" t="n"/>
      <c r="K225" s="52" t="n"/>
      <c r="L225" s="52" t="n"/>
      <c r="M225" s="57" t="n"/>
      <c r="N225" s="58" t="n"/>
    </row>
    <row r="226">
      <c r="B226" s="53" t="n"/>
      <c r="C226" s="107" t="n"/>
      <c r="D226" s="59" t="n"/>
      <c r="E226" s="107" t="n"/>
      <c r="F226" s="60" t="n"/>
      <c r="G226" s="107" t="n"/>
      <c r="H226" s="56" t="n"/>
      <c r="I226" s="61" t="n"/>
      <c r="J226" s="52" t="n"/>
      <c r="K226" s="52" t="n"/>
      <c r="L226" s="52" t="n"/>
      <c r="M226" s="57" t="n"/>
      <c r="N226" s="58" t="n"/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 codeName="Лист3">
    <outlinePr summaryBelow="1" summaryRight="1"/>
    <pageSetUpPr/>
  </sheetPr>
  <dimension ref="A1:O224"/>
  <sheetViews>
    <sheetView topLeftCell="E223" zoomScale="112" zoomScaleNormal="112" workbookViewId="0">
      <selection activeCell="J11" sqref="J11"/>
    </sheetView>
  </sheetViews>
  <sheetFormatPr baseColWidth="8" defaultRowHeight="15"/>
  <cols>
    <col width="3.5703125" customWidth="1" style="151" min="1" max="1"/>
    <col width="21.42578125" customWidth="1" style="151" min="2" max="2"/>
    <col width="26.42578125" customWidth="1" style="151" min="3" max="3"/>
    <col width="15.28515625" customWidth="1" style="151" min="4" max="4"/>
    <col width="7" customWidth="1" style="151" min="5" max="5"/>
    <col width="15.42578125" customWidth="1" style="151" min="6" max="7"/>
    <col width="28.5703125" customWidth="1" style="151" min="8" max="8"/>
    <col width="12.5703125" customWidth="1" style="151" min="9" max="9"/>
    <col width="17.5703125" customWidth="1" style="151" min="10" max="10"/>
    <col width="8.7109375" customWidth="1" style="151" min="11" max="11"/>
    <col width="7.5703125" customWidth="1" style="151" min="12" max="12"/>
    <col width="8" customWidth="1" style="151" min="13" max="13"/>
    <col width="6" customWidth="1" style="151" min="14" max="14"/>
    <col width="40.28515625" bestFit="1" customWidth="1" style="151" min="15" max="15"/>
    <col width="9.140625" customWidth="1" style="151" min="16" max="16384"/>
  </cols>
  <sheetData>
    <row r="1" ht="56.2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>
      <c r="A2" s="15">
        <f>IF(B2&lt;&gt;"", COUNTA($B$2:B2), "")</f>
        <v/>
      </c>
      <c r="B2" s="280" t="inlineStr">
        <is>
          <t>Манометр технический</t>
        </is>
      </c>
      <c r="C2" s="10" t="inlineStr">
        <is>
          <t>МП4-УУ2</t>
        </is>
      </c>
      <c r="D2" s="10" t="n">
        <v>6202</v>
      </c>
      <c r="E2" s="10" t="n">
        <v>2010</v>
      </c>
      <c r="F2" s="10" t="inlineStr">
        <is>
          <t>0…160 кгс/см2</t>
        </is>
      </c>
      <c r="G2" s="10" t="n">
        <v>1.5</v>
      </c>
      <c r="H2" s="26" t="inlineStr">
        <is>
          <t>P газа перед КШ 731/1,2</t>
        </is>
      </c>
      <c r="I2" s="8" t="inlineStr">
        <is>
          <t>ГПА 62 БПТГ</t>
        </is>
      </c>
      <c r="J2" s="15" t="inlineStr">
        <is>
          <t>АСУ,А и ТМ (КЦ № 6)</t>
        </is>
      </c>
      <c r="K2" s="15" t="n">
        <v>2012</v>
      </c>
      <c r="L2" s="15" t="n">
        <v>12</v>
      </c>
      <c r="M2" s="3" t="inlineStr">
        <is>
          <t>1К26</t>
        </is>
      </c>
      <c r="N2" s="70" t="inlineStr">
        <is>
          <t>К</t>
        </is>
      </c>
    </row>
    <row r="3">
      <c r="A3" s="15">
        <f>IF(B3&lt;&gt;"", COUNTA($B$2:B3), "")</f>
        <v/>
      </c>
      <c r="B3" s="280" t="inlineStr">
        <is>
          <t>Манометр технический</t>
        </is>
      </c>
      <c r="C3" s="10" t="inlineStr">
        <is>
          <t>МП4-УУ2</t>
        </is>
      </c>
      <c r="D3" s="10" t="n">
        <v>15272</v>
      </c>
      <c r="E3" s="10" t="n">
        <v>2010</v>
      </c>
      <c r="F3" s="10" t="inlineStr">
        <is>
          <t>0…100 кгс/см2</t>
        </is>
      </c>
      <c r="G3" s="10" t="n">
        <v>1.5</v>
      </c>
      <c r="H3" s="26" t="inlineStr">
        <is>
          <t>P газа после КРД 730/1</t>
        </is>
      </c>
      <c r="I3" s="8" t="inlineStr">
        <is>
          <t>ГПА 62 БПТГ</t>
        </is>
      </c>
      <c r="J3" s="15" t="inlineStr">
        <is>
          <t>АСУ,А и ТМ (КЦ № 6)</t>
        </is>
      </c>
      <c r="K3" s="15" t="n">
        <v>2012</v>
      </c>
      <c r="L3" s="15" t="n">
        <v>12</v>
      </c>
      <c r="M3" s="3" t="inlineStr">
        <is>
          <t>1К26</t>
        </is>
      </c>
      <c r="N3" s="175" t="inlineStr">
        <is>
          <t>К</t>
        </is>
      </c>
    </row>
    <row r="4">
      <c r="A4" s="15">
        <f>IF(B4&lt;&gt;"", COUNTA($B$2:B4), "")</f>
        <v/>
      </c>
      <c r="B4" s="280" t="inlineStr">
        <is>
          <t>Манометр технический</t>
        </is>
      </c>
      <c r="C4" s="71" t="inlineStr">
        <is>
          <t>МП4-УУ2</t>
        </is>
      </c>
      <c r="D4" s="71" t="n">
        <v>15391</v>
      </c>
      <c r="E4" s="10" t="n">
        <v>2010</v>
      </c>
      <c r="F4" s="10" t="inlineStr">
        <is>
          <t>0…160 кгс/см2</t>
        </is>
      </c>
      <c r="G4" s="71" t="n">
        <v>1</v>
      </c>
      <c r="H4" s="14" t="inlineStr">
        <is>
          <t>P газа в C 701</t>
        </is>
      </c>
      <c r="I4" s="8" t="inlineStr">
        <is>
          <t>ГПА 62 БПТГ</t>
        </is>
      </c>
      <c r="J4" s="15" t="inlineStr">
        <is>
          <t>АСУ,А и ТМ (КЦ № 6)</t>
        </is>
      </c>
      <c r="K4" s="15" t="n">
        <v>2012</v>
      </c>
      <c r="L4" s="15" t="n">
        <v>12</v>
      </c>
      <c r="M4" s="3" t="inlineStr">
        <is>
          <t>26ДЯУ</t>
        </is>
      </c>
      <c r="N4" s="70" t="inlineStr">
        <is>
          <t>П</t>
        </is>
      </c>
      <c r="O4" s="66" t="n"/>
    </row>
    <row r="5">
      <c r="A5" s="15">
        <f>IF(B5&lt;&gt;"", COUNTA($B$2:B5), "")</f>
        <v/>
      </c>
      <c r="B5" s="280" t="inlineStr">
        <is>
          <t>Манометр технический</t>
        </is>
      </c>
      <c r="C5" s="10" t="inlineStr">
        <is>
          <t>МП4-УУ2</t>
        </is>
      </c>
      <c r="D5" s="10" t="n">
        <v>15648</v>
      </c>
      <c r="E5" s="10" t="n">
        <v>2010</v>
      </c>
      <c r="F5" s="10" t="inlineStr">
        <is>
          <t>0…160 кгс/см2</t>
        </is>
      </c>
      <c r="G5" s="10" t="n">
        <v>1.5</v>
      </c>
      <c r="H5" s="26" t="inlineStr">
        <is>
          <t>P газа на выходе ЭПГ 700/1</t>
        </is>
      </c>
      <c r="I5" s="8" t="inlineStr">
        <is>
          <t>ГПА 62 БПТГ</t>
        </is>
      </c>
      <c r="J5" s="15" t="inlineStr">
        <is>
          <t>АСУ,А и ТМ (КЦ № 6)</t>
        </is>
      </c>
      <c r="K5" s="15" t="n">
        <v>2012</v>
      </c>
      <c r="L5" s="15" t="n">
        <v>12</v>
      </c>
      <c r="M5" s="3" t="inlineStr">
        <is>
          <t>1К26</t>
        </is>
      </c>
      <c r="N5" s="70" t="inlineStr">
        <is>
          <t>К</t>
        </is>
      </c>
    </row>
    <row r="6">
      <c r="A6" s="15">
        <f>IF(B6&lt;&gt;"", COUNTA($B$2:B6), "")</f>
        <v/>
      </c>
      <c r="B6" s="280" t="inlineStr">
        <is>
          <t>Манометр технический</t>
        </is>
      </c>
      <c r="C6" s="10" t="inlineStr">
        <is>
          <t>МП4-УУ2</t>
        </is>
      </c>
      <c r="D6" s="10" t="n">
        <v>15104</v>
      </c>
      <c r="E6" s="10" t="n">
        <v>2010</v>
      </c>
      <c r="F6" s="10" t="inlineStr">
        <is>
          <t>0…100 кгс/см2</t>
        </is>
      </c>
      <c r="G6" s="10" t="n">
        <v>1.5</v>
      </c>
      <c r="H6" s="26" t="inlineStr">
        <is>
          <t>P газа после        КРД 730/2</t>
        </is>
      </c>
      <c r="I6" s="8" t="inlineStr">
        <is>
          <t>ГПА 62 БПТГ</t>
        </is>
      </c>
      <c r="J6" s="15" t="inlineStr">
        <is>
          <t>АСУ,А и ТМ (КЦ № 6)</t>
        </is>
      </c>
      <c r="K6" s="15" t="n">
        <v>2012</v>
      </c>
      <c r="L6" s="15" t="n">
        <v>12</v>
      </c>
      <c r="M6" s="3" t="inlineStr">
        <is>
          <t>1К26</t>
        </is>
      </c>
      <c r="N6" s="70" t="inlineStr">
        <is>
          <t>К</t>
        </is>
      </c>
    </row>
    <row r="7">
      <c r="A7" s="15">
        <f>IF(B7&lt;&gt;"", COUNTA($B$2:B7), "")</f>
        <v/>
      </c>
      <c r="B7" s="280" t="inlineStr">
        <is>
          <t>Манометр технический</t>
        </is>
      </c>
      <c r="C7" s="10" t="inlineStr">
        <is>
          <t>МП4-УУ2</t>
        </is>
      </c>
      <c r="D7" s="10" t="n">
        <v>15245</v>
      </c>
      <c r="E7" s="10" t="n">
        <v>2010</v>
      </c>
      <c r="F7" s="10" t="inlineStr">
        <is>
          <t>0…160 кгс/см2</t>
        </is>
      </c>
      <c r="G7" s="10" t="n">
        <v>1.5</v>
      </c>
      <c r="H7" s="26" t="inlineStr">
        <is>
          <t>P газа на выходе ЭПГ 700/2</t>
        </is>
      </c>
      <c r="I7" s="8" t="inlineStr">
        <is>
          <t>ГПА 62 БПТГ</t>
        </is>
      </c>
      <c r="J7" s="15" t="inlineStr">
        <is>
          <t>АСУ,А и ТМ (КЦ № 6)</t>
        </is>
      </c>
      <c r="K7" s="15" t="n">
        <v>2012</v>
      </c>
      <c r="L7" s="15" t="n">
        <v>12</v>
      </c>
      <c r="M7" s="3" t="inlineStr">
        <is>
          <t>1К26</t>
        </is>
      </c>
      <c r="N7" s="70" t="inlineStr">
        <is>
          <t>К</t>
        </is>
      </c>
    </row>
    <row r="8">
      <c r="A8" s="15">
        <f>IF(B8&lt;&gt;"", COUNTA($B$2:B8), "")</f>
        <v/>
      </c>
      <c r="B8" s="14" t="inlineStr">
        <is>
          <t>Термометр биметаллический</t>
        </is>
      </c>
      <c r="C8" s="10" t="inlineStr">
        <is>
          <t>ТБ-2</t>
        </is>
      </c>
      <c r="D8" s="11" t="inlineStr">
        <is>
          <t>5050</t>
        </is>
      </c>
      <c r="E8" s="10" t="n">
        <v>2010</v>
      </c>
      <c r="F8" s="10" t="inlineStr">
        <is>
          <t>0…100 °С</t>
        </is>
      </c>
      <c r="G8" s="10" t="n">
        <v>1.5</v>
      </c>
      <c r="H8" s="26" t="inlineStr">
        <is>
          <t>Тг на выходе ЭПГ 700/1</t>
        </is>
      </c>
      <c r="I8" s="8" t="inlineStr">
        <is>
          <t>ГПА 62 БПТГ</t>
        </is>
      </c>
      <c r="J8" s="15" t="inlineStr">
        <is>
          <t>АСУ,А и ТМ (КЦ № 6)</t>
        </is>
      </c>
      <c r="K8" s="15" t="n">
        <v>2012</v>
      </c>
      <c r="L8" s="15" t="n">
        <v>24</v>
      </c>
      <c r="M8" s="3" t="inlineStr">
        <is>
          <t>2К26</t>
        </is>
      </c>
      <c r="N8" s="70" t="inlineStr">
        <is>
          <t>К</t>
        </is>
      </c>
    </row>
    <row r="9">
      <c r="A9" s="15">
        <f>IF(B9&lt;&gt;"", COUNTA($B$2:B9), "")</f>
        <v/>
      </c>
      <c r="B9" s="14" t="inlineStr">
        <is>
          <t>Термометр биметаллический</t>
        </is>
      </c>
      <c r="C9" s="10" t="inlineStr">
        <is>
          <t>ТБ-2</t>
        </is>
      </c>
      <c r="D9" s="11" t="inlineStr">
        <is>
          <t>2472</t>
        </is>
      </c>
      <c r="E9" s="10" t="n">
        <v>2010</v>
      </c>
      <c r="F9" s="10" t="inlineStr">
        <is>
          <t>0…100 °С</t>
        </is>
      </c>
      <c r="G9" s="10" t="n">
        <v>1.5</v>
      </c>
      <c r="H9" s="26" t="inlineStr">
        <is>
          <t>Тг на выходе ЭПГ 700/2</t>
        </is>
      </c>
      <c r="I9" s="8" t="inlineStr">
        <is>
          <t>ГПА 62 БПТГ</t>
        </is>
      </c>
      <c r="J9" s="15" t="inlineStr">
        <is>
          <t>АСУ,А и ТМ (КЦ № 6)</t>
        </is>
      </c>
      <c r="K9" s="15" t="n">
        <v>2012</v>
      </c>
      <c r="L9" s="15" t="n">
        <v>24</v>
      </c>
      <c r="M9" s="3" t="inlineStr">
        <is>
          <t>2К26</t>
        </is>
      </c>
      <c r="N9" s="70" t="inlineStr">
        <is>
          <t>К</t>
        </is>
      </c>
    </row>
    <row r="10">
      <c r="A10" s="15">
        <f>IF(B10&lt;&gt;"", COUNTA($B$2:B10), "")</f>
        <v/>
      </c>
      <c r="B10" s="15" t="inlineStr">
        <is>
          <t>Уравнемер</t>
        </is>
      </c>
      <c r="C10" s="14" t="inlineStr">
        <is>
          <t xml:space="preserve">KROHNE BM-26A/C/RR </t>
        </is>
      </c>
      <c r="D10" s="14" t="inlineStr">
        <is>
          <t>447006647.20.02</t>
        </is>
      </c>
      <c r="E10" s="15" t="n">
        <v>2011</v>
      </c>
      <c r="F10" s="14" t="inlineStr">
        <is>
          <t>0…100 %</t>
        </is>
      </c>
      <c r="G10" s="14" t="inlineStr">
        <is>
          <t>±10 мм</t>
        </is>
      </c>
      <c r="H10" s="15" t="inlineStr">
        <is>
          <t xml:space="preserve">Уровень жидкости в сепараторе С701 </t>
        </is>
      </c>
      <c r="I10" s="8" t="inlineStr">
        <is>
          <t>ГПА 62 БПТГ</t>
        </is>
      </c>
      <c r="J10" s="15" t="inlineStr">
        <is>
          <t>АСУ,А и ТМ (КЦ № 6)</t>
        </is>
      </c>
      <c r="K10" s="15" t="n">
        <v>2012</v>
      </c>
      <c r="L10" s="14" t="n">
        <v>48</v>
      </c>
      <c r="M10" s="3" t="n"/>
      <c r="N10" s="70" t="n"/>
    </row>
    <row r="11" ht="22.5" customHeight="1" s="151">
      <c r="A11" s="15">
        <f>IF(B11&lt;&gt;"", COUNTA($B$2:B11), "")</f>
        <v/>
      </c>
      <c r="B11" s="73" t="inlineStr">
        <is>
          <t>Преобразователь избыточного давления</t>
        </is>
      </c>
      <c r="C11" s="15" t="inlineStr">
        <is>
          <t>Honeywell STG-97L</t>
        </is>
      </c>
      <c r="D11" s="15" t="inlineStr">
        <is>
          <t>11W03 C3287149003036</t>
        </is>
      </c>
      <c r="E11" s="15" t="n">
        <v>2011</v>
      </c>
      <c r="F11" s="14" t="inlineStr">
        <is>
          <t xml:space="preserve">0…10 MПa </t>
        </is>
      </c>
      <c r="G11" s="14" t="n">
        <v>0.075</v>
      </c>
      <c r="H11" s="15" t="inlineStr">
        <is>
          <t>Давление газа перед С701 (на входе в блок БПТГ)</t>
        </is>
      </c>
      <c r="I11" s="8" t="inlineStr">
        <is>
          <t>ГПА 62 БПТГ</t>
        </is>
      </c>
      <c r="J11" s="15" t="inlineStr">
        <is>
          <t>АСУ,А и ТМ (КЦ № 6)</t>
        </is>
      </c>
      <c r="K11" s="15" t="n">
        <v>2012</v>
      </c>
      <c r="L11" s="14" t="n">
        <v>36</v>
      </c>
      <c r="M11" s="3" t="n"/>
      <c r="N11" s="70" t="n"/>
    </row>
    <row r="12" ht="22.5" customHeight="1" s="151">
      <c r="A12" s="15">
        <f>IF(B12&lt;&gt;"", COUNTA($B$2:B12), "")</f>
        <v/>
      </c>
      <c r="B12" s="73" t="inlineStr">
        <is>
          <t>Преобразователь избыточного давления</t>
        </is>
      </c>
      <c r="C12" s="15" t="inlineStr">
        <is>
          <t>Honeywell STG-97L</t>
        </is>
      </c>
      <c r="D12" s="15" t="inlineStr">
        <is>
          <t>11W03 C3287149003004</t>
        </is>
      </c>
      <c r="E12" s="15" t="n">
        <v>2011</v>
      </c>
      <c r="F12" s="14" t="inlineStr">
        <is>
          <t xml:space="preserve">0…10 MПa </t>
        </is>
      </c>
      <c r="G12" s="14" t="n">
        <v>0.075</v>
      </c>
      <c r="H12" s="15" t="inlineStr">
        <is>
          <t>Давление газа на выходе блока БПТГ перед КШ12</t>
        </is>
      </c>
      <c r="I12" s="8" t="inlineStr">
        <is>
          <t>ГПА 62 БПТГ</t>
        </is>
      </c>
      <c r="J12" s="15" t="inlineStr">
        <is>
          <t>АСУ,А и ТМ (КЦ № 6)</t>
        </is>
      </c>
      <c r="K12" s="15" t="n">
        <v>2012</v>
      </c>
      <c r="L12" s="14" t="n">
        <v>36</v>
      </c>
      <c r="M12" s="3" t="n"/>
      <c r="N12" s="70" t="n"/>
    </row>
    <row r="13" ht="22.5" customHeight="1" s="151">
      <c r="A13" s="15">
        <f>IF(B13&lt;&gt;"", COUNTA($B$2:B13), "")</f>
        <v/>
      </c>
      <c r="B13" s="16" t="inlineStr">
        <is>
          <t>Термометр сопротивления</t>
        </is>
      </c>
      <c r="C13" s="17" t="inlineStr">
        <is>
          <t>ТСП 012.60 Pt100/В/3</t>
        </is>
      </c>
      <c r="D13" s="15" t="n">
        <v>364</v>
      </c>
      <c r="E13" s="15" t="n">
        <v>2011</v>
      </c>
      <c r="F13" s="17" t="inlineStr">
        <is>
          <t>-60…200 °С</t>
        </is>
      </c>
      <c r="G13" s="17" t="inlineStr">
        <is>
          <t>B</t>
        </is>
      </c>
      <c r="H13" s="3" t="inlineStr">
        <is>
          <t>Температура газа перед С701</t>
        </is>
      </c>
      <c r="I13" s="8" t="inlineStr">
        <is>
          <t>ГПА 62 БПТГ</t>
        </is>
      </c>
      <c r="J13" s="15" t="inlineStr">
        <is>
          <t>АСУ,А и ТМ (КЦ № 6)</t>
        </is>
      </c>
      <c r="K13" s="15" t="n">
        <v>2012</v>
      </c>
      <c r="L13" s="14" t="n">
        <v>24</v>
      </c>
      <c r="M13" s="3" t="inlineStr">
        <is>
          <t>10.02.2016</t>
        </is>
      </c>
      <c r="N13" s="70" t="n"/>
    </row>
    <row r="14" ht="22.5" customHeight="1" s="151">
      <c r="A14" s="15">
        <f>IF(B14&lt;&gt;"", COUNTA($B$2:B14), "")</f>
        <v/>
      </c>
      <c r="B14" s="16" t="inlineStr">
        <is>
          <t>Термометр сопротивления</t>
        </is>
      </c>
      <c r="C14" s="17" t="inlineStr">
        <is>
          <t>ТСП 012.60 Pt100/В/3</t>
        </is>
      </c>
      <c r="D14" s="3" t="inlineStr">
        <is>
          <t>389</t>
        </is>
      </c>
      <c r="E14" s="15" t="n">
        <v>2011</v>
      </c>
      <c r="F14" s="17" t="inlineStr">
        <is>
          <t>-60…200 °С</t>
        </is>
      </c>
      <c r="G14" s="17" t="inlineStr">
        <is>
          <t>B</t>
        </is>
      </c>
      <c r="H14" s="3" t="inlineStr">
        <is>
          <t>Температура антифриза в подогревателе ЭПГ700/2</t>
        </is>
      </c>
      <c r="I14" s="8" t="inlineStr">
        <is>
          <t>ГПА 62 БПТГ</t>
        </is>
      </c>
      <c r="J14" s="15" t="inlineStr">
        <is>
          <t>АСУ,А и ТМ (КЦ № 6)</t>
        </is>
      </c>
      <c r="K14" s="15" t="n">
        <v>2012</v>
      </c>
      <c r="L14" s="14" t="n">
        <v>24</v>
      </c>
      <c r="M14" s="3" t="inlineStr">
        <is>
          <t>10.02.2016</t>
        </is>
      </c>
      <c r="N14" s="70" t="n"/>
    </row>
    <row r="15" ht="22.5" customHeight="1" s="151">
      <c r="A15" s="15">
        <f>IF(B15&lt;&gt;"", COUNTA($B$2:B15), "")</f>
        <v/>
      </c>
      <c r="B15" s="16" t="inlineStr">
        <is>
          <t>Термометр сопротивления</t>
        </is>
      </c>
      <c r="C15" s="17" t="inlineStr">
        <is>
          <t>ТСП 012.60 Pt100/В/3</t>
        </is>
      </c>
      <c r="D15" s="3" t="inlineStr">
        <is>
          <t>361</t>
        </is>
      </c>
      <c r="E15" s="15" t="n">
        <v>2011</v>
      </c>
      <c r="F15" s="17" t="inlineStr">
        <is>
          <t>-60…200 °С</t>
        </is>
      </c>
      <c r="G15" s="17" t="inlineStr">
        <is>
          <t>B</t>
        </is>
      </c>
      <c r="H15" s="3" t="inlineStr">
        <is>
          <t>Температура газа после ЭПГ700/2</t>
        </is>
      </c>
      <c r="I15" s="8" t="inlineStr">
        <is>
          <t>ГПА 62 БПТГ</t>
        </is>
      </c>
      <c r="J15" s="15" t="inlineStr">
        <is>
          <t>АСУ,А и ТМ (КЦ № 6)</t>
        </is>
      </c>
      <c r="K15" s="15" t="n">
        <v>2012</v>
      </c>
      <c r="L15" s="14" t="n">
        <v>24</v>
      </c>
      <c r="M15" s="3" t="inlineStr">
        <is>
          <t>10.02.2016</t>
        </is>
      </c>
      <c r="N15" s="70" t="n"/>
    </row>
    <row r="16" ht="22.5" customHeight="1" s="151">
      <c r="A16" s="15">
        <f>IF(B16&lt;&gt;"", COUNTA($B$2:B16), "")</f>
        <v/>
      </c>
      <c r="B16" s="16" t="inlineStr">
        <is>
          <t>Термометр сопротивления</t>
        </is>
      </c>
      <c r="C16" s="17" t="inlineStr">
        <is>
          <t>ТСП 012.60 Pt100/В/3</t>
        </is>
      </c>
      <c r="D16" s="3" t="inlineStr">
        <is>
          <t>382</t>
        </is>
      </c>
      <c r="E16" s="15" t="n">
        <v>2011</v>
      </c>
      <c r="F16" s="17" t="inlineStr">
        <is>
          <t>-60…200 °С</t>
        </is>
      </c>
      <c r="G16" s="17" t="inlineStr">
        <is>
          <t>B</t>
        </is>
      </c>
      <c r="H16" s="3" t="inlineStr">
        <is>
          <t>Температура антифриза в подогревателе ЭПГ700/1</t>
        </is>
      </c>
      <c r="I16" s="8" t="inlineStr">
        <is>
          <t>ГПА 62 БПТГ</t>
        </is>
      </c>
      <c r="J16" s="15" t="inlineStr">
        <is>
          <t>АСУ,А и ТМ (КЦ № 6)</t>
        </is>
      </c>
      <c r="K16" s="15" t="n">
        <v>2012</v>
      </c>
      <c r="L16" s="14" t="n">
        <v>24</v>
      </c>
      <c r="M16" s="3" t="inlineStr">
        <is>
          <t>10.02.2016</t>
        </is>
      </c>
      <c r="N16" s="70" t="n"/>
    </row>
    <row r="17" ht="22.5" customHeight="1" s="151">
      <c r="A17" s="15">
        <f>IF(B17&lt;&gt;"", COUNTA($B$2:B17), "")</f>
        <v/>
      </c>
      <c r="B17" s="16" t="inlineStr">
        <is>
          <t>Термометр сопротивления</t>
        </is>
      </c>
      <c r="C17" s="17" t="inlineStr">
        <is>
          <t>ТСП 012.60 Pt100/В/3</t>
        </is>
      </c>
      <c r="D17" s="3" t="inlineStr">
        <is>
          <t>450</t>
        </is>
      </c>
      <c r="E17" s="15" t="n">
        <v>2011</v>
      </c>
      <c r="F17" s="17" t="inlineStr">
        <is>
          <t>-60…200 °С</t>
        </is>
      </c>
      <c r="G17" s="17" t="inlineStr">
        <is>
          <t>B</t>
        </is>
      </c>
      <c r="H17" s="3" t="inlineStr">
        <is>
          <t>Температура газа после ЭПГ700/1</t>
        </is>
      </c>
      <c r="I17" s="8" t="inlineStr">
        <is>
          <t>ГПА 62 БПТГ</t>
        </is>
      </c>
      <c r="J17" s="15" t="inlineStr">
        <is>
          <t>АСУ,А и ТМ (КЦ № 6)</t>
        </is>
      </c>
      <c r="K17" s="15" t="n">
        <v>2012</v>
      </c>
      <c r="L17" s="14" t="n">
        <v>24</v>
      </c>
      <c r="M17" s="3" t="inlineStr">
        <is>
          <t>10.02.2016</t>
        </is>
      </c>
      <c r="N17" s="70" t="n"/>
    </row>
    <row r="18" ht="22.5" customHeight="1" s="151">
      <c r="A18" s="15">
        <f>IF(B18&lt;&gt;"", COUNTA($B$2:B18), "")</f>
        <v/>
      </c>
      <c r="B18" s="16" t="inlineStr">
        <is>
          <t>Термометр сопротивления</t>
        </is>
      </c>
      <c r="C18" s="17" t="inlineStr">
        <is>
          <t>ТСП 012.60 Pt100/В/3</t>
        </is>
      </c>
      <c r="D18" s="3" t="inlineStr">
        <is>
          <t>375</t>
        </is>
      </c>
      <c r="E18" s="15" t="n">
        <v>2011</v>
      </c>
      <c r="F18" s="17" t="inlineStr">
        <is>
          <t>-60…200 °С</t>
        </is>
      </c>
      <c r="G18" s="17" t="inlineStr">
        <is>
          <t>B</t>
        </is>
      </c>
      <c r="H18" s="3" t="inlineStr">
        <is>
          <t>Температура воздуха в контейнере блока БПТГ т.1</t>
        </is>
      </c>
      <c r="I18" s="8" t="inlineStr">
        <is>
          <t>ГПА 62 БПТГ</t>
        </is>
      </c>
      <c r="J18" s="15" t="inlineStr">
        <is>
          <t>АСУ,А и ТМ (КЦ № 6)</t>
        </is>
      </c>
      <c r="K18" s="15" t="n">
        <v>2012</v>
      </c>
      <c r="L18" s="14" t="n">
        <v>24</v>
      </c>
      <c r="M18" s="3" t="inlineStr">
        <is>
          <t>10.02.2016</t>
        </is>
      </c>
      <c r="N18" s="70" t="n"/>
    </row>
    <row r="19" ht="22.5" customHeight="1" s="151">
      <c r="A19" s="15">
        <f>IF(B19&lt;&gt;"", COUNTA($B$2:B19), "")</f>
        <v/>
      </c>
      <c r="B19" s="16" t="inlineStr">
        <is>
          <t>Термометр сопротивления</t>
        </is>
      </c>
      <c r="C19" s="17" t="inlineStr">
        <is>
          <t>ТСП 012.60 Pt100/В/3</t>
        </is>
      </c>
      <c r="D19" s="3" t="inlineStr">
        <is>
          <t>367</t>
        </is>
      </c>
      <c r="E19" s="15" t="n">
        <v>2011</v>
      </c>
      <c r="F19" s="17" t="inlineStr">
        <is>
          <t>-60…200 °С</t>
        </is>
      </c>
      <c r="G19" s="17" t="inlineStr">
        <is>
          <t>B</t>
        </is>
      </c>
      <c r="H19" s="3" t="inlineStr">
        <is>
          <t>Температура воздуха в контейнере блока БПТГ т.2</t>
        </is>
      </c>
      <c r="I19" s="8" t="inlineStr">
        <is>
          <t>ГПА 62 БПТГ</t>
        </is>
      </c>
      <c r="J19" s="15" t="inlineStr">
        <is>
          <t>АСУ,А и ТМ (КЦ № 6)</t>
        </is>
      </c>
      <c r="K19" s="15" t="n">
        <v>2012</v>
      </c>
      <c r="L19" s="14" t="n">
        <v>24</v>
      </c>
      <c r="M19" s="3" t="inlineStr">
        <is>
          <t>10.02.2016</t>
        </is>
      </c>
      <c r="N19" s="70" t="n"/>
    </row>
    <row r="20">
      <c r="A20" s="15">
        <f>IF(B20&lt;&gt;"", COUNTA($B$2:B20), "")</f>
        <v/>
      </c>
      <c r="B20" s="16" t="inlineStr">
        <is>
          <t>Термометр сопротивления</t>
        </is>
      </c>
      <c r="C20" s="17" t="inlineStr">
        <is>
          <t>ТСП 012.60 Pt100/В/3</t>
        </is>
      </c>
      <c r="D20" s="3" t="inlineStr">
        <is>
          <t>368</t>
        </is>
      </c>
      <c r="E20" s="15" t="n">
        <v>2011</v>
      </c>
      <c r="F20" s="17" t="inlineStr">
        <is>
          <t>-60…200 °С</t>
        </is>
      </c>
      <c r="G20" s="17" t="inlineStr">
        <is>
          <t>B</t>
        </is>
      </c>
      <c r="H20" s="17" t="inlineStr">
        <is>
          <t>Температура масла EK225</t>
        </is>
      </c>
      <c r="I20" s="8" t="inlineStr">
        <is>
          <t>ГПА 62 БПТГ</t>
        </is>
      </c>
      <c r="J20" s="15" t="inlineStr">
        <is>
          <t>АСУ,А и ТМ (КЦ № 6)</t>
        </is>
      </c>
      <c r="K20" s="15" t="n">
        <v>2012</v>
      </c>
      <c r="L20" s="14" t="n">
        <v>24</v>
      </c>
      <c r="M20" s="3" t="n"/>
      <c r="N20" s="70" t="n"/>
    </row>
    <row r="21">
      <c r="A21" s="15">
        <f>IF(B21&lt;&gt;"", COUNTA($B$2:B21), "")</f>
        <v/>
      </c>
      <c r="B21" s="16" t="inlineStr">
        <is>
          <t>Термометр сопротивления</t>
        </is>
      </c>
      <c r="C21" s="17" t="inlineStr">
        <is>
          <t>ТСП 012.60 Pt100/В/3</t>
        </is>
      </c>
      <c r="D21" s="3" t="inlineStr">
        <is>
          <t>372</t>
        </is>
      </c>
      <c r="E21" s="15" t="n">
        <v>2011</v>
      </c>
      <c r="F21" s="17" t="inlineStr">
        <is>
          <t>-60…200 °С</t>
        </is>
      </c>
      <c r="G21" s="17" t="inlineStr">
        <is>
          <t>B</t>
        </is>
      </c>
      <c r="H21" s="3" t="inlineStr">
        <is>
          <t>Температура масла EK226</t>
        </is>
      </c>
      <c r="I21" s="8" t="inlineStr">
        <is>
          <t>ГПА 62 БПТГ</t>
        </is>
      </c>
      <c r="J21" s="15" t="inlineStr">
        <is>
          <t>АСУ,А и ТМ (КЦ № 6)</t>
        </is>
      </c>
      <c r="K21" s="15" t="n">
        <v>2012</v>
      </c>
      <c r="L21" s="14" t="n">
        <v>24</v>
      </c>
      <c r="M21" s="3" t="n"/>
      <c r="N21" s="70" t="n"/>
    </row>
    <row r="22">
      <c r="A22" s="15">
        <f>IF(B22&lt;&gt;"", COUNTA($B$2:B22), "")</f>
        <v/>
      </c>
      <c r="B22" s="16" t="inlineStr">
        <is>
          <t>Датчик уровня</t>
        </is>
      </c>
      <c r="C22" s="17" t="inlineStr">
        <is>
          <t>KROHNE Optiswitch 5200C</t>
        </is>
      </c>
      <c r="D22" s="3" t="inlineStr">
        <is>
          <t>20408765</t>
        </is>
      </c>
      <c r="E22" s="15" t="n">
        <v>2011</v>
      </c>
      <c r="F22" s="17" t="inlineStr">
        <is>
          <t>0…400 мм</t>
        </is>
      </c>
      <c r="G22" s="17" t="n"/>
      <c r="H22" s="3" t="inlineStr">
        <is>
          <t>Уровень антифриза в ЭПГ 700/1</t>
        </is>
      </c>
      <c r="I22" s="8" t="inlineStr">
        <is>
          <t>ГПА 62 БПТГ</t>
        </is>
      </c>
      <c r="J22" s="15" t="inlineStr">
        <is>
          <t>АСУ,А и ТМ (КЦ № 6)</t>
        </is>
      </c>
      <c r="K22" s="15" t="n"/>
      <c r="L22" s="14" t="n"/>
      <c r="M22" s="3" t="n"/>
      <c r="N22" s="70" t="n"/>
    </row>
    <row r="23">
      <c r="A23" s="15">
        <f>IF(B23&lt;&gt;"", COUNTA($B$2:B23), "")</f>
        <v/>
      </c>
      <c r="B23" s="16" t="inlineStr">
        <is>
          <t>Датчик уровня</t>
        </is>
      </c>
      <c r="C23" s="17" t="inlineStr">
        <is>
          <t>KROHNE Optiswitch 5200C</t>
        </is>
      </c>
      <c r="D23" s="3" t="inlineStr">
        <is>
          <t>20408762</t>
        </is>
      </c>
      <c r="E23" s="15" t="n">
        <v>2011</v>
      </c>
      <c r="F23" s="17" t="inlineStr">
        <is>
          <t>0…400 мм</t>
        </is>
      </c>
      <c r="G23" s="17" t="n"/>
      <c r="H23" s="3" t="inlineStr">
        <is>
          <t>Уровень антифриза в ЭПГ 700/2</t>
        </is>
      </c>
      <c r="I23" s="8" t="inlineStr">
        <is>
          <t>ГПА 62 БПТГ</t>
        </is>
      </c>
      <c r="J23" s="15" t="inlineStr">
        <is>
          <t>АСУ,А и ТМ (КЦ № 6)</t>
        </is>
      </c>
      <c r="K23" s="15" t="n"/>
      <c r="L23" s="14" t="n"/>
      <c r="M23" s="3" t="n"/>
      <c r="N23" s="70" t="n"/>
    </row>
    <row r="24">
      <c r="A24" s="218">
        <f>IF(B24&lt;&gt;"", COUNTA($B$2:B24), "")</f>
        <v/>
      </c>
      <c r="B24" s="216" t="inlineStr">
        <is>
          <t>Контроль загазованности</t>
        </is>
      </c>
      <c r="C24" s="217" t="inlineStr">
        <is>
          <t>ОГС-ПГП/М-СН4-А</t>
        </is>
      </c>
      <c r="D24" s="217" t="n">
        <v>25239</v>
      </c>
      <c r="E24" s="218" t="n">
        <v>2025</v>
      </c>
      <c r="F24" s="219" t="n"/>
      <c r="G24" s="219" t="n"/>
      <c r="H24" s="218" t="inlineStr">
        <is>
          <t xml:space="preserve">ЭП 700/2 (QT 502) </t>
        </is>
      </c>
      <c r="I24" s="218" t="inlineStr">
        <is>
          <t>ГПА 62 БПТГ</t>
        </is>
      </c>
      <c r="J24" s="218" t="inlineStr">
        <is>
          <t>АСУ,А и ТМ (КЦ № 6)</t>
        </is>
      </c>
      <c r="K24" s="218" t="n">
        <v>2012</v>
      </c>
      <c r="L24" s="220" t="n"/>
      <c r="M24" s="221" t="n"/>
      <c r="N24" s="219" t="n"/>
    </row>
    <row r="25">
      <c r="A25" s="210">
        <f>IF(B25&lt;&gt;"", COUNTA($B$2:B25), "")</f>
        <v/>
      </c>
      <c r="B25" s="213" t="inlineStr">
        <is>
          <t>Контроль загазованности</t>
        </is>
      </c>
      <c r="C25" s="207" t="inlineStr">
        <is>
          <t>ОГС-ПГП/М-СН4-А</t>
        </is>
      </c>
      <c r="D25" s="207" t="n">
        <v>25237</v>
      </c>
      <c r="E25" s="210" t="n">
        <v>2025</v>
      </c>
      <c r="F25" s="209" t="n"/>
      <c r="G25" s="209" t="n"/>
      <c r="H25" s="210" t="inlineStr">
        <is>
          <t xml:space="preserve">ЭП 700/1 (QT 501) </t>
        </is>
      </c>
      <c r="I25" s="210" t="inlineStr">
        <is>
          <t>ГПА 62 БПТГ</t>
        </is>
      </c>
      <c r="J25" s="210" t="inlineStr">
        <is>
          <t>АСУ,А и ТМ (КЦ № 6)</t>
        </is>
      </c>
      <c r="K25" s="210" t="n">
        <v>2012</v>
      </c>
      <c r="L25" s="211" t="n"/>
      <c r="M25" s="212" t="n"/>
      <c r="N25" s="209" t="n"/>
    </row>
    <row r="26">
      <c r="A26" s="15">
        <f>IF(B26&lt;&gt;"", COUNTA($B$2:B26), "")</f>
        <v/>
      </c>
      <c r="B26" s="280" t="inlineStr">
        <is>
          <t>Датчик пламени</t>
        </is>
      </c>
      <c r="C26" s="10" t="inlineStr">
        <is>
          <t>ИП330/3-20-А1</t>
        </is>
      </c>
      <c r="D26" s="11" t="inlineStr">
        <is>
          <t>000911</t>
        </is>
      </c>
      <c r="E26" s="15" t="n">
        <v>2011</v>
      </c>
      <c r="F26" s="33" t="n"/>
      <c r="G26" s="33" t="n"/>
      <c r="H26" s="26" t="inlineStr">
        <is>
          <t>(BTF501)</t>
        </is>
      </c>
      <c r="I26" s="15" t="inlineStr">
        <is>
          <t>ГПА 62 БПТГ</t>
        </is>
      </c>
      <c r="J26" s="15" t="inlineStr">
        <is>
          <t>АСУ,А и ТМ (КЦ № 6)</t>
        </is>
      </c>
      <c r="K26" s="15" t="n">
        <v>2012</v>
      </c>
      <c r="L26" s="33" t="n"/>
      <c r="M26" s="33" t="n"/>
      <c r="N26" s="33" t="n"/>
    </row>
    <row r="27">
      <c r="A27" s="15">
        <f>IF(B27&lt;&gt;"", COUNTA($B$2:B27), "")</f>
        <v/>
      </c>
      <c r="B27" s="280" t="inlineStr">
        <is>
          <t>Датчик пламени</t>
        </is>
      </c>
      <c r="C27" s="10" t="inlineStr">
        <is>
          <t>ИП330/3-20-А1</t>
        </is>
      </c>
      <c r="D27" s="11" t="inlineStr">
        <is>
          <t>001003</t>
        </is>
      </c>
      <c r="E27" s="15" t="n">
        <v>2011</v>
      </c>
      <c r="F27" s="33" t="n"/>
      <c r="G27" s="33" t="n"/>
      <c r="H27" s="26" t="inlineStr">
        <is>
          <t>(BTF502)</t>
        </is>
      </c>
      <c r="I27" s="15" t="inlineStr">
        <is>
          <t>ГПА 62 БПТГ</t>
        </is>
      </c>
      <c r="J27" s="15" t="inlineStr">
        <is>
          <t>АСУ,А и ТМ (КЦ № 6)</t>
        </is>
      </c>
      <c r="K27" s="15" t="n">
        <v>2012</v>
      </c>
      <c r="L27" s="33" t="n"/>
      <c r="M27" s="33" t="n"/>
      <c r="N27" s="33" t="n"/>
    </row>
    <row r="28">
      <c r="A28" s="15">
        <f>IF(B28&lt;&gt;"", COUNTA($B$2:B28), "")</f>
        <v/>
      </c>
      <c r="B28" s="280" t="inlineStr">
        <is>
          <t>Датчик пламени</t>
        </is>
      </c>
      <c r="C28" s="10" t="inlineStr">
        <is>
          <t>ИП330/3-20-А1</t>
        </is>
      </c>
      <c r="D28" s="11" t="inlineStr">
        <is>
          <t>000914</t>
        </is>
      </c>
      <c r="E28" s="15" t="n">
        <v>2011</v>
      </c>
      <c r="F28" s="33" t="n"/>
      <c r="G28" s="33" t="n"/>
      <c r="H28" s="26" t="inlineStr">
        <is>
          <t>(BTF503)</t>
        </is>
      </c>
      <c r="I28" s="15" t="inlineStr">
        <is>
          <t>ГПА 62 БПТГ</t>
        </is>
      </c>
      <c r="J28" s="15" t="inlineStr">
        <is>
          <t>АСУ,А и ТМ (КЦ № 6)</t>
        </is>
      </c>
      <c r="K28" s="15" t="n">
        <v>2012</v>
      </c>
      <c r="L28" s="33" t="n"/>
      <c r="M28" s="33" t="n"/>
      <c r="N28" s="33" t="n"/>
    </row>
    <row r="29">
      <c r="A29" s="15">
        <f>IF(B29&lt;&gt;"", COUNTA($B$2:B29), "")</f>
        <v/>
      </c>
      <c r="B29" s="280" t="inlineStr">
        <is>
          <t>Датчик пламени</t>
        </is>
      </c>
      <c r="C29" s="10" t="inlineStr">
        <is>
          <t>ИП330/3-20-А1</t>
        </is>
      </c>
      <c r="D29" s="11" t="inlineStr">
        <is>
          <t>000903</t>
        </is>
      </c>
      <c r="E29" s="15" t="n">
        <v>2011</v>
      </c>
      <c r="F29" s="33" t="n"/>
      <c r="G29" s="33" t="n"/>
      <c r="H29" s="26" t="inlineStr">
        <is>
          <t>(BTF504)</t>
        </is>
      </c>
      <c r="I29" s="15" t="inlineStr">
        <is>
          <t>ГПА 62 БПТГ</t>
        </is>
      </c>
      <c r="J29" s="15" t="inlineStr">
        <is>
          <t>АСУ,А и ТМ (КЦ № 6)</t>
        </is>
      </c>
      <c r="K29" s="15" t="n">
        <v>2012</v>
      </c>
      <c r="L29" s="33" t="n"/>
      <c r="M29" s="33" t="n"/>
      <c r="N29" s="33" t="n"/>
    </row>
    <row r="30">
      <c r="A30" s="15">
        <f>IF(B30&lt;&gt;"", COUNTA($B$2:B30), "")</f>
        <v/>
      </c>
      <c r="B30" s="16" t="inlineStr">
        <is>
          <t>Термометр сопротивления</t>
        </is>
      </c>
      <c r="C30" s="14" t="inlineStr">
        <is>
          <t>ТСПУ-Л  22322 УХЛ3.1</t>
        </is>
      </c>
      <c r="D30" s="10" t="inlineStr">
        <is>
          <t>4</t>
        </is>
      </c>
      <c r="E30" s="15" t="n">
        <v>2011</v>
      </c>
      <c r="F30" s="17" t="inlineStr">
        <is>
          <t>-60…100 °С</t>
        </is>
      </c>
      <c r="G30" s="14" t="inlineStr">
        <is>
          <t>±0,5 %</t>
        </is>
      </c>
      <c r="H30" s="15" t="inlineStr">
        <is>
          <t>Т нагретого воздуха</t>
        </is>
      </c>
      <c r="I30" s="15" t="inlineStr">
        <is>
          <t>ГПА 62 АВГМ</t>
        </is>
      </c>
      <c r="J30" s="15" t="inlineStr">
        <is>
          <t>АСУ,А и ТМ (КЦ № 6)</t>
        </is>
      </c>
      <c r="K30" s="15" t="n">
        <v>2012</v>
      </c>
      <c r="L30" s="14" t="n">
        <v>24</v>
      </c>
      <c r="M30" s="3" t="n"/>
      <c r="N30" s="70" t="n"/>
    </row>
    <row r="31">
      <c r="A31" s="15">
        <f>IF(B31&lt;&gt;"", COUNTA($B$2:B31), "")</f>
        <v/>
      </c>
      <c r="B31" s="16" t="inlineStr">
        <is>
          <t>Термометр сопротивления</t>
        </is>
      </c>
      <c r="C31" s="14" t="inlineStr">
        <is>
          <t>ТСПУ-Л  22322 УХЛ3.1</t>
        </is>
      </c>
      <c r="D31" s="14" t="n">
        <v>38</v>
      </c>
      <c r="E31" s="15" t="n">
        <v>2011</v>
      </c>
      <c r="F31" s="17" t="inlineStr">
        <is>
          <t>-60…100 °С</t>
        </is>
      </c>
      <c r="G31" s="14" t="inlineStr">
        <is>
          <t>±0,5 %</t>
        </is>
      </c>
      <c r="H31" s="15" t="inlineStr">
        <is>
          <t>Тг на газовом счетчике</t>
        </is>
      </c>
      <c r="I31" s="15" t="inlineStr">
        <is>
          <t>ГПА 62 АВГМ</t>
        </is>
      </c>
      <c r="J31" s="15" t="inlineStr">
        <is>
          <t>АСУ,А и ТМ (КЦ № 6)</t>
        </is>
      </c>
      <c r="K31" s="15" t="n">
        <v>2012</v>
      </c>
      <c r="L31" s="14" t="n">
        <v>24</v>
      </c>
      <c r="M31" s="3" t="n"/>
      <c r="N31" s="70" t="n"/>
    </row>
    <row r="32">
      <c r="A32" s="15">
        <f>IF(B32&lt;&gt;"", COUNTA($B$2:B32), "")</f>
        <v/>
      </c>
      <c r="B32" s="16" t="inlineStr">
        <is>
          <t>Термометр сопротивления</t>
        </is>
      </c>
      <c r="C32" s="14" t="inlineStr">
        <is>
          <t>ТСПУ-Л  22322 УХЛ3.1</t>
        </is>
      </c>
      <c r="D32" s="14" t="n">
        <v>25</v>
      </c>
      <c r="E32" s="15" t="n">
        <v>2011</v>
      </c>
      <c r="F32" s="17" t="inlineStr">
        <is>
          <t>-60…350 °С</t>
        </is>
      </c>
      <c r="G32" s="14" t="inlineStr">
        <is>
          <t>±0,5 %</t>
        </is>
      </c>
      <c r="H32" s="15" t="inlineStr">
        <is>
          <t>Т теплообменника 1</t>
        </is>
      </c>
      <c r="I32" s="15" t="inlineStr">
        <is>
          <t>ГПА 62 АВГМ</t>
        </is>
      </c>
      <c r="J32" s="15" t="inlineStr">
        <is>
          <t>АСУ,А и ТМ (КЦ № 6)</t>
        </is>
      </c>
      <c r="K32" s="15" t="n">
        <v>2012</v>
      </c>
      <c r="L32" s="14" t="n">
        <v>24</v>
      </c>
      <c r="M32" s="3" t="n"/>
      <c r="N32" s="70" t="n"/>
    </row>
    <row r="33">
      <c r="A33" s="15">
        <f>IF(B33&lt;&gt;"", COUNTA($B$2:B33), "")</f>
        <v/>
      </c>
      <c r="B33" s="16" t="inlineStr">
        <is>
          <t>Термометр сопротивления</t>
        </is>
      </c>
      <c r="C33" s="14" t="inlineStr">
        <is>
          <t>ТСПУ-Л  22322 УХЛ3.1</t>
        </is>
      </c>
      <c r="D33" s="14" t="n">
        <v>29</v>
      </c>
      <c r="E33" s="15" t="n">
        <v>2011</v>
      </c>
      <c r="F33" s="17" t="inlineStr">
        <is>
          <t>-60…350 °С</t>
        </is>
      </c>
      <c r="G33" s="14" t="inlineStr">
        <is>
          <t>±0,5 %</t>
        </is>
      </c>
      <c r="H33" s="15" t="inlineStr">
        <is>
          <t>Т теплообменника 2</t>
        </is>
      </c>
      <c r="I33" s="15" t="inlineStr">
        <is>
          <t>ГПА 62 АВГМ</t>
        </is>
      </c>
      <c r="J33" s="15" t="inlineStr">
        <is>
          <t>АСУ,А и ТМ (КЦ № 6)</t>
        </is>
      </c>
      <c r="K33" s="15" t="n">
        <v>2012</v>
      </c>
      <c r="L33" s="14" t="n">
        <v>24</v>
      </c>
      <c r="M33" s="3" t="n"/>
      <c r="N33" s="70" t="n"/>
    </row>
    <row r="34">
      <c r="A34" s="15">
        <f>IF(B34&lt;&gt;"", COUNTA($B$2:B34), "")</f>
        <v/>
      </c>
      <c r="B34" s="16" t="inlineStr">
        <is>
          <t>Термометр сопротивления</t>
        </is>
      </c>
      <c r="C34" s="14" t="inlineStr">
        <is>
          <t>ТСПУ-Л  22322 УХЛ3.1</t>
        </is>
      </c>
      <c r="D34" s="14" t="n">
        <v>13</v>
      </c>
      <c r="E34" s="15" t="n">
        <v>2011</v>
      </c>
      <c r="F34" s="17" t="inlineStr">
        <is>
          <t>-60…100 °С</t>
        </is>
      </c>
      <c r="G34" s="14" t="inlineStr">
        <is>
          <t>±0,5 %</t>
        </is>
      </c>
      <c r="H34" s="15" t="inlineStr">
        <is>
          <t>Тг на входе</t>
        </is>
      </c>
      <c r="I34" s="15" t="inlineStr">
        <is>
          <t>ГПА 62 АВГМ</t>
        </is>
      </c>
      <c r="J34" s="15" t="inlineStr">
        <is>
          <t>АСУ,А и ТМ (КЦ № 6)</t>
        </is>
      </c>
      <c r="K34" s="15" t="n">
        <v>2012</v>
      </c>
      <c r="L34" s="14" t="n">
        <v>24</v>
      </c>
      <c r="M34" s="3" t="n"/>
      <c r="N34" s="70" t="n"/>
    </row>
    <row r="35">
      <c r="A35" s="15">
        <f>IF(B35&lt;&gt;"", COUNTA($B$2:B35), "")</f>
        <v/>
      </c>
      <c r="B35" s="16" t="inlineStr">
        <is>
          <t>Термометр сопротивления</t>
        </is>
      </c>
      <c r="C35" s="14" t="inlineStr">
        <is>
          <t>ТСПУ-Л  22322 УХЛ3.1</t>
        </is>
      </c>
      <c r="D35" s="14" t="n">
        <v>35</v>
      </c>
      <c r="E35" s="15" t="n">
        <v>2011</v>
      </c>
      <c r="F35" s="17" t="inlineStr">
        <is>
          <t>-60…100 °С</t>
        </is>
      </c>
      <c r="G35" s="14" t="inlineStr">
        <is>
          <t>±0,5 %</t>
        </is>
      </c>
      <c r="H35" s="15" t="inlineStr">
        <is>
          <t>Тв в секции обслуживания</t>
        </is>
      </c>
      <c r="I35" s="15" t="inlineStr">
        <is>
          <t>ГПА 62 АВГМ</t>
        </is>
      </c>
      <c r="J35" s="15" t="inlineStr">
        <is>
          <t>АСУ,А и ТМ (КЦ № 6)</t>
        </is>
      </c>
      <c r="K35" s="15" t="n">
        <v>2012</v>
      </c>
      <c r="L35" s="14" t="n">
        <v>24</v>
      </c>
      <c r="M35" s="3" t="n"/>
      <c r="N35" s="70" t="n"/>
    </row>
    <row r="36">
      <c r="A36" s="15">
        <f>IF(B36&lt;&gt;"", COUNTA($B$2:B36), "")</f>
        <v/>
      </c>
      <c r="B36" s="280" t="inlineStr">
        <is>
          <t>Манометр технический</t>
        </is>
      </c>
      <c r="C36" s="26" t="inlineStr">
        <is>
          <t>МП4-УУ2</t>
        </is>
      </c>
      <c r="D36" s="26" t="n">
        <v>15578</v>
      </c>
      <c r="E36" s="10" t="n">
        <v>2010</v>
      </c>
      <c r="F36" s="26" t="inlineStr">
        <is>
          <t>0…0,6 кгс/см2</t>
        </is>
      </c>
      <c r="G36" s="26" t="n">
        <v>1.5</v>
      </c>
      <c r="H36" s="26" t="inlineStr">
        <is>
          <t>Р газа после счетчика АВГМ</t>
        </is>
      </c>
      <c r="I36" s="8" t="inlineStr">
        <is>
          <t>ГПА 62 АВГМ</t>
        </is>
      </c>
      <c r="J36" s="15" t="inlineStr">
        <is>
          <t>АСУ,А и ТМ (КЦ № 6)</t>
        </is>
      </c>
      <c r="K36" s="15" t="n">
        <v>2015</v>
      </c>
      <c r="L36" s="15" t="n">
        <v>12</v>
      </c>
      <c r="M36" s="3" t="inlineStr">
        <is>
          <t>1К26</t>
        </is>
      </c>
      <c r="N36" s="70" t="inlineStr">
        <is>
          <t>К</t>
        </is>
      </c>
    </row>
    <row r="37">
      <c r="A37" s="15">
        <f>IF(B37&lt;&gt;"", COUNTA($B$2:B37), "")</f>
        <v/>
      </c>
      <c r="B37" s="280" t="inlineStr">
        <is>
          <t>Манометр технический</t>
        </is>
      </c>
      <c r="C37" s="26" t="inlineStr">
        <is>
          <t>ДМ8008-ВУ-У2</t>
        </is>
      </c>
      <c r="D37" s="26" t="n">
        <v>15158</v>
      </c>
      <c r="E37" s="10" t="n">
        <v>2010</v>
      </c>
      <c r="F37" s="26" t="inlineStr">
        <is>
          <t>0…6 кгс/см2</t>
        </is>
      </c>
      <c r="G37" s="26" t="n">
        <v>1.5</v>
      </c>
      <c r="H37" s="26" t="inlineStr">
        <is>
          <t>Р газа на входе АВГМ</t>
        </is>
      </c>
      <c r="I37" s="8" t="inlineStr">
        <is>
          <t>ГПА 62 АВГМ</t>
        </is>
      </c>
      <c r="J37" s="15" t="inlineStr">
        <is>
          <t>АСУ,А и ТМ (КЦ № 6)</t>
        </is>
      </c>
      <c r="K37" s="15" t="n">
        <v>2012</v>
      </c>
      <c r="L37" s="15" t="n">
        <v>12</v>
      </c>
      <c r="M37" s="3" t="inlineStr">
        <is>
          <t>1К26</t>
        </is>
      </c>
      <c r="N37" s="70" t="inlineStr">
        <is>
          <t>К</t>
        </is>
      </c>
    </row>
    <row r="38">
      <c r="A38" s="15">
        <f>IF(B38&lt;&gt;"", COUNTA($B$2:B38), "")</f>
        <v/>
      </c>
      <c r="B38" s="280" t="inlineStr">
        <is>
          <t>Контроль загазованности</t>
        </is>
      </c>
      <c r="C38" s="10" t="inlineStr">
        <is>
          <t>Det-Tronics (PIRECL 21M)</t>
        </is>
      </c>
      <c r="D38" s="10" t="n">
        <v>1105087</v>
      </c>
      <c r="E38" s="15" t="n">
        <v>2011</v>
      </c>
      <c r="F38" s="33" t="n"/>
      <c r="G38" s="33" t="n"/>
      <c r="H38" s="15" t="inlineStr">
        <is>
          <t>QT 701</t>
        </is>
      </c>
      <c r="I38" s="15" t="inlineStr">
        <is>
          <t>ГПА 62 АВГМ</t>
        </is>
      </c>
      <c r="J38" s="15" t="inlineStr">
        <is>
          <t>АСУ,А и ТМ (КЦ № 6)</t>
        </is>
      </c>
      <c r="K38" s="15" t="n">
        <v>2012</v>
      </c>
      <c r="L38" s="14" t="n"/>
      <c r="M38" s="3" t="n"/>
      <c r="N38" s="33" t="n"/>
    </row>
    <row r="39" ht="22.5" customHeight="1" s="151">
      <c r="A39" s="15">
        <f>IF(B39&lt;&gt;"", COUNTA($B$2:B39), "")</f>
        <v/>
      </c>
      <c r="B39" s="280" t="inlineStr">
        <is>
          <t>Извещатель тепловой пожарный</t>
        </is>
      </c>
      <c r="C39" s="10" t="inlineStr">
        <is>
          <t>Fenwal 12-X27121-000</t>
        </is>
      </c>
      <c r="D39" s="10" t="n">
        <v>1921</v>
      </c>
      <c r="E39" s="15" t="n">
        <v>2011</v>
      </c>
      <c r="F39" s="17" t="inlineStr">
        <is>
          <t>-55…150 °С</t>
        </is>
      </c>
      <c r="G39" s="33" t="n"/>
      <c r="H39" s="15" t="inlineStr">
        <is>
          <t>BTK 501</t>
        </is>
      </c>
      <c r="I39" s="15" t="inlineStr">
        <is>
          <t>ГПА 62 АВГМ</t>
        </is>
      </c>
      <c r="J39" s="15" t="inlineStr">
        <is>
          <t>АСУ,А и ТМ (КЦ № 6)</t>
        </is>
      </c>
      <c r="K39" s="15" t="n">
        <v>2012</v>
      </c>
      <c r="L39" s="33" t="n"/>
      <c r="M39" s="33" t="n"/>
      <c r="N39" s="33" t="n"/>
    </row>
    <row r="40" ht="22.5" customHeight="1" s="151">
      <c r="A40" s="15">
        <f>IF(B40&lt;&gt;"", COUNTA($B$2:B40), "")</f>
        <v/>
      </c>
      <c r="B40" s="280" t="inlineStr">
        <is>
          <t>Извещатель тепловой пожарный</t>
        </is>
      </c>
      <c r="C40" s="10" t="inlineStr">
        <is>
          <t>Fenwal 12-X27121-000</t>
        </is>
      </c>
      <c r="D40" s="10" t="n">
        <v>1922</v>
      </c>
      <c r="E40" s="15" t="n">
        <v>2011</v>
      </c>
      <c r="F40" s="17" t="inlineStr">
        <is>
          <t>-55…150 °С</t>
        </is>
      </c>
      <c r="G40" s="33" t="n"/>
      <c r="H40" s="15" t="inlineStr">
        <is>
          <t>BTK 502</t>
        </is>
      </c>
      <c r="I40" s="15" t="inlineStr">
        <is>
          <t>ГПА 62 АВГМ</t>
        </is>
      </c>
      <c r="J40" s="15" t="inlineStr">
        <is>
          <t>АСУ,А и ТМ (КЦ № 6)</t>
        </is>
      </c>
      <c r="K40" s="15" t="n">
        <v>2012</v>
      </c>
      <c r="L40" s="33" t="n"/>
      <c r="M40" s="33" t="n"/>
      <c r="N40" s="33" t="n"/>
    </row>
    <row r="41" ht="22.5" customHeight="1" s="151">
      <c r="A41" s="15">
        <f>IF(B41&lt;&gt;"", COUNTA($B$2:B41), "")</f>
        <v/>
      </c>
      <c r="B41" s="280" t="inlineStr">
        <is>
          <t>Извещатель тепловой пожарный</t>
        </is>
      </c>
      <c r="C41" s="10" t="inlineStr">
        <is>
          <t>Fenwal 12-X27121-000</t>
        </is>
      </c>
      <c r="D41" s="10" t="n">
        <v>1923</v>
      </c>
      <c r="E41" s="15" t="n">
        <v>2011</v>
      </c>
      <c r="F41" s="17" t="inlineStr">
        <is>
          <t>-55…150 °С</t>
        </is>
      </c>
      <c r="G41" s="33" t="n"/>
      <c r="H41" s="15" t="inlineStr">
        <is>
          <t>BTK 503</t>
        </is>
      </c>
      <c r="I41" s="15" t="inlineStr">
        <is>
          <t>ГПА 62 АВГМ</t>
        </is>
      </c>
      <c r="J41" s="15" t="inlineStr">
        <is>
          <t>АСУ,А и ТМ (КЦ № 6)</t>
        </is>
      </c>
      <c r="K41" s="15" t="n">
        <v>2012</v>
      </c>
      <c r="L41" s="33" t="n"/>
      <c r="M41" s="33" t="n"/>
      <c r="N41" s="33" t="n"/>
    </row>
    <row r="42" ht="22.5" customHeight="1" s="151">
      <c r="A42" s="15">
        <f>IF(B42&lt;&gt;"", COUNTA($B$2:B42), "")</f>
        <v/>
      </c>
      <c r="B42" s="73" t="inlineStr">
        <is>
          <t>Преобразователь избыточного давления</t>
        </is>
      </c>
      <c r="C42" s="10" t="inlineStr">
        <is>
          <t>Dunas LGW 3 A2</t>
        </is>
      </c>
      <c r="D42" s="10" t="inlineStr">
        <is>
          <t>CE-0085 AQ0673</t>
        </is>
      </c>
      <c r="E42" s="10" t="n">
        <v>2011</v>
      </c>
      <c r="F42" s="10" t="inlineStr">
        <is>
          <t>0…500 мбар</t>
        </is>
      </c>
      <c r="G42" s="10" t="n"/>
      <c r="H42" s="10" t="inlineStr">
        <is>
          <t>Перепад давления</t>
        </is>
      </c>
      <c r="I42" s="15" t="inlineStr">
        <is>
          <t>ГПА 62 АВГМ</t>
        </is>
      </c>
      <c r="J42" s="15" t="inlineStr">
        <is>
          <t>АСУ,А и ТМ (КЦ № 6)</t>
        </is>
      </c>
      <c r="K42" s="15" t="n">
        <v>2012</v>
      </c>
      <c r="L42" s="47" t="n"/>
      <c r="M42" s="47" t="n"/>
      <c r="N42" s="47" t="n"/>
    </row>
    <row r="43" ht="22.5" customHeight="1" s="151">
      <c r="A43" s="15">
        <f>IF(B43&lt;&gt;"", COUNTA($B$2:B43), "")</f>
        <v/>
      </c>
      <c r="B43" s="73" t="inlineStr">
        <is>
          <t>Преобразователь избыточного давления</t>
        </is>
      </c>
      <c r="C43" s="10" t="inlineStr">
        <is>
          <t>ПРОМА-ИДМ-(В)</t>
        </is>
      </c>
      <c r="D43" s="10" t="inlineStr">
        <is>
          <t>03-742</t>
        </is>
      </c>
      <c r="E43" s="10" t="n">
        <v>2011</v>
      </c>
      <c r="F43" s="10" t="inlineStr">
        <is>
          <t>0…1 кПа</t>
        </is>
      </c>
      <c r="G43" s="10" t="n"/>
      <c r="H43" s="26" t="inlineStr">
        <is>
          <t>Р воздуха на входе (датчик и прибор)</t>
        </is>
      </c>
      <c r="I43" s="15" t="inlineStr">
        <is>
          <t>ГПА 62 АВГМ</t>
        </is>
      </c>
      <c r="J43" s="15" t="inlineStr">
        <is>
          <t>АСУ,А и ТМ (КЦ № 6)</t>
        </is>
      </c>
      <c r="K43" s="15" t="n">
        <v>2012</v>
      </c>
      <c r="L43" s="47" t="n"/>
      <c r="M43" s="47" t="n"/>
      <c r="N43" s="47" t="n"/>
    </row>
    <row r="44" ht="22.5" customHeight="1" s="151">
      <c r="A44" s="15">
        <f>IF(B44&lt;&gt;"", COUNTA($B$2:B44), "")</f>
        <v/>
      </c>
      <c r="B44" s="73" t="inlineStr">
        <is>
          <t>Преобразователь избыточного давления</t>
        </is>
      </c>
      <c r="C44" s="10" t="inlineStr">
        <is>
          <t>ДДМ-03-ДИ</t>
        </is>
      </c>
      <c r="D44" s="10" t="n">
        <v>303055</v>
      </c>
      <c r="E44" s="10" t="n"/>
      <c r="F44" s="10" t="inlineStr">
        <is>
          <t>0…40 кПа</t>
        </is>
      </c>
      <c r="G44" s="10" t="n"/>
      <c r="H44" s="10" t="inlineStr">
        <is>
          <t>Р газа полсе РД</t>
        </is>
      </c>
      <c r="I44" s="15" t="inlineStr">
        <is>
          <t>ГПА 62 АВГМ</t>
        </is>
      </c>
      <c r="J44" s="15" t="inlineStr">
        <is>
          <t>АСУ,А и ТМ (КЦ № 6)</t>
        </is>
      </c>
      <c r="K44" s="15" t="n">
        <v>2012</v>
      </c>
      <c r="L44" s="47" t="n"/>
      <c r="M44" s="47" t="n"/>
      <c r="N44" s="47" t="n"/>
    </row>
    <row r="45">
      <c r="A45" s="15">
        <f>IF(B45&lt;&gt;"", COUNTA($B$2:B45), "")</f>
        <v/>
      </c>
      <c r="B45" s="10" t="inlineStr">
        <is>
          <t>Счетчик газа</t>
        </is>
      </c>
      <c r="C45" s="10" t="inlineStr">
        <is>
          <t>Elster ПГТИ G65</t>
        </is>
      </c>
      <c r="D45" s="10" t="n">
        <v>11024686</v>
      </c>
      <c r="E45" s="10" t="n">
        <v>2011</v>
      </c>
      <c r="F45" s="16" t="inlineStr">
        <is>
          <t>3…100 м3/ч</t>
        </is>
      </c>
      <c r="G45" s="10" t="n"/>
      <c r="H45" s="10" t="inlineStr">
        <is>
          <t>Счетчик газа</t>
        </is>
      </c>
      <c r="I45" s="15" t="inlineStr">
        <is>
          <t>ГПА 62 АВГМ</t>
        </is>
      </c>
      <c r="J45" s="15" t="inlineStr">
        <is>
          <t>АСУ,А и ТМ (КЦ № 6)</t>
        </is>
      </c>
      <c r="K45" s="15" t="n">
        <v>2012</v>
      </c>
      <c r="L45" s="47" t="n"/>
      <c r="M45" s="47" t="n"/>
      <c r="N45" s="47" t="n"/>
    </row>
    <row r="46">
      <c r="A46" s="15">
        <f>IF(B46&lt;&gt;"", COUNTA($B$2:B46), "")</f>
        <v/>
      </c>
      <c r="B46" s="280" t="inlineStr">
        <is>
          <t>Манометр технический</t>
        </is>
      </c>
      <c r="C46" s="10" t="inlineStr">
        <is>
          <t>МП3-УУХЛ1</t>
        </is>
      </c>
      <c r="D46" s="11" t="inlineStr">
        <is>
          <t>15509</t>
        </is>
      </c>
      <c r="E46" s="10" t="n">
        <v>2010</v>
      </c>
      <c r="F46" s="10" t="inlineStr">
        <is>
          <t>0…160 кгс/см2</t>
        </is>
      </c>
      <c r="G46" s="10" t="n">
        <v>1.5</v>
      </c>
      <c r="H46" s="26" t="inlineStr">
        <is>
          <t>Р газа 1 секции</t>
        </is>
      </c>
      <c r="I46" s="8" t="inlineStr">
        <is>
          <t>ГПА 62 АВОГ</t>
        </is>
      </c>
      <c r="J46" s="15" t="inlineStr">
        <is>
          <t>АСУ,А и ТМ (КЦ № 6)</t>
        </is>
      </c>
      <c r="K46" s="15" t="n">
        <v>2012</v>
      </c>
      <c r="L46" s="15" t="n">
        <v>12</v>
      </c>
      <c r="M46" s="3" t="inlineStr">
        <is>
          <t>1К26</t>
        </is>
      </c>
      <c r="N46" s="70" t="inlineStr">
        <is>
          <t>К</t>
        </is>
      </c>
    </row>
    <row r="47">
      <c r="A47" s="15">
        <f>IF(B47&lt;&gt;"", COUNTA($B$2:B47), "")</f>
        <v/>
      </c>
      <c r="B47" s="280" t="inlineStr">
        <is>
          <t>Манометр технический</t>
        </is>
      </c>
      <c r="C47" s="10" t="inlineStr">
        <is>
          <t>МП3-УУХЛ1</t>
        </is>
      </c>
      <c r="D47" s="11" t="inlineStr">
        <is>
          <t>15227</t>
        </is>
      </c>
      <c r="E47" s="10" t="n">
        <v>2010</v>
      </c>
      <c r="F47" s="10" t="inlineStr">
        <is>
          <t>0…160 кгс/см3</t>
        </is>
      </c>
      <c r="G47" s="10" t="n">
        <v>1.5</v>
      </c>
      <c r="H47" s="26" t="inlineStr">
        <is>
          <t>Р газа 2 секции</t>
        </is>
      </c>
      <c r="I47" s="8" t="inlineStr">
        <is>
          <t>ГПА 62 АВОГ</t>
        </is>
      </c>
      <c r="J47" s="15" t="inlineStr">
        <is>
          <t>АСУ,А и ТМ (КЦ № 6)</t>
        </is>
      </c>
      <c r="K47" s="15" t="n">
        <v>2012</v>
      </c>
      <c r="L47" s="15" t="n">
        <v>12</v>
      </c>
      <c r="M47" s="3" t="inlineStr">
        <is>
          <t>1К26</t>
        </is>
      </c>
      <c r="N47" s="70" t="inlineStr">
        <is>
          <t>К</t>
        </is>
      </c>
    </row>
    <row r="48">
      <c r="A48" s="15">
        <f>IF(B48&lt;&gt;"", COUNTA($B$2:B48), "")</f>
        <v/>
      </c>
      <c r="B48" s="280" t="inlineStr">
        <is>
          <t>Манометр технический</t>
        </is>
      </c>
      <c r="C48" s="10" t="inlineStr">
        <is>
          <t>МП3-УУХЛ1</t>
        </is>
      </c>
      <c r="D48" s="11" t="inlineStr">
        <is>
          <t>15663</t>
        </is>
      </c>
      <c r="E48" s="10" t="n">
        <v>2010</v>
      </c>
      <c r="F48" s="10" t="inlineStr">
        <is>
          <t>0…160 кгс/см4</t>
        </is>
      </c>
      <c r="G48" s="10" t="n">
        <v>1.5</v>
      </c>
      <c r="H48" s="26" t="inlineStr">
        <is>
          <t>Р газа 3 секции</t>
        </is>
      </c>
      <c r="I48" s="8" t="inlineStr">
        <is>
          <t>ГПА 62 АВОГ</t>
        </is>
      </c>
      <c r="J48" s="15" t="inlineStr">
        <is>
          <t>АСУ,А и ТМ (КЦ № 6)</t>
        </is>
      </c>
      <c r="K48" s="15" t="n">
        <v>2012</v>
      </c>
      <c r="L48" s="15" t="n">
        <v>12</v>
      </c>
      <c r="M48" s="3" t="inlineStr">
        <is>
          <t>1К26</t>
        </is>
      </c>
      <c r="N48" s="70" t="inlineStr">
        <is>
          <t>К</t>
        </is>
      </c>
    </row>
    <row r="49">
      <c r="A49" s="15">
        <f>IF(B49&lt;&gt;"", COUNTA($B$2:B49), "")</f>
        <v/>
      </c>
      <c r="B49" s="280" t="inlineStr">
        <is>
          <t>Манометр технический</t>
        </is>
      </c>
      <c r="C49" s="10" t="inlineStr">
        <is>
          <t>МП3-УУХЛ1</t>
        </is>
      </c>
      <c r="D49" s="11" t="inlineStr">
        <is>
          <t>15664</t>
        </is>
      </c>
      <c r="E49" s="10" t="n">
        <v>2010</v>
      </c>
      <c r="F49" s="10" t="inlineStr">
        <is>
          <t>0…160 кгс/см5</t>
        </is>
      </c>
      <c r="G49" s="10" t="n">
        <v>1.5</v>
      </c>
      <c r="H49" s="26" t="inlineStr">
        <is>
          <t>Р газа 4 секции</t>
        </is>
      </c>
      <c r="I49" s="8" t="inlineStr">
        <is>
          <t>ГПА 62 АВОГ</t>
        </is>
      </c>
      <c r="J49" s="15" t="inlineStr">
        <is>
          <t>АСУ,А и ТМ (КЦ № 6)</t>
        </is>
      </c>
      <c r="K49" s="15" t="n">
        <v>2012</v>
      </c>
      <c r="L49" s="15" t="n">
        <v>12</v>
      </c>
      <c r="M49" s="3" t="inlineStr">
        <is>
          <t>1К26</t>
        </is>
      </c>
      <c r="N49" s="70" t="inlineStr">
        <is>
          <t>К</t>
        </is>
      </c>
    </row>
    <row r="50">
      <c r="A50" s="15">
        <f>IF(B50&lt;&gt;"", COUNTA($B$2:B50), "")</f>
        <v/>
      </c>
      <c r="B50" s="280" t="inlineStr">
        <is>
          <t>Манометр технический</t>
        </is>
      </c>
      <c r="C50" s="10" t="inlineStr">
        <is>
          <t>МП3-УУХЛ1</t>
        </is>
      </c>
      <c r="D50" s="11" t="inlineStr">
        <is>
          <t>15257</t>
        </is>
      </c>
      <c r="E50" s="10" t="n">
        <v>2010</v>
      </c>
      <c r="F50" s="10" t="inlineStr">
        <is>
          <t>0…160 кгс/см6</t>
        </is>
      </c>
      <c r="G50" s="10" t="n">
        <v>1.5</v>
      </c>
      <c r="H50" s="26" t="inlineStr">
        <is>
          <t>Р газа 5 секции</t>
        </is>
      </c>
      <c r="I50" s="8" t="inlineStr">
        <is>
          <t>ГПА 62 АВОГ</t>
        </is>
      </c>
      <c r="J50" s="15" t="inlineStr">
        <is>
          <t>АСУ,А и ТМ (КЦ № 6)</t>
        </is>
      </c>
      <c r="K50" s="15" t="n">
        <v>2012</v>
      </c>
      <c r="L50" s="15" t="n">
        <v>12</v>
      </c>
      <c r="M50" s="3" t="inlineStr">
        <is>
          <t>1К26</t>
        </is>
      </c>
      <c r="N50" s="70" t="inlineStr">
        <is>
          <t>К</t>
        </is>
      </c>
    </row>
    <row r="51">
      <c r="A51" s="15">
        <f>IF(B51&lt;&gt;"", COUNTA($B$2:B51), "")</f>
        <v/>
      </c>
      <c r="B51" s="280" t="inlineStr">
        <is>
          <t>Манометр технический</t>
        </is>
      </c>
      <c r="C51" s="10" t="inlineStr">
        <is>
          <t>МП3-УУХЛ1</t>
        </is>
      </c>
      <c r="D51" s="11" t="inlineStr">
        <is>
          <t>15266</t>
        </is>
      </c>
      <c r="E51" s="10" t="n">
        <v>2010</v>
      </c>
      <c r="F51" s="10" t="inlineStr">
        <is>
          <t>0…160 кгс/см7</t>
        </is>
      </c>
      <c r="G51" s="10" t="n">
        <v>1.5</v>
      </c>
      <c r="H51" s="26" t="inlineStr">
        <is>
          <t>Р газа 6 секции</t>
        </is>
      </c>
      <c r="I51" s="8" t="inlineStr">
        <is>
          <t>ГПА 62 АВОГ</t>
        </is>
      </c>
      <c r="J51" s="15" t="inlineStr">
        <is>
          <t>АСУ,А и ТМ (КЦ № 6)</t>
        </is>
      </c>
      <c r="K51" s="15" t="n">
        <v>2012</v>
      </c>
      <c r="L51" s="15" t="n">
        <v>12</v>
      </c>
      <c r="M51" s="3" t="inlineStr">
        <is>
          <t>1К26</t>
        </is>
      </c>
      <c r="N51" s="70" t="inlineStr">
        <is>
          <t>К</t>
        </is>
      </c>
    </row>
    <row r="52">
      <c r="A52" s="15">
        <f>IF(B52&lt;&gt;"", COUNTA($B$2:B52), "")</f>
        <v/>
      </c>
      <c r="B52" s="280" t="inlineStr">
        <is>
          <t>Манометр технический</t>
        </is>
      </c>
      <c r="C52" s="10" t="inlineStr">
        <is>
          <t>МП3-УУХЛ1</t>
        </is>
      </c>
      <c r="D52" s="11" t="inlineStr">
        <is>
          <t>7000151</t>
        </is>
      </c>
      <c r="E52" s="10" t="n">
        <v>2010</v>
      </c>
      <c r="F52" s="10" t="inlineStr">
        <is>
          <t>0…160 кгс/см8</t>
        </is>
      </c>
      <c r="G52" s="10" t="n">
        <v>1</v>
      </c>
      <c r="H52" s="26" t="inlineStr">
        <is>
          <t>Р газа 7 секции</t>
        </is>
      </c>
      <c r="I52" s="8" t="inlineStr">
        <is>
          <t>ГПА 62 АВОГ</t>
        </is>
      </c>
      <c r="J52" s="15" t="inlineStr">
        <is>
          <t>АСУ,А и ТМ (КЦ № 6)</t>
        </is>
      </c>
      <c r="K52" s="15" t="n">
        <v>2012</v>
      </c>
      <c r="L52" s="15" t="n">
        <v>12</v>
      </c>
      <c r="M52" s="3" t="inlineStr">
        <is>
          <t>1К26</t>
        </is>
      </c>
      <c r="N52" s="70" t="inlineStr">
        <is>
          <t>К</t>
        </is>
      </c>
    </row>
    <row r="53">
      <c r="A53" s="15">
        <f>IF(B53&lt;&gt;"", COUNTA($B$2:B53), "")</f>
        <v/>
      </c>
      <c r="B53" s="280" t="inlineStr">
        <is>
          <t>Манометр технический</t>
        </is>
      </c>
      <c r="C53" s="10" t="inlineStr">
        <is>
          <t>МП3-УУХЛ1</t>
        </is>
      </c>
      <c r="D53" s="11" t="inlineStr">
        <is>
          <t>7000155</t>
        </is>
      </c>
      <c r="E53" s="10" t="n">
        <v>2010</v>
      </c>
      <c r="F53" s="10" t="inlineStr">
        <is>
          <t>0…160 кгс/см9</t>
        </is>
      </c>
      <c r="G53" s="10" t="n">
        <v>1</v>
      </c>
      <c r="H53" s="26" t="inlineStr">
        <is>
          <t>Р газа 8 секции</t>
        </is>
      </c>
      <c r="I53" s="8" t="inlineStr">
        <is>
          <t>ГПА 62 АВОГ</t>
        </is>
      </c>
      <c r="J53" s="15" t="inlineStr">
        <is>
          <t>АСУ,А и ТМ (КЦ № 6)</t>
        </is>
      </c>
      <c r="K53" s="15" t="n">
        <v>2012</v>
      </c>
      <c r="L53" s="15" t="n">
        <v>12</v>
      </c>
      <c r="M53" s="3" t="inlineStr">
        <is>
          <t>1К26</t>
        </is>
      </c>
      <c r="N53" s="70" t="inlineStr">
        <is>
          <t>К</t>
        </is>
      </c>
    </row>
    <row r="54">
      <c r="A54" s="15">
        <f>IF(B54&lt;&gt;"", COUNTA($B$2:B54), "")</f>
        <v/>
      </c>
      <c r="B54" s="14" t="inlineStr">
        <is>
          <t>Термометр биметаллический</t>
        </is>
      </c>
      <c r="C54" s="10" t="inlineStr">
        <is>
          <t>ТБф</t>
        </is>
      </c>
      <c r="D54" s="11" t="inlineStr">
        <is>
          <t>072185</t>
        </is>
      </c>
      <c r="E54" s="10" t="n">
        <v>2018</v>
      </c>
      <c r="F54" s="10" t="inlineStr">
        <is>
          <t>­50…100 °C</t>
        </is>
      </c>
      <c r="G54" s="10" t="n">
        <v>1.5</v>
      </c>
      <c r="H54" s="26" t="inlineStr">
        <is>
          <t>Тг на выходе 1 секции АВО</t>
        </is>
      </c>
      <c r="I54" s="8" t="inlineStr">
        <is>
          <t>ГПА 62 АВОГ</t>
        </is>
      </c>
      <c r="J54" s="15" t="inlineStr">
        <is>
          <t>АСУ,А и ТМ (КЦ № 6)</t>
        </is>
      </c>
      <c r="K54" s="15" t="n">
        <v>2019</v>
      </c>
      <c r="L54" s="15" t="n">
        <v>24</v>
      </c>
      <c r="M54" s="3" t="inlineStr">
        <is>
          <t>3К26</t>
        </is>
      </c>
      <c r="N54" s="70" t="inlineStr">
        <is>
          <t>К</t>
        </is>
      </c>
    </row>
    <row r="55">
      <c r="A55" s="15">
        <f>IF(B55&lt;&gt;"", COUNTA($B$2:B55), "")</f>
        <v/>
      </c>
      <c r="B55" s="14" t="inlineStr">
        <is>
          <t>Термометр биметаллический</t>
        </is>
      </c>
      <c r="C55" s="10" t="inlineStr">
        <is>
          <t>ТБф</t>
        </is>
      </c>
      <c r="D55" s="11" t="inlineStr">
        <is>
          <t>072186</t>
        </is>
      </c>
      <c r="E55" s="10" t="n">
        <v>2018</v>
      </c>
      <c r="F55" s="10" t="inlineStr">
        <is>
          <t>­50…100 °C</t>
        </is>
      </c>
      <c r="G55" s="10" t="n">
        <v>1.5</v>
      </c>
      <c r="H55" s="26" t="inlineStr">
        <is>
          <t>Тг на выходе 2 секции АВО</t>
        </is>
      </c>
      <c r="I55" s="8" t="inlineStr">
        <is>
          <t>ГПА 62 АВОГ</t>
        </is>
      </c>
      <c r="J55" s="15" t="inlineStr">
        <is>
          <t>АСУ,А и ТМ (КЦ № 6)</t>
        </is>
      </c>
      <c r="K55" s="15" t="n">
        <v>2019</v>
      </c>
      <c r="L55" s="15" t="n">
        <v>24</v>
      </c>
      <c r="M55" s="3" t="inlineStr">
        <is>
          <t>3К26</t>
        </is>
      </c>
      <c r="N55" s="70" t="inlineStr">
        <is>
          <t>К</t>
        </is>
      </c>
    </row>
    <row r="56">
      <c r="A56" s="15">
        <f>IF(B56&lt;&gt;"", COUNTA($B$2:B56), "")</f>
        <v/>
      </c>
      <c r="B56" s="14" t="inlineStr">
        <is>
          <t>Термометр биметаллический</t>
        </is>
      </c>
      <c r="C56" s="10" t="inlineStr">
        <is>
          <t>ТБ-2 УХЛ2</t>
        </is>
      </c>
      <c r="D56" s="11" t="inlineStr">
        <is>
          <t>738</t>
        </is>
      </c>
      <c r="E56" s="10" t="n">
        <v>2018</v>
      </c>
      <c r="F56" s="10" t="inlineStr">
        <is>
          <t>­50…150 °C</t>
        </is>
      </c>
      <c r="G56" s="10" t="n">
        <v>1.5</v>
      </c>
      <c r="H56" s="26" t="inlineStr">
        <is>
          <t>Тг на выходе 3 секции АВО</t>
        </is>
      </c>
      <c r="I56" s="8" t="inlineStr">
        <is>
          <t>ГПА 62 АВОГ</t>
        </is>
      </c>
      <c r="J56" s="15" t="inlineStr">
        <is>
          <t>АСУ,А и ТМ (КЦ № 6)</t>
        </is>
      </c>
      <c r="K56" s="15" t="n">
        <v>2019</v>
      </c>
      <c r="L56" s="15" t="n">
        <v>24</v>
      </c>
      <c r="M56" s="3" t="inlineStr">
        <is>
          <t>3К26</t>
        </is>
      </c>
      <c r="N56" s="70" t="inlineStr">
        <is>
          <t>К</t>
        </is>
      </c>
    </row>
    <row r="57">
      <c r="A57" s="15">
        <f>IF(B57&lt;&gt;"", COUNTA($B$2:B57), "")</f>
        <v/>
      </c>
      <c r="B57" s="14" t="inlineStr">
        <is>
          <t>Термометр биметаллический</t>
        </is>
      </c>
      <c r="C57" s="10" t="inlineStr">
        <is>
          <t>ТБф</t>
        </is>
      </c>
      <c r="D57" s="11" t="inlineStr">
        <is>
          <t>072188</t>
        </is>
      </c>
      <c r="E57" s="10" t="n">
        <v>2018</v>
      </c>
      <c r="F57" s="10" t="inlineStr">
        <is>
          <t>­50…100 °C</t>
        </is>
      </c>
      <c r="G57" s="10" t="n">
        <v>1.5</v>
      </c>
      <c r="H57" s="26" t="inlineStr">
        <is>
          <t>Тг на выходе 4 секции АВО</t>
        </is>
      </c>
      <c r="I57" s="8" t="inlineStr">
        <is>
          <t>ГПА 62 АВОГ</t>
        </is>
      </c>
      <c r="J57" s="15" t="inlineStr">
        <is>
          <t>АСУ,А и ТМ (КЦ № 6)</t>
        </is>
      </c>
      <c r="K57" s="15" t="n">
        <v>2019</v>
      </c>
      <c r="L57" s="15" t="n">
        <v>24</v>
      </c>
      <c r="M57" s="3" t="inlineStr">
        <is>
          <t>3К26</t>
        </is>
      </c>
      <c r="N57" s="70" t="inlineStr">
        <is>
          <t>К</t>
        </is>
      </c>
    </row>
    <row r="58">
      <c r="A58" s="15">
        <f>IF(B58&lt;&gt;"", COUNTA($B$2:B58), "")</f>
        <v/>
      </c>
      <c r="B58" s="14" t="inlineStr">
        <is>
          <t>Термометр биметаллический</t>
        </is>
      </c>
      <c r="C58" s="10" t="inlineStr">
        <is>
          <t>ТБф</t>
        </is>
      </c>
      <c r="D58" s="11" t="inlineStr">
        <is>
          <t>072189</t>
        </is>
      </c>
      <c r="E58" s="10" t="n">
        <v>2018</v>
      </c>
      <c r="F58" s="10" t="inlineStr">
        <is>
          <t>­50…100 °C</t>
        </is>
      </c>
      <c r="G58" s="10" t="n">
        <v>1.5</v>
      </c>
      <c r="H58" s="26" t="inlineStr">
        <is>
          <t>Тг на выходе 5 секции АВО</t>
        </is>
      </c>
      <c r="I58" s="8" t="inlineStr">
        <is>
          <t>ГПА 62 АВОГ</t>
        </is>
      </c>
      <c r="J58" s="15" t="inlineStr">
        <is>
          <t>АСУ,А и ТМ (КЦ № 6)</t>
        </is>
      </c>
      <c r="K58" s="15" t="n">
        <v>2019</v>
      </c>
      <c r="L58" s="15" t="n">
        <v>24</v>
      </c>
      <c r="M58" s="3" t="inlineStr">
        <is>
          <t>3К26</t>
        </is>
      </c>
      <c r="N58" s="70" t="inlineStr">
        <is>
          <t>К</t>
        </is>
      </c>
    </row>
    <row r="59">
      <c r="A59" s="15">
        <f>IF(B59&lt;&gt;"", COUNTA($B$2:B59), "")</f>
        <v/>
      </c>
      <c r="B59" s="14" t="inlineStr">
        <is>
          <t>Термометр биметаллический</t>
        </is>
      </c>
      <c r="C59" s="10" t="inlineStr">
        <is>
          <t>ТБ-2</t>
        </is>
      </c>
      <c r="D59" s="11" t="inlineStr">
        <is>
          <t>5610</t>
        </is>
      </c>
      <c r="E59" s="10" t="n">
        <v>2018</v>
      </c>
      <c r="F59" s="10" t="inlineStr">
        <is>
          <t>­50…100 °C</t>
        </is>
      </c>
      <c r="G59" s="10" t="n">
        <v>1.5</v>
      </c>
      <c r="H59" s="26" t="inlineStr">
        <is>
          <t>Тг на выходе 6 секции АВО</t>
        </is>
      </c>
      <c r="I59" s="8" t="inlineStr">
        <is>
          <t>ГПА 62 АВОГ</t>
        </is>
      </c>
      <c r="J59" s="15" t="inlineStr">
        <is>
          <t>АСУ,А и ТМ (КЦ № 6)</t>
        </is>
      </c>
      <c r="K59" s="15" t="n">
        <v>2019</v>
      </c>
      <c r="L59" s="15" t="n">
        <v>24</v>
      </c>
      <c r="M59" s="3" t="inlineStr">
        <is>
          <t>3К26</t>
        </is>
      </c>
      <c r="N59" s="70" t="inlineStr">
        <is>
          <t>К</t>
        </is>
      </c>
    </row>
    <row r="60">
      <c r="A60" s="15">
        <f>IF(B60&lt;&gt;"", COUNTA($B$2:B60), "")</f>
        <v/>
      </c>
      <c r="B60" s="14" t="inlineStr">
        <is>
          <t>Термометр биметаллический</t>
        </is>
      </c>
      <c r="C60" s="10" t="inlineStr">
        <is>
          <t>ТБф</t>
        </is>
      </c>
      <c r="D60" s="11" t="inlineStr">
        <is>
          <t>072191</t>
        </is>
      </c>
      <c r="E60" s="10" t="n">
        <v>2018</v>
      </c>
      <c r="F60" s="10" t="inlineStr">
        <is>
          <t>­50…100 °C</t>
        </is>
      </c>
      <c r="G60" s="10" t="n">
        <v>1.5</v>
      </c>
      <c r="H60" s="26" t="inlineStr">
        <is>
          <t>Тг на выходе 7 секции АВО</t>
        </is>
      </c>
      <c r="I60" s="8" t="inlineStr">
        <is>
          <t>ГПА 62 АВОГ</t>
        </is>
      </c>
      <c r="J60" s="15" t="inlineStr">
        <is>
          <t>АСУ,А и ТМ (КЦ № 6)</t>
        </is>
      </c>
      <c r="K60" s="15" t="n">
        <v>2019</v>
      </c>
      <c r="L60" s="15" t="n">
        <v>24</v>
      </c>
      <c r="M60" s="3" t="inlineStr">
        <is>
          <t>3К26</t>
        </is>
      </c>
      <c r="N60" s="70" t="inlineStr">
        <is>
          <t>К</t>
        </is>
      </c>
    </row>
    <row r="61">
      <c r="A61" s="15">
        <f>IF(B61&lt;&gt;"", COUNTA($B$2:B61), "")</f>
        <v/>
      </c>
      <c r="B61" s="14" t="inlineStr">
        <is>
          <t>Термометр биметаллический</t>
        </is>
      </c>
      <c r="C61" s="10" t="inlineStr">
        <is>
          <t>ТБф</t>
        </is>
      </c>
      <c r="D61" s="11" t="inlineStr">
        <is>
          <t>072192</t>
        </is>
      </c>
      <c r="E61" s="10" t="n">
        <v>2018</v>
      </c>
      <c r="F61" s="10" t="inlineStr">
        <is>
          <t>­50…100 °C</t>
        </is>
      </c>
      <c r="G61" s="10" t="n">
        <v>1.5</v>
      </c>
      <c r="H61" s="26" t="inlineStr">
        <is>
          <t>Тг на выходе 8 секции АВО</t>
        </is>
      </c>
      <c r="I61" s="8" t="inlineStr">
        <is>
          <t>ГПА 62 АВОГ</t>
        </is>
      </c>
      <c r="J61" s="15" t="inlineStr">
        <is>
          <t>АСУ,А и ТМ (КЦ № 6)</t>
        </is>
      </c>
      <c r="K61" s="15" t="n">
        <v>2019</v>
      </c>
      <c r="L61" s="15" t="n">
        <v>24</v>
      </c>
      <c r="M61" s="3" t="inlineStr">
        <is>
          <t>3К26</t>
        </is>
      </c>
      <c r="N61" s="70" t="inlineStr">
        <is>
          <t>К</t>
        </is>
      </c>
    </row>
    <row r="62">
      <c r="A62" s="15">
        <f>IF(B62&lt;&gt;"", COUNTA($B$2:B62), "")</f>
        <v/>
      </c>
      <c r="B62" s="280" t="inlineStr">
        <is>
          <t>Манометр технический</t>
        </is>
      </c>
      <c r="C62" s="26" t="inlineStr">
        <is>
          <t>МП4-УУ2</t>
        </is>
      </c>
      <c r="D62" s="11" t="inlineStr">
        <is>
          <t>15377</t>
        </is>
      </c>
      <c r="E62" s="10" t="n">
        <v>2010</v>
      </c>
      <c r="F62" s="10" t="inlineStr">
        <is>
          <t>0…160 кгс/см2</t>
        </is>
      </c>
      <c r="G62" s="10" t="n">
        <v>1</v>
      </c>
      <c r="H62" s="26" t="inlineStr">
        <is>
          <t>Р газа на входе АВО</t>
        </is>
      </c>
      <c r="I62" s="8" t="inlineStr">
        <is>
          <t>ГПА 62 АВОГ</t>
        </is>
      </c>
      <c r="J62" s="15" t="inlineStr">
        <is>
          <t>АСУ,А и ТМ (КЦ № 6)</t>
        </is>
      </c>
      <c r="K62" s="15" t="n">
        <v>2012</v>
      </c>
      <c r="L62" s="15" t="n">
        <v>12</v>
      </c>
      <c r="M62" s="3" t="inlineStr">
        <is>
          <t>1К26</t>
        </is>
      </c>
      <c r="N62" s="70" t="inlineStr">
        <is>
          <t>К</t>
        </is>
      </c>
    </row>
    <row r="63">
      <c r="A63" s="15">
        <f>IF(B63&lt;&gt;"", COUNTA($B$2:B63), "")</f>
        <v/>
      </c>
      <c r="B63" s="280" t="inlineStr">
        <is>
          <t>Манометр технический</t>
        </is>
      </c>
      <c r="C63" s="26" t="inlineStr">
        <is>
          <t>МП4-УУ2</t>
        </is>
      </c>
      <c r="D63" s="11" t="inlineStr">
        <is>
          <t>61097</t>
        </is>
      </c>
      <c r="E63" s="10" t="n">
        <v>2010</v>
      </c>
      <c r="F63" s="10" t="inlineStr">
        <is>
          <t>0…160 кгс/см3</t>
        </is>
      </c>
      <c r="G63" s="10" t="n">
        <v>1</v>
      </c>
      <c r="H63" s="26" t="inlineStr">
        <is>
          <t>Р газа на выходе АВО</t>
        </is>
      </c>
      <c r="I63" s="8" t="inlineStr">
        <is>
          <t>ГПА 62 АВОГ</t>
        </is>
      </c>
      <c r="J63" s="15" t="inlineStr">
        <is>
          <t>АСУ,А и ТМ (КЦ № 6)</t>
        </is>
      </c>
      <c r="K63" s="15" t="n">
        <v>2012</v>
      </c>
      <c r="L63" s="15" t="n">
        <v>12</v>
      </c>
      <c r="M63" s="3" t="inlineStr">
        <is>
          <t>1К26</t>
        </is>
      </c>
      <c r="N63" s="70" t="inlineStr">
        <is>
          <t>К</t>
        </is>
      </c>
    </row>
    <row r="64">
      <c r="A64" s="15">
        <f>IF(B64&lt;&gt;"", COUNTA($B$2:B64), "")</f>
        <v/>
      </c>
      <c r="B64" s="280" t="inlineStr">
        <is>
          <t>Манометр технический</t>
        </is>
      </c>
      <c r="C64" s="26" t="inlineStr">
        <is>
          <t>МП4-УУ2</t>
        </is>
      </c>
      <c r="D64" s="26" t="n">
        <v>15302</v>
      </c>
      <c r="E64" s="10" t="n">
        <v>2010</v>
      </c>
      <c r="F64" s="26" t="inlineStr">
        <is>
          <t>0…16 кгс/см2</t>
        </is>
      </c>
      <c r="G64" s="26" t="n">
        <v>1.5</v>
      </c>
      <c r="H64" s="26" t="inlineStr">
        <is>
          <t>Р имп. воздуха кр. 6к</t>
        </is>
      </c>
      <c r="I64" s="8" t="inlineStr">
        <is>
          <t>ГПА 62 АВОГ</t>
        </is>
      </c>
      <c r="J64" s="15" t="inlineStr">
        <is>
          <t>АСУ,А и ТМ (КЦ № 6)</t>
        </is>
      </c>
      <c r="K64" s="15" t="n">
        <v>2012</v>
      </c>
      <c r="L64" s="15" t="n">
        <v>12</v>
      </c>
      <c r="M64" s="3" t="inlineStr">
        <is>
          <t>1К26</t>
        </is>
      </c>
      <c r="N64" s="70" t="inlineStr">
        <is>
          <t>К</t>
        </is>
      </c>
    </row>
    <row r="65" ht="22.5" customHeight="1" s="151">
      <c r="A65" s="15">
        <f>IF(B65&lt;&gt;"", COUNTA($B$2:B65), "")</f>
        <v/>
      </c>
      <c r="B65" s="16" t="inlineStr">
        <is>
          <t>Термометр сопротивления</t>
        </is>
      </c>
      <c r="C65" s="17" t="inlineStr">
        <is>
          <t>ТСП 012.56ОВ 100П/А/4</t>
        </is>
      </c>
      <c r="D65" s="3" t="inlineStr">
        <is>
          <t>8</t>
        </is>
      </c>
      <c r="E65" s="15" t="n">
        <v>2011</v>
      </c>
      <c r="F65" s="17" t="inlineStr">
        <is>
          <t>-60…200 °С</t>
        </is>
      </c>
      <c r="G65" s="17" t="inlineStr">
        <is>
          <t>B</t>
        </is>
      </c>
      <c r="H65" s="3" t="inlineStr">
        <is>
          <t>Температура газа на выходе АВО перед краном 6к</t>
        </is>
      </c>
      <c r="I65" s="8" t="inlineStr">
        <is>
          <t>ГПА 62 АВОГ</t>
        </is>
      </c>
      <c r="J65" s="15" t="inlineStr">
        <is>
          <t>АСУ,А и ТМ (КЦ № 6)</t>
        </is>
      </c>
      <c r="K65" s="15" t="n">
        <v>2012</v>
      </c>
      <c r="L65" s="14" t="n">
        <v>24</v>
      </c>
      <c r="M65" s="3" t="n"/>
      <c r="N65" s="70" t="n"/>
    </row>
    <row r="66" ht="22.5" customHeight="1" s="151">
      <c r="A66" s="15">
        <f>IF(B66&lt;&gt;"", COUNTA($B$2:B66), "")</f>
        <v/>
      </c>
      <c r="B66" s="16" t="inlineStr">
        <is>
          <t>Термометр сопротивления</t>
        </is>
      </c>
      <c r="C66" s="17" t="inlineStr">
        <is>
          <t>ТСП 012.56ОВ 100П/А/4</t>
        </is>
      </c>
      <c r="D66" s="3" t="inlineStr">
        <is>
          <t>2</t>
        </is>
      </c>
      <c r="E66" s="15" t="n">
        <v>2011</v>
      </c>
      <c r="F66" s="17" t="inlineStr">
        <is>
          <t>-60…200 °С</t>
        </is>
      </c>
      <c r="G66" s="17" t="inlineStr">
        <is>
          <t>B</t>
        </is>
      </c>
      <c r="H66" s="3" t="inlineStr">
        <is>
          <t>Температура газа на выходе АВО перед краном 2</t>
        </is>
      </c>
      <c r="I66" s="8" t="inlineStr">
        <is>
          <t>ГПА 62 АВОГ</t>
        </is>
      </c>
      <c r="J66" s="15" t="inlineStr">
        <is>
          <t>АСУ,А и ТМ (КЦ № 6)</t>
        </is>
      </c>
      <c r="K66" s="15" t="n">
        <v>2012</v>
      </c>
      <c r="L66" s="14" t="n">
        <v>24</v>
      </c>
      <c r="M66" s="3" t="n"/>
      <c r="N66" s="70" t="n"/>
    </row>
    <row r="67" ht="22.5" customHeight="1" s="151">
      <c r="A67" s="15">
        <f>IF(B67&lt;&gt;"", COUNTA($B$2:B67), "")</f>
        <v/>
      </c>
      <c r="B67" s="73" t="inlineStr">
        <is>
          <t>Преобразователь избыточного давления</t>
        </is>
      </c>
      <c r="C67" s="15" t="inlineStr">
        <is>
          <t>YOKOGAVA EJX110А-EНS5J-B19DM/KF21/QR</t>
        </is>
      </c>
      <c r="D67" s="15" t="inlineStr">
        <is>
          <t>91M439686.217</t>
        </is>
      </c>
      <c r="E67" s="14" t="n">
        <v>2012</v>
      </c>
      <c r="F67" s="14" t="inlineStr">
        <is>
          <t xml:space="preserve">0…160 кПa </t>
        </is>
      </c>
      <c r="G67" s="20" t="n">
        <v>0.0004</v>
      </c>
      <c r="H67" s="15" t="inlineStr">
        <is>
          <t>Перепад давления на АВО газа</t>
        </is>
      </c>
      <c r="I67" s="8" t="inlineStr">
        <is>
          <t>ГПА 62 АВОГ</t>
        </is>
      </c>
      <c r="J67" s="15" t="inlineStr">
        <is>
          <t>АСУ,А и ТМ (КЦ № 6)</t>
        </is>
      </c>
      <c r="K67" s="15" t="n">
        <v>2012</v>
      </c>
      <c r="L67" s="14" t="n">
        <v>60</v>
      </c>
      <c r="M67" s="3" t="n"/>
      <c r="N67" s="70" t="n"/>
    </row>
    <row r="68" ht="22.5" customHeight="1" s="151">
      <c r="A68" s="15">
        <f>IF(B68&lt;&gt;"", COUNTA($B$2:B68), "")</f>
        <v/>
      </c>
      <c r="B68" s="73" t="inlineStr">
        <is>
          <t>Преобразователь избыточного давления</t>
        </is>
      </c>
      <c r="C68" s="15" t="inlineStr">
        <is>
          <t>YOKOGAVA EJX530А-EDS9N-019DL/KF21/QR</t>
        </is>
      </c>
      <c r="D68" s="15" t="inlineStr">
        <is>
          <t>91M439733.217</t>
        </is>
      </c>
      <c r="E68" s="14" t="n">
        <v>2012</v>
      </c>
      <c r="F68" s="14" t="inlineStr">
        <is>
          <t>0…16 МПа</t>
        </is>
      </c>
      <c r="G68" s="20" t="n">
        <v>0.001</v>
      </c>
      <c r="H68" s="15" t="inlineStr">
        <is>
          <t>Давление газа на выходе АВО (до крана №2)</t>
        </is>
      </c>
      <c r="I68" s="8" t="inlineStr">
        <is>
          <t>ГПА 62 АВОГ</t>
        </is>
      </c>
      <c r="J68" s="15" t="inlineStr">
        <is>
          <t>АСУ,А и ТМ (КЦ № 6)</t>
        </is>
      </c>
      <c r="K68" s="15" t="n">
        <v>2012</v>
      </c>
      <c r="L68" s="14" t="n">
        <v>60</v>
      </c>
      <c r="M68" s="3" t="n"/>
      <c r="N68" s="70" t="n"/>
    </row>
    <row r="69">
      <c r="A69" s="15">
        <f>IF(B69&lt;&gt;"", COUNTA($B$2:B69), "")</f>
        <v/>
      </c>
      <c r="B69" s="16" t="inlineStr">
        <is>
          <t>Термометр сопротивления</t>
        </is>
      </c>
      <c r="C69" s="3" t="inlineStr">
        <is>
          <t>Метран 256-04 100П/В/3</t>
        </is>
      </c>
      <c r="D69" s="3" t="inlineStr">
        <is>
          <t>2023522</t>
        </is>
      </c>
      <c r="E69" s="17" t="inlineStr">
        <is>
          <t>2011</t>
        </is>
      </c>
      <c r="F69" s="17" t="inlineStr">
        <is>
          <t>-50…130 °С</t>
        </is>
      </c>
      <c r="G69" s="17" t="inlineStr">
        <is>
          <t>B</t>
        </is>
      </c>
      <c r="H69" s="3" t="inlineStr">
        <is>
          <t>Температура масла на выходе МОД</t>
        </is>
      </c>
      <c r="I69" s="15" t="inlineStr">
        <is>
          <t>ГПА 62</t>
        </is>
      </c>
      <c r="J69" s="15" t="inlineStr">
        <is>
          <t>АСУ,А и ТМ (КЦ № 6)</t>
        </is>
      </c>
      <c r="K69" s="15" t="n"/>
      <c r="L69" s="26" t="n"/>
      <c r="M69" s="3" t="n"/>
      <c r="N69" s="70" t="n"/>
    </row>
    <row r="70">
      <c r="A70" s="15">
        <f>IF(B70&lt;&gt;"", COUNTA($B$2:B70), "")</f>
        <v/>
      </c>
      <c r="B70" s="16" t="inlineStr">
        <is>
          <t>Термометр сопротивления</t>
        </is>
      </c>
      <c r="C70" s="3" t="inlineStr">
        <is>
          <t>Метран 256-04 100П/В/3</t>
        </is>
      </c>
      <c r="D70" s="3" t="inlineStr">
        <is>
          <t>2023519</t>
        </is>
      </c>
      <c r="E70" s="17" t="inlineStr">
        <is>
          <t>2011</t>
        </is>
      </c>
      <c r="F70" s="17" t="inlineStr">
        <is>
          <t>-50…200 °С</t>
        </is>
      </c>
      <c r="G70" s="17" t="inlineStr">
        <is>
          <t>B</t>
        </is>
      </c>
      <c r="H70" s="3" t="inlineStr">
        <is>
          <t>Температура масла на входе в МОД</t>
        </is>
      </c>
      <c r="I70" s="15" t="inlineStr">
        <is>
          <t>ГПА 62</t>
        </is>
      </c>
      <c r="J70" s="15" t="inlineStr">
        <is>
          <t>АСУ,А и ТМ (КЦ № 6)</t>
        </is>
      </c>
      <c r="K70" s="15" t="n"/>
      <c r="L70" s="26" t="n"/>
      <c r="M70" s="3" t="n"/>
      <c r="N70" s="70" t="n"/>
    </row>
    <row r="71" ht="22.5" customHeight="1" s="151">
      <c r="A71" s="15">
        <f>IF(B71&lt;&gt;"", COUNTA($B$2:B71), "")</f>
        <v/>
      </c>
      <c r="B71" s="16" t="inlineStr">
        <is>
          <t>Термометр сопротивления</t>
        </is>
      </c>
      <c r="C71" s="17" t="inlineStr">
        <is>
          <t>ТСП 011.101</t>
        </is>
      </c>
      <c r="D71" s="3" t="inlineStr">
        <is>
          <t>25</t>
        </is>
      </c>
      <c r="E71" s="15" t="n">
        <v>2011</v>
      </c>
      <c r="F71" s="17" t="inlineStr">
        <is>
          <t>-50…130 °С</t>
        </is>
      </c>
      <c r="G71" s="17" t="inlineStr">
        <is>
          <t>B</t>
        </is>
      </c>
      <c r="H71" s="3" t="inlineStr">
        <is>
          <t>Температура секции МОД</t>
        </is>
      </c>
      <c r="I71" s="15" t="inlineStr">
        <is>
          <t>ГПА 62</t>
        </is>
      </c>
      <c r="J71" s="15" t="inlineStr">
        <is>
          <t>АСУ,А и ТМ (КЦ № 6)</t>
        </is>
      </c>
      <c r="K71" s="15" t="n">
        <v>2012</v>
      </c>
      <c r="L71" s="14" t="n">
        <v>24</v>
      </c>
      <c r="M71" s="3" t="inlineStr">
        <is>
          <t>12.02.2016</t>
        </is>
      </c>
      <c r="N71" s="70" t="n"/>
    </row>
    <row r="72" ht="22.5" customHeight="1" s="151">
      <c r="A72" s="15">
        <f>IF(B72&lt;&gt;"", COUNTA($B$2:B72), "")</f>
        <v/>
      </c>
      <c r="B72" s="16" t="inlineStr">
        <is>
          <t>Термометр сопротивления</t>
        </is>
      </c>
      <c r="C72" s="17" t="inlineStr">
        <is>
          <t>ТСП 012П 100П/В/4</t>
        </is>
      </c>
      <c r="D72" s="15" t="n">
        <v>8</v>
      </c>
      <c r="E72" s="15" t="n">
        <v>2013</v>
      </c>
      <c r="F72" s="17" t="inlineStr">
        <is>
          <t>-50…200 °С</t>
        </is>
      </c>
      <c r="G72" s="17" t="inlineStr">
        <is>
          <t>B</t>
        </is>
      </c>
      <c r="H72" s="17" t="inlineStr">
        <is>
          <t>Температура поверхности электронагревателей МОД</t>
        </is>
      </c>
      <c r="I72" s="15" t="inlineStr">
        <is>
          <t>ГПА 62</t>
        </is>
      </c>
      <c r="J72" s="15" t="inlineStr">
        <is>
          <t>АСУ,А и ТМ (КЦ № 6)</t>
        </is>
      </c>
      <c r="K72" s="15" t="n">
        <v>2012</v>
      </c>
      <c r="L72" s="14" t="n">
        <v>24</v>
      </c>
      <c r="M72" s="3" t="n"/>
      <c r="N72" s="70" t="n"/>
    </row>
    <row r="73" ht="22.5" customHeight="1" s="151">
      <c r="A73" s="15">
        <f>IF(B73&lt;&gt;"", COUNTA($B$2:B73), "")</f>
        <v/>
      </c>
      <c r="B73" s="280" t="inlineStr">
        <is>
          <t>Выключатель давления</t>
        </is>
      </c>
      <c r="C73" s="10" t="inlineStr">
        <is>
          <t>Садко 44 ТЖИУ 406422.004</t>
        </is>
      </c>
      <c r="D73" s="71" t="inlineStr">
        <is>
          <t>нет шильды</t>
        </is>
      </c>
      <c r="E73" s="10" t="n">
        <v>2011</v>
      </c>
      <c r="F73" s="14" t="inlineStr">
        <is>
          <t>0,04…0,15 МПа</t>
        </is>
      </c>
      <c r="G73" s="10" t="n"/>
      <c r="H73" s="15" t="inlineStr">
        <is>
          <t>Перепад давления масла на фильтрах смазки после МОД</t>
        </is>
      </c>
      <c r="I73" s="15" t="inlineStr">
        <is>
          <t>ГПА 62</t>
        </is>
      </c>
      <c r="J73" s="15" t="inlineStr">
        <is>
          <t>АСУ,А и ТМ (КЦ № 6)</t>
        </is>
      </c>
      <c r="K73" s="15" t="n">
        <v>2012</v>
      </c>
      <c r="L73" s="15" t="n"/>
      <c r="M73" s="3" t="n"/>
      <c r="N73" s="70" t="n"/>
    </row>
    <row r="74" ht="22.5" customHeight="1" s="151">
      <c r="A74" s="15">
        <f>IF(B74&lt;&gt;"", COUNTA($B$2:B74), "")</f>
        <v/>
      </c>
      <c r="B74" s="280" t="inlineStr">
        <is>
          <t>Выключатель давления</t>
        </is>
      </c>
      <c r="C74" s="10" t="inlineStr">
        <is>
          <t>Садко 44 ТЖИУ 406422.004</t>
        </is>
      </c>
      <c r="D74" s="71" t="n">
        <v>124778</v>
      </c>
      <c r="E74" s="10" t="n">
        <v>2011</v>
      </c>
      <c r="F74" s="14" t="inlineStr">
        <is>
          <t>0,01…0,04 МПа</t>
        </is>
      </c>
      <c r="G74" s="10" t="n"/>
      <c r="H74" s="15" t="inlineStr">
        <is>
          <t>Перепад давления масла на фильтрах двигателя</t>
        </is>
      </c>
      <c r="I74" s="15" t="inlineStr">
        <is>
          <t>ГПА 62</t>
        </is>
      </c>
      <c r="J74" s="15" t="inlineStr">
        <is>
          <t>АСУ,А и ТМ (КЦ № 6)</t>
        </is>
      </c>
      <c r="K74" s="15" t="n">
        <v>2012</v>
      </c>
      <c r="L74" s="15" t="n"/>
      <c r="M74" s="3" t="n"/>
      <c r="N74" s="70" t="n"/>
    </row>
    <row r="75" ht="22.5" customHeight="1" s="151">
      <c r="A75" s="15">
        <f>IF(B75&lt;&gt;"", COUNTA($B$2:B75), "")</f>
        <v/>
      </c>
      <c r="B75" s="280" t="inlineStr">
        <is>
          <t>Выключатель давления</t>
        </is>
      </c>
      <c r="C75" s="10" t="inlineStr">
        <is>
          <t>Садко 107 ТЖИУ.406423.004</t>
        </is>
      </c>
      <c r="D75" s="71" t="n">
        <v>125020</v>
      </c>
      <c r="E75" s="10" t="n">
        <v>2011</v>
      </c>
      <c r="F75" s="14" t="inlineStr">
        <is>
          <t>0,09…0,5 МПа</t>
        </is>
      </c>
      <c r="G75" s="10" t="n"/>
      <c r="H75" s="15" t="inlineStr">
        <is>
          <t>Давление масла на входе в фильтр  маслобака</t>
        </is>
      </c>
      <c r="I75" s="15" t="inlineStr">
        <is>
          <t>ГПА 62</t>
        </is>
      </c>
      <c r="J75" s="15" t="inlineStr">
        <is>
          <t>АСУ,А и ТМ (КЦ № 6)</t>
        </is>
      </c>
      <c r="K75" s="15" t="n">
        <v>2012</v>
      </c>
      <c r="L75" s="15" t="n"/>
      <c r="M75" s="3" t="n"/>
      <c r="N75" s="70" t="n"/>
    </row>
    <row r="76" ht="22.5" customHeight="1" s="151">
      <c r="A76" s="15">
        <f>IF(B76&lt;&gt;"", COUNTA($B$2:B76), "")</f>
        <v/>
      </c>
      <c r="B76" s="280" t="inlineStr">
        <is>
          <t>Выключатель давления</t>
        </is>
      </c>
      <c r="C76" s="10" t="inlineStr">
        <is>
          <t>Садко 44 ТЖИУ 406422.004</t>
        </is>
      </c>
      <c r="D76" s="71" t="n">
        <v>123243</v>
      </c>
      <c r="E76" s="10" t="n">
        <v>2011</v>
      </c>
      <c r="F76" s="14" t="inlineStr">
        <is>
          <t>0,04…0,15 МПа</t>
        </is>
      </c>
      <c r="G76" s="10" t="n"/>
      <c r="H76" s="15" t="inlineStr">
        <is>
          <t>Перепад давления запирающего воздуха на фильтре</t>
        </is>
      </c>
      <c r="I76" s="15" t="inlineStr">
        <is>
          <t>ГПА 62</t>
        </is>
      </c>
      <c r="J76" s="15" t="inlineStr">
        <is>
          <t>АСУ,А и ТМ (КЦ № 6)</t>
        </is>
      </c>
      <c r="K76" s="15" t="n">
        <v>2012</v>
      </c>
      <c r="L76" s="15" t="n"/>
      <c r="M76" s="3" t="n"/>
      <c r="N76" s="70" t="n"/>
    </row>
    <row r="77">
      <c r="A77" s="15">
        <f>IF(B77&lt;&gt;"", COUNTA($B$2:B77), "")</f>
        <v/>
      </c>
      <c r="B77" s="280" t="inlineStr">
        <is>
          <t>Выключатель давления</t>
        </is>
      </c>
      <c r="C77" s="10" t="inlineStr">
        <is>
          <t>Садко 107 ТЖИУ.406423.004</t>
        </is>
      </c>
      <c r="D77" s="71" t="n">
        <v>122940</v>
      </c>
      <c r="E77" s="10" t="n">
        <v>2011</v>
      </c>
      <c r="F77" s="14" t="inlineStr">
        <is>
          <t>3…6 МПа</t>
        </is>
      </c>
      <c r="G77" s="10" t="n"/>
      <c r="H77" s="15" t="inlineStr">
        <is>
          <t>Сигнализатор обрыва металлорукава</t>
        </is>
      </c>
      <c r="I77" s="15" t="inlineStr">
        <is>
          <t>ГПА 62</t>
        </is>
      </c>
      <c r="J77" s="15" t="inlineStr">
        <is>
          <t>АСУ,А и ТМ (КЦ № 6)</t>
        </is>
      </c>
      <c r="K77" s="15" t="n">
        <v>2012</v>
      </c>
      <c r="L77" s="15" t="n"/>
      <c r="M77" s="3" t="n"/>
      <c r="N77" s="70" t="n"/>
    </row>
    <row r="78" ht="33.75" customHeight="1" s="151">
      <c r="A78" s="15">
        <f>IF(B78&lt;&gt;"", COUNTA($B$2:B78), "")</f>
        <v/>
      </c>
      <c r="B78" s="16" t="inlineStr">
        <is>
          <t>Термометр сопротивления</t>
        </is>
      </c>
      <c r="C78" s="17" t="inlineStr">
        <is>
          <t>ТСП 012.60 Pt100/В/3</t>
        </is>
      </c>
      <c r="D78" s="3" t="inlineStr">
        <is>
          <t>204</t>
        </is>
      </c>
      <c r="E78" s="15" t="n">
        <v>2011</v>
      </c>
      <c r="F78" s="17" t="inlineStr">
        <is>
          <t>-60…200 °С</t>
        </is>
      </c>
      <c r="G78" s="17" t="inlineStr">
        <is>
          <t>B</t>
        </is>
      </c>
      <c r="H78" s="3" t="inlineStr">
        <is>
          <t>Температура защитного воздуха на выходе оболочки опорно-упорного подшипника (задний)</t>
        </is>
      </c>
      <c r="I78" s="15" t="inlineStr">
        <is>
          <t>ГПА 62</t>
        </is>
      </c>
      <c r="J78" s="15" t="inlineStr">
        <is>
          <t>АСУ,А и ТМ (КЦ № 6)</t>
        </is>
      </c>
      <c r="K78" s="15" t="n">
        <v>2012</v>
      </c>
      <c r="L78" s="14" t="n">
        <v>24</v>
      </c>
      <c r="M78" s="3" t="n"/>
      <c r="N78" s="70" t="n"/>
    </row>
    <row r="79">
      <c r="A79" s="15">
        <f>IF(B79&lt;&gt;"", COUNTA($B$2:B79), "")</f>
        <v/>
      </c>
      <c r="B79" s="3" t="inlineStr">
        <is>
          <t xml:space="preserve">Расходомер                 </t>
        </is>
      </c>
      <c r="C79" s="14" t="inlineStr">
        <is>
          <t xml:space="preserve">СУРГ 1.000 </t>
        </is>
      </c>
      <c r="D79" s="15" t="inlineStr">
        <is>
          <t>01.1362</t>
        </is>
      </c>
      <c r="E79" s="15" t="n">
        <v>2011</v>
      </c>
      <c r="F79" s="14" t="inlineStr">
        <is>
          <t xml:space="preserve">0…100000 кг/час </t>
        </is>
      </c>
      <c r="G79" s="18" t="n">
        <v>0.03</v>
      </c>
      <c r="H79" s="15" t="inlineStr">
        <is>
          <t xml:space="preserve"> (Наддув) под кожухом двигателя</t>
        </is>
      </c>
      <c r="I79" s="15" t="inlineStr">
        <is>
          <t>ГПА 62</t>
        </is>
      </c>
      <c r="J79" s="15" t="inlineStr">
        <is>
          <t>АСУ,А и ТМ (КЦ № 6)</t>
        </is>
      </c>
      <c r="K79" s="15" t="n">
        <v>2012</v>
      </c>
      <c r="L79" s="14" t="n">
        <v>36</v>
      </c>
      <c r="M79" s="3" t="n"/>
      <c r="N79" s="70" t="n"/>
    </row>
    <row r="80" ht="22.5" customHeight="1" s="151">
      <c r="A80" s="15">
        <f>IF(B80&lt;&gt;"", COUNTA($B$2:B80), "")</f>
        <v/>
      </c>
      <c r="B80" s="73" t="inlineStr">
        <is>
          <t>Преобразователь избыточного давления</t>
        </is>
      </c>
      <c r="C80" s="15" t="inlineStr">
        <is>
          <t>Метран 150 TG2</t>
        </is>
      </c>
      <c r="D80" s="15" t="n">
        <v>1066253</v>
      </c>
      <c r="E80" s="15" t="n">
        <v>2011</v>
      </c>
      <c r="F80" s="14" t="inlineStr">
        <is>
          <t xml:space="preserve">0…600 кПa </t>
        </is>
      </c>
      <c r="G80" s="20" t="n">
        <v>0.002</v>
      </c>
      <c r="H80" s="15" t="inlineStr">
        <is>
          <t>Давление газа на выходе 1-ой ступени ТУ ПКВ</t>
        </is>
      </c>
      <c r="I80" s="15" t="inlineStr">
        <is>
          <t>ГПА 62</t>
        </is>
      </c>
      <c r="J80" s="15" t="inlineStr">
        <is>
          <t>АСУ,А и ТМ (КЦ № 6)</t>
        </is>
      </c>
      <c r="K80" s="15" t="n">
        <v>2012</v>
      </c>
      <c r="L80" s="14" t="n">
        <v>48</v>
      </c>
      <c r="M80" s="3" t="n"/>
      <c r="N80" s="70" t="n"/>
    </row>
    <row r="81" ht="22.5" customHeight="1" s="151">
      <c r="A81" s="15">
        <f>IF(B81&lt;&gt;"", COUNTA($B$2:B81), "")</f>
        <v/>
      </c>
      <c r="B81" s="73" t="inlineStr">
        <is>
          <t>Преобразователь избыточного давления</t>
        </is>
      </c>
      <c r="C81" s="14" t="inlineStr">
        <is>
          <t>Метран 150 TG2</t>
        </is>
      </c>
      <c r="D81" s="15" t="n">
        <v>1046015</v>
      </c>
      <c r="E81" s="15" t="n">
        <v>2011</v>
      </c>
      <c r="F81" s="14" t="inlineStr">
        <is>
          <t xml:space="preserve">0…600 кПa </t>
        </is>
      </c>
      <c r="G81" s="20" t="n">
        <v>0.002</v>
      </c>
      <c r="H81" s="15" t="inlineStr">
        <is>
          <t>Давление газа на выходе 1-ой ступени ТУ ЗКВ</t>
        </is>
      </c>
      <c r="I81" s="15" t="inlineStr">
        <is>
          <t>ГПА 62</t>
        </is>
      </c>
      <c r="J81" s="15" t="inlineStr">
        <is>
          <t>АСУ,А и ТМ (КЦ № 6)</t>
        </is>
      </c>
      <c r="K81" s="15" t="n">
        <v>2012</v>
      </c>
      <c r="L81" s="14" t="n">
        <v>48</v>
      </c>
      <c r="M81" s="3" t="n"/>
      <c r="N81" s="70" t="n"/>
    </row>
    <row r="82" ht="22.5" customHeight="1" s="151">
      <c r="A82" s="15">
        <f>IF(B82&lt;&gt;"", COUNTA($B$2:B82), "")</f>
        <v/>
      </c>
      <c r="B82" s="73" t="inlineStr">
        <is>
          <t>Преобразователь избыточного давления</t>
        </is>
      </c>
      <c r="C82" s="14" t="inlineStr">
        <is>
          <t>Метран 150 TG4</t>
        </is>
      </c>
      <c r="D82" s="14" t="n">
        <v>6128401</v>
      </c>
      <c r="E82" s="14" t="n">
        <v>2019</v>
      </c>
      <c r="F82" s="14" t="inlineStr">
        <is>
          <t>0…16 МПа</t>
        </is>
      </c>
      <c r="G82" s="17" t="inlineStr">
        <is>
          <t>0,075%</t>
        </is>
      </c>
      <c r="H82" s="14" t="inlineStr">
        <is>
          <t>Давление газа на выходе бустерной компрессорной установки</t>
        </is>
      </c>
      <c r="I82" s="15" t="inlineStr">
        <is>
          <t>ГПА 62</t>
        </is>
      </c>
      <c r="J82" s="15" t="inlineStr">
        <is>
          <t>АСУ,А и ТМ (КЦ № 6)</t>
        </is>
      </c>
      <c r="K82" s="15" t="n">
        <v>2019</v>
      </c>
      <c r="L82" s="14" t="n"/>
      <c r="M82" s="3" t="n"/>
      <c r="N82" s="70" t="n"/>
    </row>
    <row r="83" ht="22.5" customHeight="1" s="151">
      <c r="A83" s="15">
        <f>IF(B83&lt;&gt;"", COUNTA($B$2:B83), "")</f>
        <v/>
      </c>
      <c r="B83" s="73" t="inlineStr">
        <is>
          <t>Преобразователь избыточного давления</t>
        </is>
      </c>
      <c r="C83" s="14" t="inlineStr">
        <is>
          <t>Метран 150 CD4</t>
        </is>
      </c>
      <c r="D83" s="14" t="n">
        <v>6128400</v>
      </c>
      <c r="E83" s="14" t="n">
        <v>2019</v>
      </c>
      <c r="F83" s="14" t="inlineStr">
        <is>
          <t>0…500 кПа</t>
        </is>
      </c>
      <c r="G83" s="17" t="inlineStr">
        <is>
          <t>0,075%</t>
        </is>
      </c>
      <c r="H83" s="14" t="inlineStr">
        <is>
          <t>Перепад давления газа на фильтре бустерной компрессорной установки</t>
        </is>
      </c>
      <c r="I83" s="15" t="inlineStr">
        <is>
          <t>ГПА 62</t>
        </is>
      </c>
      <c r="J83" s="15" t="inlineStr">
        <is>
          <t>АСУ,А и ТМ (КЦ № 6)</t>
        </is>
      </c>
      <c r="K83" s="15" t="n">
        <v>2019</v>
      </c>
      <c r="L83" s="14" t="n"/>
      <c r="M83" s="3" t="n"/>
      <c r="N83" s="70" t="n"/>
    </row>
    <row r="84" ht="22.5" customHeight="1" s="151">
      <c r="A84" s="15">
        <f>IF(B84&lt;&gt;"", COUNTA($B$2:B84), "")</f>
        <v/>
      </c>
      <c r="B84" s="73" t="inlineStr">
        <is>
          <t>Преобразователь избыточного давления</t>
        </is>
      </c>
      <c r="C84" s="15" t="inlineStr">
        <is>
          <t xml:space="preserve">Метран 150 CD2 </t>
        </is>
      </c>
      <c r="D84" s="15" t="n">
        <v>1372836</v>
      </c>
      <c r="E84" s="15" t="n">
        <v>2011</v>
      </c>
      <c r="F84" s="14" t="inlineStr">
        <is>
          <t>0…25 кПa</t>
        </is>
      </c>
      <c r="G84" s="282" t="n">
        <v>0.00075</v>
      </c>
      <c r="H84" s="15" t="inlineStr">
        <is>
          <t>Перепад давления газ-газ</t>
        </is>
      </c>
      <c r="I84" s="15" t="inlineStr">
        <is>
          <t>ГПА 62</t>
        </is>
      </c>
      <c r="J84" s="15" t="inlineStr">
        <is>
          <t>АСУ,А и ТМ (КЦ № 6)</t>
        </is>
      </c>
      <c r="K84" s="15" t="n">
        <v>2012</v>
      </c>
      <c r="L84" s="14" t="n">
        <v>60</v>
      </c>
      <c r="M84" s="3" t="n"/>
      <c r="N84" s="70" t="n"/>
    </row>
    <row r="85" ht="22.5" customHeight="1" s="151">
      <c r="A85" s="15">
        <f>IF(B85&lt;&gt;"", COUNTA($B$2:B85), "")</f>
        <v/>
      </c>
      <c r="B85" s="73" t="inlineStr">
        <is>
          <t>Преобразователь избыточного давления</t>
        </is>
      </c>
      <c r="C85" s="15" t="inlineStr">
        <is>
          <t>Метран 150 CD3</t>
        </is>
      </c>
      <c r="D85" s="15" t="n">
        <v>1051198</v>
      </c>
      <c r="E85" s="15" t="n">
        <v>2011</v>
      </c>
      <c r="F85" s="14" t="inlineStr">
        <is>
          <t>0…250 кПа</t>
        </is>
      </c>
      <c r="G85" s="20" t="n">
        <v>0.002</v>
      </c>
      <c r="H85" s="15" t="inlineStr">
        <is>
          <t>Перепад давления газа на фильтрах панели ТГДУ</t>
        </is>
      </c>
      <c r="I85" s="15" t="inlineStr">
        <is>
          <t>ГПА 62</t>
        </is>
      </c>
      <c r="J85" s="15" t="inlineStr">
        <is>
          <t>АСУ,А и ТМ (КЦ № 6)</t>
        </is>
      </c>
      <c r="K85" s="15" t="n">
        <v>2012</v>
      </c>
      <c r="L85" s="14" t="n">
        <v>48</v>
      </c>
      <c r="M85" s="3" t="n"/>
      <c r="N85" s="70" t="n"/>
    </row>
    <row r="86" ht="22.5" customHeight="1" s="151">
      <c r="A86" s="15">
        <f>IF(B86&lt;&gt;"", COUNTA($B$2:B86), "")</f>
        <v/>
      </c>
      <c r="B86" s="73" t="inlineStr">
        <is>
          <t>Преобразователь избыточного давления</t>
        </is>
      </c>
      <c r="C86" s="15" t="inlineStr">
        <is>
          <t xml:space="preserve">Метран 150 CD1 </t>
        </is>
      </c>
      <c r="D86" s="15" t="n">
        <v>1372831</v>
      </c>
      <c r="E86" s="15" t="n">
        <v>2011</v>
      </c>
      <c r="F86" s="14" t="inlineStr">
        <is>
          <t>0…0,63 кПа</t>
        </is>
      </c>
      <c r="G86" s="20" t="n">
        <v>0.001</v>
      </c>
      <c r="H86" s="15" t="inlineStr">
        <is>
          <t>Перепад давления воздуха на мультициклонных блоках (фильтрах)</t>
        </is>
      </c>
      <c r="I86" s="15" t="inlineStr">
        <is>
          <t>ГПА 62</t>
        </is>
      </c>
      <c r="J86" s="15" t="inlineStr">
        <is>
          <t>АСУ,А и ТМ (КЦ № 6)</t>
        </is>
      </c>
      <c r="K86" s="15" t="n">
        <v>2012</v>
      </c>
      <c r="L86" s="14" t="n">
        <v>60</v>
      </c>
      <c r="M86" s="3" t="n"/>
      <c r="N86" s="70" t="n"/>
    </row>
    <row r="87" ht="22.5" customHeight="1" s="151">
      <c r="A87" s="15">
        <f>IF(B87&lt;&gt;"", COUNTA($B$2:B87), "")</f>
        <v/>
      </c>
      <c r="B87" s="73" t="inlineStr">
        <is>
          <t>Преобразователь избыточного давления</t>
        </is>
      </c>
      <c r="C87" s="15" t="inlineStr">
        <is>
          <t xml:space="preserve">Метран 150 CD1 </t>
        </is>
      </c>
      <c r="D87" s="15" t="n">
        <v>1372829</v>
      </c>
      <c r="E87" s="15" t="n">
        <v>2011</v>
      </c>
      <c r="F87" s="14" t="inlineStr">
        <is>
          <t>0…1,6 кПа</t>
        </is>
      </c>
      <c r="G87" s="20" t="n">
        <v>0.001</v>
      </c>
      <c r="H87" s="15" t="inlineStr">
        <is>
          <t>Перепад давления воздуха на кассетных фильтрах</t>
        </is>
      </c>
      <c r="I87" s="15" t="inlineStr">
        <is>
          <t>ГПА 62</t>
        </is>
      </c>
      <c r="J87" s="15" t="inlineStr">
        <is>
          <t>АСУ,А и ТМ (КЦ № 6)</t>
        </is>
      </c>
      <c r="K87" s="15" t="n">
        <v>2012</v>
      </c>
      <c r="L87" s="14" t="n">
        <v>60</v>
      </c>
      <c r="M87" s="3" t="n"/>
      <c r="N87" s="70" t="n"/>
    </row>
    <row r="88" ht="22.5" customHeight="1" s="151">
      <c r="A88" s="15">
        <f>IF(B88&lt;&gt;"", COUNTA($B$2:B88), "")</f>
        <v/>
      </c>
      <c r="B88" s="73" t="inlineStr">
        <is>
          <t>Преобразователь избыточного давления</t>
        </is>
      </c>
      <c r="C88" s="15" t="inlineStr">
        <is>
          <t>YOKOGAVA EJX530А-EDS9N-019DL/KF21/QR</t>
        </is>
      </c>
      <c r="D88" s="15" t="inlineStr">
        <is>
          <t>91M439732.217</t>
        </is>
      </c>
      <c r="E88" s="14" t="n">
        <v>2012</v>
      </c>
      <c r="F88" s="14" t="inlineStr">
        <is>
          <t>0…16 МПа</t>
        </is>
      </c>
      <c r="G88" s="20" t="n">
        <v>0.001</v>
      </c>
      <c r="H88" s="15" t="inlineStr">
        <is>
          <t>Давление газа на выходе АВО (после крана №2)</t>
        </is>
      </c>
      <c r="I88" s="15" t="inlineStr">
        <is>
          <t>ГПА 62</t>
        </is>
      </c>
      <c r="J88" s="15" t="inlineStr">
        <is>
          <t>АСУ,А и ТМ (КЦ № 6)</t>
        </is>
      </c>
      <c r="K88" s="15" t="n">
        <v>2012</v>
      </c>
      <c r="L88" s="14" t="n">
        <v>60</v>
      </c>
      <c r="M88" s="3" t="n"/>
      <c r="N88" s="70" t="n"/>
    </row>
    <row r="89" ht="22.5" customHeight="1" s="151">
      <c r="A89" s="15">
        <f>IF(B89&lt;&gt;"", COUNTA($B$2:B89), "")</f>
        <v/>
      </c>
      <c r="B89" s="73" t="inlineStr">
        <is>
          <t>Преобразователь избыточного давления</t>
        </is>
      </c>
      <c r="C89" s="15" t="inlineStr">
        <is>
          <t>YOKOGAVA EJX110А-EНS5J-B19DM/KF21/QR</t>
        </is>
      </c>
      <c r="D89" s="15" t="inlineStr">
        <is>
          <t>91M439693.217</t>
        </is>
      </c>
      <c r="E89" s="14" t="n">
        <v>2012</v>
      </c>
      <c r="F89" s="14" t="inlineStr">
        <is>
          <t>0…0,16 МПа</t>
        </is>
      </c>
      <c r="G89" s="20" t="n">
        <v>0.0004</v>
      </c>
      <c r="H89" s="15" t="inlineStr">
        <is>
          <t>Перепад давлений газа на сетке перед компрессором (защитная решетка)</t>
        </is>
      </c>
      <c r="I89" s="15" t="inlineStr">
        <is>
          <t>ГПА 62</t>
        </is>
      </c>
      <c r="J89" s="15" t="inlineStr">
        <is>
          <t>АСУ,А и ТМ (КЦ № 6)</t>
        </is>
      </c>
      <c r="K89" s="15" t="n">
        <v>2012</v>
      </c>
      <c r="L89" s="14" t="n">
        <v>60</v>
      </c>
      <c r="M89" s="3" t="n"/>
      <c r="N89" s="70" t="n"/>
    </row>
    <row r="90" ht="22.5" customHeight="1" s="151">
      <c r="A90" s="15">
        <f>IF(B90&lt;&gt;"", COUNTA($B$2:B90), "")</f>
        <v/>
      </c>
      <c r="B90" s="73" t="inlineStr">
        <is>
          <t>Преобразователь избыточного давления</t>
        </is>
      </c>
      <c r="C90" s="15" t="inlineStr">
        <is>
          <t>YOKOGAVA EJX110А-EНS5J-B19DM/KF21/QR</t>
        </is>
      </c>
      <c r="D90" s="15" t="inlineStr">
        <is>
          <t>91М439683.217</t>
        </is>
      </c>
      <c r="E90" s="14" t="n">
        <v>2012</v>
      </c>
      <c r="F90" s="14" t="inlineStr">
        <is>
          <t>0…400 кПа</t>
        </is>
      </c>
      <c r="G90" s="20" t="n">
        <v>0.0004</v>
      </c>
      <c r="H90" s="15" t="inlineStr">
        <is>
          <t>Перепад давления газа на кране №1</t>
        </is>
      </c>
      <c r="I90" s="15" t="inlineStr">
        <is>
          <t>ГПА 62</t>
        </is>
      </c>
      <c r="J90" s="15" t="inlineStr">
        <is>
          <t>АСУ,А и ТМ (КЦ № 6)</t>
        </is>
      </c>
      <c r="K90" s="15" t="n">
        <v>2012</v>
      </c>
      <c r="L90" s="14" t="n">
        <v>60</v>
      </c>
      <c r="M90" s="3" t="n"/>
      <c r="N90" s="70" t="n"/>
    </row>
    <row r="91" ht="22.5" customHeight="1" s="151">
      <c r="A91" s="15">
        <f>IF(B91&lt;&gt;"", COUNTA($B$2:B91), "")</f>
        <v/>
      </c>
      <c r="B91" s="73" t="inlineStr">
        <is>
          <t>Преобразователь избыточного давления</t>
        </is>
      </c>
      <c r="C91" s="15" t="inlineStr">
        <is>
          <t>Honeywell STG-97L</t>
        </is>
      </c>
      <c r="D91" s="15" t="inlineStr">
        <is>
          <t>10W43 C3273987003055</t>
        </is>
      </c>
      <c r="E91" s="14" t="n">
        <v>2010</v>
      </c>
      <c r="F91" s="14" t="inlineStr">
        <is>
          <t>0…4 МПа</t>
        </is>
      </c>
      <c r="G91" s="14" t="n">
        <v>0.075</v>
      </c>
      <c r="H91" s="15" t="inlineStr">
        <is>
          <t>Давление воздуха за КВД</t>
        </is>
      </c>
      <c r="I91" s="15" t="inlineStr">
        <is>
          <t>ГПА 62</t>
        </is>
      </c>
      <c r="J91" s="15" t="inlineStr">
        <is>
          <t>АСУ,А и ТМ (КЦ № 6)</t>
        </is>
      </c>
      <c r="K91" s="15" t="n">
        <v>2012</v>
      </c>
      <c r="L91" s="14" t="n">
        <v>36</v>
      </c>
      <c r="M91" s="3" t="n"/>
      <c r="N91" s="70" t="n"/>
    </row>
    <row r="92" ht="22.5" customHeight="1" s="151">
      <c r="A92" s="15">
        <f>IF(B92&lt;&gt;"", COUNTA($B$2:B92), "")</f>
        <v/>
      </c>
      <c r="B92" s="73" t="inlineStr">
        <is>
          <t>Преобразователь избыточного давления</t>
        </is>
      </c>
      <c r="C92" s="15" t="inlineStr">
        <is>
          <t>Honeywell STG-97L</t>
        </is>
      </c>
      <c r="D92" s="15" t="inlineStr">
        <is>
          <t>10W43 C3273987003062</t>
        </is>
      </c>
      <c r="E92" s="15" t="n">
        <v>2011</v>
      </c>
      <c r="F92" s="14" t="inlineStr">
        <is>
          <t>0…10 МПа</t>
        </is>
      </c>
      <c r="G92" s="14" t="n">
        <v>0.075</v>
      </c>
      <c r="H92" s="15" t="inlineStr">
        <is>
          <t>Давление газа на входе компрессора</t>
        </is>
      </c>
      <c r="I92" s="15" t="inlineStr">
        <is>
          <t>ГПА 62</t>
        </is>
      </c>
      <c r="J92" s="15" t="inlineStr">
        <is>
          <t>АСУ,А и ТМ (КЦ № 6)</t>
        </is>
      </c>
      <c r="K92" s="15" t="n">
        <v>2012</v>
      </c>
      <c r="L92" s="14" t="n">
        <v>36</v>
      </c>
      <c r="M92" s="3" t="n"/>
      <c r="N92" s="70" t="n"/>
    </row>
    <row r="93" ht="22.5" customHeight="1" s="151">
      <c r="A93" s="15">
        <f>IF(B93&lt;&gt;"", COUNTA($B$2:B93), "")</f>
        <v/>
      </c>
      <c r="B93" s="73" t="inlineStr">
        <is>
          <t>Преобразователь избыточного давления</t>
        </is>
      </c>
      <c r="C93" s="15" t="inlineStr">
        <is>
          <t>Honeywell STG-97L</t>
        </is>
      </c>
      <c r="D93" s="15" t="inlineStr">
        <is>
          <t>10W46 C3278548003003</t>
        </is>
      </c>
      <c r="E93" s="15" t="n">
        <v>2011</v>
      </c>
      <c r="F93" s="14" t="inlineStr">
        <is>
          <t>0…16 МПа</t>
        </is>
      </c>
      <c r="G93" s="14" t="n">
        <v>0.075</v>
      </c>
      <c r="H93" s="15" t="inlineStr">
        <is>
          <t>Давление газа на выходе компрессора</t>
        </is>
      </c>
      <c r="I93" s="15" t="inlineStr">
        <is>
          <t>ГПА 62</t>
        </is>
      </c>
      <c r="J93" s="15" t="inlineStr">
        <is>
          <t>АСУ,А и ТМ (КЦ № 6)</t>
        </is>
      </c>
      <c r="K93" s="15" t="n">
        <v>2012</v>
      </c>
      <c r="L93" s="14" t="n">
        <v>36</v>
      </c>
      <c r="M93" s="3" t="n"/>
      <c r="N93" s="70" t="n"/>
    </row>
    <row r="94" ht="22.5" customHeight="1" s="151">
      <c r="A94" s="15">
        <f>IF(B94&lt;&gt;"", COUNTA($B$2:B94), "")</f>
        <v/>
      </c>
      <c r="B94" s="73" t="inlineStr">
        <is>
          <t>Преобразователь избыточного давления</t>
        </is>
      </c>
      <c r="C94" s="15" t="inlineStr">
        <is>
          <t>Honeywell STG-97L</t>
        </is>
      </c>
      <c r="D94" s="15" t="inlineStr">
        <is>
          <t>10W43 C3273987003084</t>
        </is>
      </c>
      <c r="E94" s="14" t="n">
        <v>2010</v>
      </c>
      <c r="F94" s="3" t="inlineStr">
        <is>
          <t>0…10 МПа</t>
        </is>
      </c>
      <c r="G94" s="14" t="n">
        <v>0.075</v>
      </c>
      <c r="H94" s="15" t="inlineStr">
        <is>
          <t>Давление топливного газа после отсечного клапана</t>
        </is>
      </c>
      <c r="I94" s="15" t="inlineStr">
        <is>
          <t>ГПА 62</t>
        </is>
      </c>
      <c r="J94" s="15" t="inlineStr">
        <is>
          <t>АСУ,А и ТМ (КЦ № 6)</t>
        </is>
      </c>
      <c r="K94" s="15" t="n">
        <v>2012</v>
      </c>
      <c r="L94" s="14" t="n">
        <v>36</v>
      </c>
      <c r="M94" s="3" t="n"/>
      <c r="N94" s="70" t="n"/>
    </row>
    <row r="95" ht="22.5" customHeight="1" s="151">
      <c r="A95" s="15">
        <f>IF(B95&lt;&gt;"", COUNTA($B$2:B95), "")</f>
        <v/>
      </c>
      <c r="B95" s="73" t="inlineStr">
        <is>
          <t>Преобразователь избыточного давления</t>
        </is>
      </c>
      <c r="C95" s="15" t="inlineStr">
        <is>
          <t>Honeywell STG-97L</t>
        </is>
      </c>
      <c r="D95" s="15" t="inlineStr">
        <is>
          <t>10W43 C3273987003056</t>
        </is>
      </c>
      <c r="E95" s="15" t="n">
        <v>2011</v>
      </c>
      <c r="F95" s="3" t="inlineStr">
        <is>
          <t>0…10 МПа</t>
        </is>
      </c>
      <c r="G95" s="14" t="n">
        <v>0.075</v>
      </c>
      <c r="H95" s="15" t="inlineStr">
        <is>
          <t>Давление топливного газа перед расходомерным устройством</t>
        </is>
      </c>
      <c r="I95" s="15" t="inlineStr">
        <is>
          <t>ГПА 62</t>
        </is>
      </c>
      <c r="J95" s="15" t="inlineStr">
        <is>
          <t>АСУ,А и ТМ (КЦ № 6)</t>
        </is>
      </c>
      <c r="K95" s="15" t="n">
        <v>2012</v>
      </c>
      <c r="L95" s="14" t="n">
        <v>36</v>
      </c>
      <c r="M95" s="3" t="n"/>
      <c r="N95" s="70" t="n"/>
    </row>
    <row r="96" ht="33.75" customHeight="1" s="151">
      <c r="A96" s="15">
        <f>IF(B96&lt;&gt;"", COUNTA($B$2:B96), "")</f>
        <v/>
      </c>
      <c r="B96" s="73" t="inlineStr">
        <is>
          <t>Преобразователь избыточного давления</t>
        </is>
      </c>
      <c r="C96" s="15" t="inlineStr">
        <is>
          <t>Honeywell STG-97L</t>
        </is>
      </c>
      <c r="D96" s="15" t="inlineStr">
        <is>
          <t>10W46 С3278548003001</t>
        </is>
      </c>
      <c r="E96" s="15" t="n">
        <v>2011</v>
      </c>
      <c r="F96" s="3" t="inlineStr">
        <is>
          <t>0…10 МПа</t>
        </is>
      </c>
      <c r="G96" s="14" t="n">
        <v>0.075</v>
      </c>
      <c r="H96" s="15" t="inlineStr">
        <is>
          <t>Давление топливного газа перед форсунками камеры сгорания (после СК)</t>
        </is>
      </c>
      <c r="I96" s="15" t="inlineStr">
        <is>
          <t>ГПА 62</t>
        </is>
      </c>
      <c r="J96" s="15" t="inlineStr">
        <is>
          <t>АСУ,А и ТМ (КЦ № 6)</t>
        </is>
      </c>
      <c r="K96" s="15" t="n">
        <v>2012</v>
      </c>
      <c r="L96" s="14" t="n">
        <v>36</v>
      </c>
      <c r="M96" s="3" t="n"/>
      <c r="N96" s="70" t="n"/>
    </row>
    <row r="97" ht="22.5" customHeight="1" s="151">
      <c r="A97" s="15">
        <f>IF(B97&lt;&gt;"", COUNTA($B$2:B97), "")</f>
        <v/>
      </c>
      <c r="B97" s="73" t="inlineStr">
        <is>
          <t>Преобразователь избыточного давления</t>
        </is>
      </c>
      <c r="C97" s="15" t="inlineStr">
        <is>
          <t>Honeywell STG-97L</t>
        </is>
      </c>
      <c r="D97" s="15" t="inlineStr">
        <is>
          <t>10W37 C3263312003007</t>
        </is>
      </c>
      <c r="E97" s="14" t="n">
        <v>2010</v>
      </c>
      <c r="F97" s="3" t="inlineStr">
        <is>
          <t>0…2 МПа</t>
        </is>
      </c>
      <c r="G97" s="14" t="n">
        <v>0.075</v>
      </c>
      <c r="H97" s="15" t="inlineStr">
        <is>
          <t>Давление воздуха в разгрузочной полости</t>
        </is>
      </c>
      <c r="I97" s="15" t="inlineStr">
        <is>
          <t>ГПА 62</t>
        </is>
      </c>
      <c r="J97" s="15" t="inlineStr">
        <is>
          <t>АСУ,А и ТМ (КЦ № 6)</t>
        </is>
      </c>
      <c r="K97" s="15" t="n">
        <v>2012</v>
      </c>
      <c r="L97" s="14" t="n">
        <v>36</v>
      </c>
      <c r="M97" s="3" t="n"/>
      <c r="N97" s="70" t="n"/>
    </row>
    <row r="98" ht="22.5" customHeight="1" s="151">
      <c r="A98" s="15">
        <f>IF(B98&lt;&gt;"", COUNTA($B$2:B98), "")</f>
        <v/>
      </c>
      <c r="B98" s="73" t="inlineStr">
        <is>
          <t>Преобразователь избыточного давления</t>
        </is>
      </c>
      <c r="C98" s="15" t="inlineStr">
        <is>
          <t>Honeywell STG-94L</t>
        </is>
      </c>
      <c r="D98" s="15" t="inlineStr">
        <is>
          <t>11W13 C3303059004007</t>
        </is>
      </c>
      <c r="E98" s="15" t="n">
        <v>2011</v>
      </c>
      <c r="F98" s="14" t="inlineStr">
        <is>
          <t>0…0,63 МПа</t>
        </is>
      </c>
      <c r="G98" s="14" t="n">
        <v>0.075</v>
      </c>
      <c r="H98" s="15" t="inlineStr">
        <is>
          <t>Давление масла на выходе из двигателя</t>
        </is>
      </c>
      <c r="I98" s="15" t="inlineStr">
        <is>
          <t>ГПА 62</t>
        </is>
      </c>
      <c r="J98" s="15" t="inlineStr">
        <is>
          <t>АСУ,А и ТМ (КЦ № 6)</t>
        </is>
      </c>
      <c r="K98" s="15" t="n">
        <v>2012</v>
      </c>
      <c r="L98" s="14" t="n">
        <v>36</v>
      </c>
      <c r="M98" s="3" t="n"/>
      <c r="N98" s="70" t="n"/>
    </row>
    <row r="99" ht="22.5" customHeight="1" s="151">
      <c r="A99" s="15">
        <f>IF(B99&lt;&gt;"", COUNTA($B$2:B99), "")</f>
        <v/>
      </c>
      <c r="B99" s="73" t="inlineStr">
        <is>
          <t>Преобразователь избыточного давления</t>
        </is>
      </c>
      <c r="C99" s="15" t="inlineStr">
        <is>
          <t>Honeywell STG-94L</t>
        </is>
      </c>
      <c r="D99" s="15" t="inlineStr">
        <is>
          <t>11W18 C3313690002046</t>
        </is>
      </c>
      <c r="E99" s="15" t="n">
        <v>2011</v>
      </c>
      <c r="F99" s="14" t="inlineStr">
        <is>
          <t>0…0,63 МПа</t>
        </is>
      </c>
      <c r="G99" s="14" t="n">
        <v>0.075</v>
      </c>
      <c r="H99" s="15" t="inlineStr">
        <is>
          <t>Давление масла на входе двигателя</t>
        </is>
      </c>
      <c r="I99" s="15" t="inlineStr">
        <is>
          <t>ГПА 62</t>
        </is>
      </c>
      <c r="J99" s="15" t="inlineStr">
        <is>
          <t>АСУ,А и ТМ (КЦ № 6)</t>
        </is>
      </c>
      <c r="K99" s="15" t="n">
        <v>2012</v>
      </c>
      <c r="L99" s="14" t="n">
        <v>36</v>
      </c>
      <c r="M99" s="3" t="n"/>
      <c r="N99" s="70" t="n"/>
    </row>
    <row r="100" ht="22.5" customHeight="1" s="151">
      <c r="A100" s="15">
        <f>IF(B100&lt;&gt;"", COUNTA($B$2:B100), "")</f>
        <v/>
      </c>
      <c r="B100" s="73" t="inlineStr">
        <is>
          <t>Преобразователь избыточного давления</t>
        </is>
      </c>
      <c r="C100" s="15" t="inlineStr">
        <is>
          <t>Honeywell STG-94L</t>
        </is>
      </c>
      <c r="D100" s="15" t="inlineStr">
        <is>
          <t>11W18 C3313690002024</t>
        </is>
      </c>
      <c r="E100" s="15" t="n">
        <v>2011</v>
      </c>
      <c r="F100" s="3" t="inlineStr">
        <is>
          <t>-100…530 кПа</t>
        </is>
      </c>
      <c r="G100" s="14" t="n">
        <v>0.075</v>
      </c>
      <c r="H100" s="15" t="inlineStr">
        <is>
          <t>Давление воздуха в средней опоре</t>
        </is>
      </c>
      <c r="I100" s="15" t="inlineStr">
        <is>
          <t>ГПА 62</t>
        </is>
      </c>
      <c r="J100" s="15" t="inlineStr">
        <is>
          <t>АСУ,А и ТМ (КЦ № 6)</t>
        </is>
      </c>
      <c r="K100" s="15" t="n">
        <v>2012</v>
      </c>
      <c r="L100" s="14" t="n">
        <v>36</v>
      </c>
      <c r="M100" s="3" t="n"/>
      <c r="N100" s="70" t="n"/>
    </row>
    <row r="101" ht="33.75" customHeight="1" s="151">
      <c r="A101" s="15">
        <f>IF(B101&lt;&gt;"", COUNTA($B$2:B101), "")</f>
        <v/>
      </c>
      <c r="B101" s="73" t="inlineStr">
        <is>
          <t>Преобразователь избыточного давления</t>
        </is>
      </c>
      <c r="C101" s="15" t="inlineStr">
        <is>
          <t>Honeywell STG-94L</t>
        </is>
      </c>
      <c r="D101" s="15" t="inlineStr">
        <is>
          <t>11W18 C3313690002038</t>
        </is>
      </c>
      <c r="E101" s="15" t="n">
        <v>2011</v>
      </c>
      <c r="F101" s="14" t="inlineStr">
        <is>
          <t xml:space="preserve">0…1 МПа </t>
        </is>
      </c>
      <c r="G101" s="14" t="n">
        <v>0.075</v>
      </c>
      <c r="H101" s="15" t="inlineStr">
        <is>
          <t>Давление защиного воздуха на выходе ресивера Р1 (после воздушного компрессора)</t>
        </is>
      </c>
      <c r="I101" s="15" t="inlineStr">
        <is>
          <t>ГПА 62</t>
        </is>
      </c>
      <c r="J101" s="15" t="inlineStr">
        <is>
          <t>АСУ,А и ТМ (КЦ № 6)</t>
        </is>
      </c>
      <c r="K101" s="15" t="n">
        <v>2012</v>
      </c>
      <c r="L101" s="14" t="n">
        <v>36</v>
      </c>
      <c r="M101" s="3" t="n"/>
      <c r="N101" s="70" t="n"/>
    </row>
    <row r="102" ht="22.5" customHeight="1" s="151">
      <c r="A102" s="15">
        <f>IF(B102&lt;&gt;"", COUNTA($B$2:B102), "")</f>
        <v/>
      </c>
      <c r="B102" s="73" t="inlineStr">
        <is>
          <t>Преобразователь избыточного давления</t>
        </is>
      </c>
      <c r="C102" s="15" t="inlineStr">
        <is>
          <t>Honeywell STD-930</t>
        </is>
      </c>
      <c r="D102" s="15" t="inlineStr">
        <is>
          <t>11W17 C3313690005002</t>
        </is>
      </c>
      <c r="E102" s="15" t="n">
        <v>2011</v>
      </c>
      <c r="F102" s="3" t="inlineStr">
        <is>
          <t>-34…689 кПа</t>
        </is>
      </c>
      <c r="G102" s="14" t="n">
        <v>0.075</v>
      </c>
      <c r="H102" s="15" t="inlineStr">
        <is>
          <t>Перепад воздуха на шайбе</t>
        </is>
      </c>
      <c r="I102" s="15" t="inlineStr">
        <is>
          <t>ГПА 62</t>
        </is>
      </c>
      <c r="J102" s="15" t="inlineStr">
        <is>
          <t>АСУ,А и ТМ (КЦ № 6)</t>
        </is>
      </c>
      <c r="K102" s="15" t="n">
        <v>2012</v>
      </c>
      <c r="L102" s="14" t="n">
        <v>36</v>
      </c>
      <c r="M102" s="3" t="n"/>
      <c r="N102" s="70" t="n"/>
    </row>
    <row r="103" ht="22.5" customHeight="1" s="151">
      <c r="A103" s="15">
        <f>IF(B103&lt;&gt;"", COUNTA($B$2:B103), "")</f>
        <v/>
      </c>
      <c r="B103" s="73" t="inlineStr">
        <is>
          <t>Преобразователь избыточного давления</t>
        </is>
      </c>
      <c r="C103" s="15" t="inlineStr">
        <is>
          <t>Honeywell STD-924</t>
        </is>
      </c>
      <c r="D103" s="15" t="inlineStr">
        <is>
          <t>11W17 C3313690001020</t>
        </is>
      </c>
      <c r="E103" s="15" t="n">
        <v>2011</v>
      </c>
      <c r="F103" s="3" t="inlineStr">
        <is>
          <t>0…63 кПа</t>
        </is>
      </c>
      <c r="G103" s="14" t="n">
        <v>0.075</v>
      </c>
      <c r="H103" s="15" t="inlineStr">
        <is>
          <t>Перепад давления газа на всасывающем патрубке (конфузоре)</t>
        </is>
      </c>
      <c r="I103" s="15" t="inlineStr">
        <is>
          <t>ГПА 62</t>
        </is>
      </c>
      <c r="J103" s="15" t="inlineStr">
        <is>
          <t>АСУ,А и ТМ (КЦ № 6)</t>
        </is>
      </c>
      <c r="K103" s="15" t="n">
        <v>2012</v>
      </c>
      <c r="L103" s="14" t="n">
        <v>36</v>
      </c>
      <c r="M103" s="3" t="n"/>
      <c r="N103" s="70" t="n"/>
    </row>
    <row r="104" ht="33.75" customHeight="1" s="151">
      <c r="A104" s="15">
        <f>IF(B104&lt;&gt;"", COUNTA($B$2:B104), "")</f>
        <v/>
      </c>
      <c r="B104" s="73" t="inlineStr">
        <is>
          <t>Преобразователь избыточного давления</t>
        </is>
      </c>
      <c r="C104" s="15" t="inlineStr">
        <is>
          <t>Honeywell STD-924</t>
        </is>
      </c>
      <c r="D104" s="15" t="inlineStr">
        <is>
          <t>11W16 C3310520005006</t>
        </is>
      </c>
      <c r="E104" s="15" t="n">
        <v>2011</v>
      </c>
      <c r="F104" s="3" t="inlineStr">
        <is>
          <t>0…4 кПа</t>
        </is>
      </c>
      <c r="G104" s="14" t="n">
        <v>0.075</v>
      </c>
      <c r="H104" s="15" t="inlineStr">
        <is>
          <t>Перепад давления между оболочкой опорного подшипника и 2-ой супенью ТУ</t>
        </is>
      </c>
      <c r="I104" s="15" t="inlineStr">
        <is>
          <t>ГПА 62</t>
        </is>
      </c>
      <c r="J104" s="15" t="inlineStr">
        <is>
          <t>АСУ,А и ТМ (КЦ № 6)</t>
        </is>
      </c>
      <c r="K104" s="15" t="n">
        <v>2012</v>
      </c>
      <c r="L104" s="14" t="n">
        <v>36</v>
      </c>
      <c r="M104" s="3" t="n"/>
      <c r="N104" s="70" t="n"/>
    </row>
    <row r="105" ht="33.75" customHeight="1" s="151">
      <c r="A105" s="15">
        <f>IF(B105&lt;&gt;"", COUNTA($B$2:B105), "")</f>
        <v/>
      </c>
      <c r="B105" s="73" t="inlineStr">
        <is>
          <t>Преобразователь избыточного давления</t>
        </is>
      </c>
      <c r="C105" s="15" t="inlineStr">
        <is>
          <t>Honeywell STD-924</t>
        </is>
      </c>
      <c r="D105" s="15" t="inlineStr">
        <is>
          <t>11W17 C3313690001004</t>
        </is>
      </c>
      <c r="E105" s="15" t="n">
        <v>2011</v>
      </c>
      <c r="F105" s="3" t="inlineStr">
        <is>
          <t>0…4 кПа</t>
        </is>
      </c>
      <c r="G105" s="14" t="n">
        <v>0.075</v>
      </c>
      <c r="H105" s="15" t="inlineStr">
        <is>
          <t>Перепад давления между оболочкой опорно-упорного подшипника и 2-ой супенью ТУ</t>
        </is>
      </c>
      <c r="I105" s="15" t="inlineStr">
        <is>
          <t>ГПА 62</t>
        </is>
      </c>
      <c r="J105" s="15" t="inlineStr">
        <is>
          <t>АСУ,А и ТМ (КЦ № 6)</t>
        </is>
      </c>
      <c r="K105" s="15" t="n">
        <v>2012</v>
      </c>
      <c r="L105" s="14" t="n">
        <v>36</v>
      </c>
      <c r="M105" s="3" t="n"/>
      <c r="N105" s="70" t="n"/>
    </row>
    <row r="106" ht="22.5" customHeight="1" s="151">
      <c r="A106" s="15">
        <f>IF(B106&lt;&gt;"", COUNTA($B$2:B106), "")</f>
        <v/>
      </c>
      <c r="B106" s="73" t="inlineStr">
        <is>
          <t>Преобразователь избыточного давления</t>
        </is>
      </c>
      <c r="C106" s="15" t="inlineStr">
        <is>
          <t>Honeywell STD-924</t>
        </is>
      </c>
      <c r="D106" s="15" t="inlineStr">
        <is>
          <t>11W17 C3313690001021</t>
        </is>
      </c>
      <c r="E106" s="15" t="n">
        <v>2011</v>
      </c>
      <c r="F106" s="3" t="inlineStr">
        <is>
          <t>0…1,6 кПа</t>
        </is>
      </c>
      <c r="G106" s="14" t="n">
        <v>0.075</v>
      </c>
      <c r="H106" s="15" t="inlineStr">
        <is>
          <t>Давление во входном сечении лемнискаты ГТД</t>
        </is>
      </c>
      <c r="I106" s="15" t="inlineStr">
        <is>
          <t>ГПА 62</t>
        </is>
      </c>
      <c r="J106" s="15" t="inlineStr">
        <is>
          <t>АСУ,А и ТМ (КЦ № 6)</t>
        </is>
      </c>
      <c r="K106" s="15" t="n">
        <v>2012</v>
      </c>
      <c r="L106" s="14" t="n">
        <v>36</v>
      </c>
      <c r="M106" s="3" t="n"/>
      <c r="N106" s="70" t="n"/>
    </row>
    <row r="107" ht="22.5" customHeight="1" s="151">
      <c r="A107" s="15">
        <f>IF(B107&lt;&gt;"", COUNTA($B$2:B107), "")</f>
        <v/>
      </c>
      <c r="B107" s="73" t="inlineStr">
        <is>
          <t>Преобразователь избыточного давления</t>
        </is>
      </c>
      <c r="C107" s="15" t="inlineStr">
        <is>
          <t>Honeywell STD-924</t>
        </is>
      </c>
      <c r="D107" s="15" t="inlineStr">
        <is>
          <t>11W16 C3310520005005</t>
        </is>
      </c>
      <c r="E107" s="15" t="n">
        <v>2011</v>
      </c>
      <c r="F107" s="3" t="inlineStr">
        <is>
          <t>-5…100 кПа</t>
        </is>
      </c>
      <c r="G107" s="14" t="n">
        <v>0.075</v>
      </c>
      <c r="H107" s="15" t="inlineStr">
        <is>
          <t>Давление на срезе улитки ГТД</t>
        </is>
      </c>
      <c r="I107" s="15" t="inlineStr">
        <is>
          <t>ГПА 62</t>
        </is>
      </c>
      <c r="J107" s="15" t="inlineStr">
        <is>
          <t>АСУ,А и ТМ (КЦ № 6)</t>
        </is>
      </c>
      <c r="K107" s="15" t="n">
        <v>2012</v>
      </c>
      <c r="L107" s="14" t="n">
        <v>36</v>
      </c>
      <c r="M107" s="3" t="n"/>
      <c r="N107" s="70" t="n"/>
    </row>
    <row r="108" ht="22.5" customHeight="1" s="151">
      <c r="A108" s="15">
        <f>IF(B108&lt;&gt;"", COUNTA($B$2:B108), "")</f>
        <v/>
      </c>
      <c r="B108" s="73" t="inlineStr">
        <is>
          <t>Преобразователь избыточного давления</t>
        </is>
      </c>
      <c r="C108" s="15" t="inlineStr">
        <is>
          <t>Honeywell STD-924</t>
        </is>
      </c>
      <c r="D108" s="15" t="inlineStr">
        <is>
          <t>11W17 C3313690001012</t>
        </is>
      </c>
      <c r="E108" s="15" t="n">
        <v>2011</v>
      </c>
      <c r="F108" s="3" t="inlineStr">
        <is>
          <t>0…1158,4 мм</t>
        </is>
      </c>
      <c r="G108" s="14" t="n">
        <v>0.075</v>
      </c>
      <c r="H108" s="15" t="inlineStr">
        <is>
          <t>Уровень масла в маслобаке двигателя</t>
        </is>
      </c>
      <c r="I108" s="15" t="inlineStr">
        <is>
          <t>ГПА 62</t>
        </is>
      </c>
      <c r="J108" s="15" t="inlineStr">
        <is>
          <t>АСУ,А и ТМ (КЦ № 6)</t>
        </is>
      </c>
      <c r="K108" s="15" t="n">
        <v>2012</v>
      </c>
      <c r="L108" s="14" t="n">
        <v>36</v>
      </c>
      <c r="M108" s="3" t="n"/>
      <c r="N108" s="70" t="n"/>
    </row>
    <row r="109" ht="22.5" customHeight="1" s="151">
      <c r="A109" s="15">
        <f>IF(B109&lt;&gt;"", COUNTA($B$2:B109), "")</f>
        <v/>
      </c>
      <c r="B109" s="73" t="inlineStr">
        <is>
          <t>Преобразователь избыточного давления</t>
        </is>
      </c>
      <c r="C109" s="15" t="inlineStr">
        <is>
          <t>Honeywell STD-924</t>
        </is>
      </c>
      <c r="D109" s="15" t="inlineStr">
        <is>
          <t>11W17 C3313690001024</t>
        </is>
      </c>
      <c r="E109" s="15" t="n">
        <v>2011</v>
      </c>
      <c r="F109" s="3" t="inlineStr">
        <is>
          <t>0…2000 мм</t>
        </is>
      </c>
      <c r="G109" s="14" t="n">
        <v>0.075</v>
      </c>
      <c r="H109" s="15" t="inlineStr">
        <is>
          <t>Уровеь масла в расходном баке</t>
        </is>
      </c>
      <c r="I109" s="15" t="inlineStr">
        <is>
          <t>ГПА 62</t>
        </is>
      </c>
      <c r="J109" s="15" t="inlineStr">
        <is>
          <t>АСУ,А и ТМ (КЦ № 6)</t>
        </is>
      </c>
      <c r="K109" s="15" t="n">
        <v>2012</v>
      </c>
      <c r="L109" s="14" t="n">
        <v>36</v>
      </c>
      <c r="M109" s="3" t="n"/>
      <c r="N109" s="70" t="n"/>
    </row>
    <row r="110" ht="22.5" customHeight="1" s="151">
      <c r="A110" s="15">
        <f>IF(B110&lt;&gt;"", COUNTA($B$2:B110), "")</f>
        <v/>
      </c>
      <c r="B110" s="73" t="inlineStr">
        <is>
          <t>Преобразователь избыточного давления</t>
        </is>
      </c>
      <c r="C110" s="15" t="inlineStr">
        <is>
          <t>Honeywell STD-924</t>
        </is>
      </c>
      <c r="D110" s="15" t="inlineStr">
        <is>
          <t>11W18 C3313690001042</t>
        </is>
      </c>
      <c r="E110" s="15" t="n">
        <v>2011</v>
      </c>
      <c r="F110" s="3" t="inlineStr">
        <is>
          <t>0…100 кПа</t>
        </is>
      </c>
      <c r="G110" s="14" t="n">
        <v>0.075</v>
      </c>
      <c r="H110" s="15" t="inlineStr">
        <is>
          <t>Перепад давлений между входной и выходной камерами Ф1</t>
        </is>
      </c>
      <c r="I110" s="15" t="inlineStr">
        <is>
          <t>ГПА 62</t>
        </is>
      </c>
      <c r="J110" s="15" t="inlineStr">
        <is>
          <t>АСУ,А и ТМ (КЦ № 6)</t>
        </is>
      </c>
      <c r="K110" s="15" t="n">
        <v>2012</v>
      </c>
      <c r="L110" s="14" t="n">
        <v>36</v>
      </c>
      <c r="M110" s="3" t="n"/>
      <c r="N110" s="70" t="n"/>
    </row>
    <row r="111" ht="22.5" customHeight="1" s="151">
      <c r="A111" s="15">
        <f>IF(B111&lt;&gt;"", COUNTA($B$2:B111), "")</f>
        <v/>
      </c>
      <c r="B111" s="73" t="inlineStr">
        <is>
          <t>Преобразователь избыточного давления</t>
        </is>
      </c>
      <c r="C111" s="15" t="inlineStr">
        <is>
          <t>Honeywell STD-924</t>
        </is>
      </c>
      <c r="D111" s="15" t="inlineStr">
        <is>
          <t>11W18 C331369001046</t>
        </is>
      </c>
      <c r="E111" s="15" t="n">
        <v>2011</v>
      </c>
      <c r="F111" s="3" t="inlineStr">
        <is>
          <t>0…100 кПа</t>
        </is>
      </c>
      <c r="G111" s="14" t="n">
        <v>0.075</v>
      </c>
      <c r="H111" s="15" t="inlineStr">
        <is>
          <t>Перепад давлений между входной и выходной камерами Ф2</t>
        </is>
      </c>
      <c r="I111" s="15" t="inlineStr">
        <is>
          <t>ГПА 62</t>
        </is>
      </c>
      <c r="J111" s="15" t="inlineStr">
        <is>
          <t>АСУ,А и ТМ (КЦ № 6)</t>
        </is>
      </c>
      <c r="K111" s="15" t="n">
        <v>2012</v>
      </c>
      <c r="L111" s="14" t="n">
        <v>36</v>
      </c>
      <c r="M111" s="3" t="n"/>
      <c r="N111" s="70" t="n"/>
    </row>
    <row r="112" ht="22.5" customHeight="1" s="151">
      <c r="A112" s="15">
        <f>IF(B112&lt;&gt;"", COUNTA($B$2:B112), "")</f>
        <v/>
      </c>
      <c r="B112" s="73" t="inlineStr">
        <is>
          <t>Преобразователь избыточного давления</t>
        </is>
      </c>
      <c r="C112" s="15" t="inlineStr">
        <is>
          <t>Honeywell STD-120</t>
        </is>
      </c>
      <c r="D112" s="15" t="inlineStr">
        <is>
          <t>11W03 C3287149001019</t>
        </is>
      </c>
      <c r="E112" s="14" t="n">
        <v>2010</v>
      </c>
      <c r="F112" s="3" t="inlineStr">
        <is>
          <t>-1000…2500 Па</t>
        </is>
      </c>
      <c r="G112" s="14" t="n">
        <v>0.075</v>
      </c>
      <c r="H112" s="26" t="inlineStr">
        <is>
          <t>Давление инжектируемого потока перед сепаратором С1</t>
        </is>
      </c>
      <c r="I112" s="15" t="inlineStr">
        <is>
          <t>ГПА 62</t>
        </is>
      </c>
      <c r="J112" s="15" t="inlineStr">
        <is>
          <t>АСУ,А и ТМ (КЦ № 6)</t>
        </is>
      </c>
      <c r="K112" s="15" t="n">
        <v>2012</v>
      </c>
      <c r="L112" s="14" t="n">
        <v>36</v>
      </c>
      <c r="M112" s="3" t="n"/>
      <c r="N112" s="70" t="n"/>
    </row>
    <row r="113" ht="22.5" customHeight="1" s="151">
      <c r="A113" s="15">
        <f>IF(B113&lt;&gt;"", COUNTA($B$2:B113), "")</f>
        <v/>
      </c>
      <c r="B113" s="73" t="inlineStr">
        <is>
          <t>Преобразователь избыточного давления</t>
        </is>
      </c>
      <c r="C113" s="15" t="inlineStr">
        <is>
          <t>Honeywell STD-120</t>
        </is>
      </c>
      <c r="D113" s="15" t="inlineStr">
        <is>
          <t>11W03 C3287149001008</t>
        </is>
      </c>
      <c r="E113" s="14" t="n">
        <v>2010</v>
      </c>
      <c r="F113" s="3" t="inlineStr">
        <is>
          <t>0…400 Па</t>
        </is>
      </c>
      <c r="G113" s="14" t="n">
        <v>0.075</v>
      </c>
      <c r="H113" s="15" t="inlineStr">
        <is>
          <t>Избыточное давление воздуха под кожухом двигателя</t>
        </is>
      </c>
      <c r="I113" s="15" t="inlineStr">
        <is>
          <t>ГПА 62</t>
        </is>
      </c>
      <c r="J113" s="15" t="inlineStr">
        <is>
          <t>АСУ,А и ТМ (КЦ № 6)</t>
        </is>
      </c>
      <c r="K113" s="15" t="n">
        <v>2012</v>
      </c>
      <c r="L113" s="14" t="n">
        <v>36</v>
      </c>
      <c r="M113" s="3" t="n"/>
      <c r="N113" s="70" t="n"/>
    </row>
    <row r="114" ht="22.5" customHeight="1" s="151">
      <c r="A114" s="15">
        <f>IF(B114&lt;&gt;"", COUNTA($B$2:B114), "")</f>
        <v/>
      </c>
      <c r="B114" s="73" t="inlineStr">
        <is>
          <t>Преобразователь избыточного давления</t>
        </is>
      </c>
      <c r="C114" s="15" t="inlineStr">
        <is>
          <t>Honeywell STD-120</t>
        </is>
      </c>
      <c r="D114" s="15" t="inlineStr">
        <is>
          <t>10W45 C3273987001053</t>
        </is>
      </c>
      <c r="E114" s="14" t="n">
        <v>2010</v>
      </c>
      <c r="F114" s="3" t="inlineStr">
        <is>
          <t>0…10 кПа</t>
        </is>
      </c>
      <c r="G114" s="14" t="n">
        <v>0.075</v>
      </c>
      <c r="H114" s="15" t="inlineStr">
        <is>
          <t>Давление защитного воздуха на входе опорного подшипника</t>
        </is>
      </c>
      <c r="I114" s="15" t="inlineStr">
        <is>
          <t>ГПА 62</t>
        </is>
      </c>
      <c r="J114" s="15" t="inlineStr">
        <is>
          <t>АСУ,А и ТМ (КЦ № 6)</t>
        </is>
      </c>
      <c r="K114" s="15" t="n">
        <v>2012</v>
      </c>
      <c r="L114" s="14" t="n">
        <v>36</v>
      </c>
      <c r="M114" s="3" t="n"/>
      <c r="N114" s="70" t="n"/>
    </row>
    <row r="115" ht="22.5" customHeight="1" s="151">
      <c r="A115" s="15">
        <f>IF(B115&lt;&gt;"", COUNTA($B$2:B115), "")</f>
        <v/>
      </c>
      <c r="B115" s="73" t="inlineStr">
        <is>
          <t>Преобразователь избыточного давления</t>
        </is>
      </c>
      <c r="C115" s="15" t="inlineStr">
        <is>
          <t>Honeywell STD-120</t>
        </is>
      </c>
      <c r="D115" s="15" t="inlineStr">
        <is>
          <t>10W45 C3273987001027</t>
        </is>
      </c>
      <c r="E115" s="15" t="n">
        <v>2011</v>
      </c>
      <c r="F115" s="3" t="inlineStr">
        <is>
          <t>0…4 кПа</t>
        </is>
      </c>
      <c r="G115" s="14" t="n">
        <v>0.075</v>
      </c>
      <c r="H115" s="15" t="inlineStr">
        <is>
          <t>Давление защитного воздуха на входе опорно-упорного подшипника</t>
        </is>
      </c>
      <c r="I115" s="15" t="inlineStr">
        <is>
          <t>ГПА 62</t>
        </is>
      </c>
      <c r="J115" s="15" t="inlineStr">
        <is>
          <t>АСУ,А и ТМ (КЦ № 6)</t>
        </is>
      </c>
      <c r="K115" s="15" t="n">
        <v>2012</v>
      </c>
      <c r="L115" s="14" t="n">
        <v>36</v>
      </c>
      <c r="M115" s="3" t="n"/>
      <c r="N115" s="70" t="n"/>
    </row>
    <row r="116" ht="22.5" customHeight="1" s="151">
      <c r="A116" s="15">
        <f>IF(B116&lt;&gt;"", COUNTA($B$2:B116), "")</f>
        <v/>
      </c>
      <c r="B116" s="73" t="inlineStr">
        <is>
          <t>Преобразователь избыточного давления</t>
        </is>
      </c>
      <c r="C116" s="15" t="inlineStr">
        <is>
          <t>Honeywell STD-120</t>
        </is>
      </c>
      <c r="D116" s="15" t="inlineStr">
        <is>
          <t>11W03 C3287149001045</t>
        </is>
      </c>
      <c r="E116" s="14" t="n">
        <v>2010</v>
      </c>
      <c r="F116" s="3" t="inlineStr">
        <is>
          <t>0…10 кПа</t>
        </is>
      </c>
      <c r="G116" s="14" t="n">
        <v>0.075</v>
      </c>
      <c r="H116" s="15" t="inlineStr">
        <is>
          <t>Давление защитного воздуха на выходе оболочки опорного подшипника</t>
        </is>
      </c>
      <c r="I116" s="15" t="inlineStr">
        <is>
          <t>ГПА 62</t>
        </is>
      </c>
      <c r="J116" s="15" t="inlineStr">
        <is>
          <t>АСУ,А и ТМ (КЦ № 6)</t>
        </is>
      </c>
      <c r="K116" s="15" t="n">
        <v>2012</v>
      </c>
      <c r="L116" s="14" t="n">
        <v>36</v>
      </c>
      <c r="M116" s="3" t="n"/>
      <c r="N116" s="70" t="n"/>
    </row>
    <row r="117" ht="33.75" customHeight="1" s="151">
      <c r="A117" s="15">
        <f>IF(B117&lt;&gt;"", COUNTA($B$2:B117), "")</f>
        <v/>
      </c>
      <c r="B117" s="73" t="inlineStr">
        <is>
          <t>Преобразователь избыточного давления</t>
        </is>
      </c>
      <c r="C117" s="15" t="inlineStr">
        <is>
          <t>Honeywell STD-120</t>
        </is>
      </c>
      <c r="D117" s="15" t="inlineStr">
        <is>
          <t>11W18 C3313690004003</t>
        </is>
      </c>
      <c r="E117" s="14" t="n">
        <v>2010</v>
      </c>
      <c r="F117" s="3" t="inlineStr">
        <is>
          <t>0…4 кПа</t>
        </is>
      </c>
      <c r="G117" s="14" t="n">
        <v>0.075</v>
      </c>
      <c r="H117" s="15" t="inlineStr">
        <is>
          <t>Давление защитного воздуха на выходе оболочки опорно-упорного подшипника</t>
        </is>
      </c>
      <c r="I117" s="15" t="inlineStr">
        <is>
          <t>ГПА 62</t>
        </is>
      </c>
      <c r="J117" s="15" t="inlineStr">
        <is>
          <t>АСУ,А и ТМ (КЦ № 6)</t>
        </is>
      </c>
      <c r="K117" s="15" t="n">
        <v>2012</v>
      </c>
      <c r="L117" s="14" t="n">
        <v>36</v>
      </c>
      <c r="M117" s="3" t="n"/>
      <c r="N117" s="70" t="n"/>
    </row>
    <row r="118" ht="22.5" customHeight="1" s="151">
      <c r="A118" s="15">
        <f>IF(B118&lt;&gt;"", COUNTA($B$2:B118), "")</f>
        <v/>
      </c>
      <c r="B118" s="73" t="inlineStr">
        <is>
          <t>Преобразователь избыточного давления</t>
        </is>
      </c>
      <c r="C118" s="15" t="inlineStr">
        <is>
          <t>Honeywell STD-120</t>
        </is>
      </c>
      <c r="D118" s="15" t="inlineStr">
        <is>
          <t>11W03 C3287149001038</t>
        </is>
      </c>
      <c r="E118" s="14" t="n">
        <v>2010</v>
      </c>
      <c r="F118" s="3" t="inlineStr">
        <is>
          <t>0…1 кПа</t>
        </is>
      </c>
      <c r="G118" s="14" t="n">
        <v>0.075</v>
      </c>
      <c r="H118" s="15" t="inlineStr">
        <is>
          <t>Давление воздуха на входе Д (разрежение во всас. камере)</t>
        </is>
      </c>
      <c r="I118" s="15" t="inlineStr">
        <is>
          <t>ГПА 62</t>
        </is>
      </c>
      <c r="J118" s="15" t="inlineStr">
        <is>
          <t>АСУ,А и ТМ (КЦ № 6)</t>
        </is>
      </c>
      <c r="K118" s="15" t="n">
        <v>2012</v>
      </c>
      <c r="L118" s="14" t="n">
        <v>36</v>
      </c>
      <c r="M118" s="3" t="n"/>
      <c r="N118" s="70" t="n"/>
    </row>
    <row r="119" ht="22.5" customHeight="1" s="151">
      <c r="A119" s="15">
        <f>IF(B119&lt;&gt;"", COUNTA($B$2:B119), "")</f>
        <v/>
      </c>
      <c r="B119" s="3" t="inlineStr">
        <is>
          <t xml:space="preserve">Расходомер                 </t>
        </is>
      </c>
      <c r="C119" s="17" t="inlineStr">
        <is>
          <t>KROHNE OPTISWIRL 4070/C</t>
        </is>
      </c>
      <c r="D119" s="3" t="inlineStr">
        <is>
          <t>D110000000199395</t>
        </is>
      </c>
      <c r="E119" s="15" t="n">
        <v>2011</v>
      </c>
      <c r="F119" s="17" t="inlineStr">
        <is>
          <t>1,5…15 Нм3/мин</t>
        </is>
      </c>
      <c r="G119" s="17" t="inlineStr">
        <is>
          <t>1</t>
        </is>
      </c>
      <c r="H119" s="3" t="inlineStr">
        <is>
          <t>Расход воздуха на выходе из оболочки опорно-упорного подшипника</t>
        </is>
      </c>
      <c r="I119" s="15" t="inlineStr">
        <is>
          <t>ГПА 62</t>
        </is>
      </c>
      <c r="J119" s="15" t="inlineStr">
        <is>
          <t>АСУ,А и ТМ (КЦ № 6)</t>
        </is>
      </c>
      <c r="K119" s="15" t="n">
        <v>2012</v>
      </c>
      <c r="L119" s="14" t="n">
        <v>36</v>
      </c>
      <c r="M119" s="3" t="n"/>
      <c r="N119" s="70" t="n"/>
      <c r="O119" t="inlineStr">
        <is>
          <t>не соответствуют единицы расхода в АРМ</t>
        </is>
      </c>
    </row>
    <row r="120" ht="22.5" customHeight="1" s="151">
      <c r="A120" s="15">
        <f>IF(B120&lt;&gt;"", COUNTA($B$2:B120), "")</f>
        <v/>
      </c>
      <c r="B120" s="3" t="inlineStr">
        <is>
          <t xml:space="preserve">Расходомер                 </t>
        </is>
      </c>
      <c r="C120" s="17" t="inlineStr">
        <is>
          <t>KROHNE OPTISWIRL 4070/C</t>
        </is>
      </c>
      <c r="D120" s="3" t="inlineStr">
        <is>
          <t>D110000000199397</t>
        </is>
      </c>
      <c r="E120" s="15" t="n">
        <v>2011</v>
      </c>
      <c r="F120" s="17" t="inlineStr">
        <is>
          <t>1,5…15 Нм3/мин</t>
        </is>
      </c>
      <c r="G120" s="17" t="inlineStr">
        <is>
          <t>1</t>
        </is>
      </c>
      <c r="H120" s="3" t="inlineStr">
        <is>
          <t>Расход воздуха на выходе из оболочки опорного подшипника</t>
        </is>
      </c>
      <c r="I120" s="15" t="inlineStr">
        <is>
          <t>ГПА 62</t>
        </is>
      </c>
      <c r="J120" s="15" t="inlineStr">
        <is>
          <t>АСУ,А и ТМ (КЦ № 6)</t>
        </is>
      </c>
      <c r="K120" s="15" t="n">
        <v>2012</v>
      </c>
      <c r="L120" s="14" t="n">
        <v>36</v>
      </c>
      <c r="M120" s="3" t="n"/>
      <c r="N120" s="70" t="n"/>
      <c r="O120" t="inlineStr">
        <is>
          <t>не соответствуют единицы расхода в АРМ</t>
        </is>
      </c>
    </row>
    <row r="121" ht="22.5" customHeight="1" s="151">
      <c r="A121" s="15">
        <f>IF(B121&lt;&gt;"", COUNTA($B$2:B121), "")</f>
        <v/>
      </c>
      <c r="B121" s="3" t="inlineStr">
        <is>
          <t xml:space="preserve">Расходомер                 </t>
        </is>
      </c>
      <c r="C121" s="3" t="inlineStr">
        <is>
          <t>KROHNE/H250</t>
        </is>
      </c>
      <c r="D121" s="3" t="inlineStr">
        <is>
          <t>D110000000182272</t>
        </is>
      </c>
      <c r="E121" s="15" t="n">
        <v>2011</v>
      </c>
      <c r="F121" s="17" t="inlineStr">
        <is>
          <t>6…60 Нм3/час</t>
        </is>
      </c>
      <c r="G121" s="17" t="inlineStr">
        <is>
          <t>1,6</t>
        </is>
      </c>
      <c r="H121" s="3" t="inlineStr">
        <is>
          <t>Расход газа на выходе первой ступени ЗКВ</t>
        </is>
      </c>
      <c r="I121" s="15" t="inlineStr">
        <is>
          <t>ГПА 62</t>
        </is>
      </c>
      <c r="J121" s="15" t="inlineStr">
        <is>
          <t>АСУ,А и ТМ (КЦ № 6)</t>
        </is>
      </c>
      <c r="K121" s="15" t="n">
        <v>2012</v>
      </c>
      <c r="L121" s="14" t="n">
        <v>36</v>
      </c>
      <c r="M121" s="3" t="n"/>
      <c r="N121" s="70" t="n"/>
    </row>
    <row r="122" ht="22.5" customHeight="1" s="151">
      <c r="A122" s="15">
        <f>IF(B122&lt;&gt;"", COUNTA($B$2:B122), "")</f>
        <v/>
      </c>
      <c r="B122" s="3" t="inlineStr">
        <is>
          <t xml:space="preserve">Расходомер                 </t>
        </is>
      </c>
      <c r="C122" s="3" t="inlineStr">
        <is>
          <t>KROHNE/H250</t>
        </is>
      </c>
      <c r="D122" s="3" t="inlineStr">
        <is>
          <t>D110000000182276</t>
        </is>
      </c>
      <c r="E122" s="15" t="n">
        <v>2011</v>
      </c>
      <c r="F122" s="17" t="inlineStr">
        <is>
          <t>6…60 Нм3/час</t>
        </is>
      </c>
      <c r="G122" s="14" t="n">
        <v>1.6</v>
      </c>
      <c r="H122" s="3" t="inlineStr">
        <is>
          <t>Расход газа на выходе первой ступени ПКВ</t>
        </is>
      </c>
      <c r="I122" s="15" t="inlineStr">
        <is>
          <t>ГПА 62</t>
        </is>
      </c>
      <c r="J122" s="15" t="inlineStr">
        <is>
          <t>АСУ,А и ТМ (КЦ № 6)</t>
        </is>
      </c>
      <c r="K122" s="15" t="n">
        <v>2012</v>
      </c>
      <c r="L122" s="14" t="n">
        <v>36</v>
      </c>
      <c r="M122" s="3" t="n"/>
      <c r="N122" s="70" t="n"/>
    </row>
    <row r="123" ht="22.5" customHeight="1" s="151">
      <c r="A123" s="15">
        <f>IF(B123&lt;&gt;"", COUNTA($B$2:B124), "")</f>
        <v/>
      </c>
      <c r="B123" s="15" t="inlineStr">
        <is>
          <t>Уравнемер</t>
        </is>
      </c>
      <c r="C123" s="14" t="inlineStr">
        <is>
          <t>KROHNE BM-26A</t>
        </is>
      </c>
      <c r="D123" s="14" t="inlineStr">
        <is>
          <t>447006647/10.01</t>
        </is>
      </c>
      <c r="E123" s="15" t="n">
        <v>2011</v>
      </c>
      <c r="F123" s="14" t="inlineStr">
        <is>
          <t>0…100 %</t>
        </is>
      </c>
      <c r="G123" s="14" t="inlineStr">
        <is>
          <t>±10 мм</t>
        </is>
      </c>
      <c r="H123" s="14" t="inlineStr">
        <is>
          <t>Уровень жидкости во входной камере Ф1/1</t>
        </is>
      </c>
      <c r="I123" s="15" t="inlineStr">
        <is>
          <t>ГПА 62</t>
        </is>
      </c>
      <c r="J123" s="15" t="inlineStr">
        <is>
          <t>АСУ,А и ТМ (КЦ № 6)</t>
        </is>
      </c>
      <c r="K123" s="15" t="n">
        <v>2012</v>
      </c>
      <c r="L123" s="14" t="n">
        <v>48</v>
      </c>
      <c r="M123" s="3" t="n"/>
      <c r="N123" s="70" t="n"/>
    </row>
    <row r="124">
      <c r="A124" s="15">
        <f>IF(B124&lt;&gt;"", COUNTA($B$2:B124), "")</f>
        <v/>
      </c>
      <c r="B124" s="15" t="inlineStr">
        <is>
          <t>Уравнемер</t>
        </is>
      </c>
      <c r="C124" s="14" t="inlineStr">
        <is>
          <t>KROHNE MS15</t>
        </is>
      </c>
      <c r="D124" s="26" t="inlineStr">
        <is>
          <t>447006647.10.01</t>
        </is>
      </c>
      <c r="E124" s="15" t="n">
        <v>2011</v>
      </c>
      <c r="F124" s="14" t="n"/>
      <c r="G124" s="14" t="n"/>
      <c r="H124" s="14" t="inlineStr">
        <is>
          <t>Нижний уровень SQ2 (Ф1/1)</t>
        </is>
      </c>
      <c r="I124" s="15" t="inlineStr">
        <is>
          <t>ГПА 62</t>
        </is>
      </c>
      <c r="J124" s="15" t="inlineStr">
        <is>
          <t>АСУ,А и ТМ (КЦ № 6)</t>
        </is>
      </c>
      <c r="K124" s="15" t="n">
        <v>2012</v>
      </c>
      <c r="L124" s="14" t="n"/>
      <c r="M124" s="3" t="n"/>
      <c r="N124" s="70" t="n"/>
    </row>
    <row r="125">
      <c r="A125" s="15">
        <f>IF(B125&lt;&gt;"", COUNTA($B$2:B125), "")</f>
        <v/>
      </c>
      <c r="B125" s="15" t="inlineStr">
        <is>
          <t>Уравнемер</t>
        </is>
      </c>
      <c r="C125" s="14" t="inlineStr">
        <is>
          <t>KROHNE MS15</t>
        </is>
      </c>
      <c r="D125" s="14" t="inlineStr">
        <is>
          <t>447006647.10.06</t>
        </is>
      </c>
      <c r="E125" s="15" t="n">
        <v>2011</v>
      </c>
      <c r="F125" s="14" t="n"/>
      <c r="G125" s="14" t="n"/>
      <c r="H125" s="14" t="inlineStr">
        <is>
          <t>Верхний уровень SQ1 (Ф1/1)</t>
        </is>
      </c>
      <c r="I125" s="15" t="inlineStr">
        <is>
          <t>ГПА 62</t>
        </is>
      </c>
      <c r="J125" s="15" t="inlineStr">
        <is>
          <t>АСУ,А и ТМ (КЦ № 6)</t>
        </is>
      </c>
      <c r="K125" s="15" t="n">
        <v>2012</v>
      </c>
      <c r="L125" s="14" t="n"/>
      <c r="M125" s="3" t="n"/>
      <c r="N125" s="70" t="n"/>
    </row>
    <row r="126">
      <c r="A126" s="15">
        <f>IF(B126&lt;&gt;"", COUNTA($B$2:B126), "")</f>
        <v/>
      </c>
      <c r="B126" s="15" t="inlineStr">
        <is>
          <t>Уравнемер</t>
        </is>
      </c>
      <c r="C126" s="14" t="inlineStr">
        <is>
          <t>KROHNE ER/EXD/AL/D</t>
        </is>
      </c>
      <c r="D126" s="14" t="inlineStr">
        <is>
          <t>447006647.10.01</t>
        </is>
      </c>
      <c r="E126" s="15" t="n">
        <v>2011</v>
      </c>
      <c r="F126" s="14" t="n"/>
      <c r="G126" s="14" t="n"/>
      <c r="H126" s="14" t="inlineStr">
        <is>
          <t>Уровень конденсата BL710 (Ф1/1)</t>
        </is>
      </c>
      <c r="I126" s="15" t="inlineStr">
        <is>
          <t>ГПА 62</t>
        </is>
      </c>
      <c r="J126" s="15" t="inlineStr">
        <is>
          <t>АСУ,А и ТМ (КЦ № 6)</t>
        </is>
      </c>
      <c r="K126" s="15" t="n">
        <v>2012</v>
      </c>
      <c r="L126" s="14" t="n"/>
      <c r="M126" s="3" t="n"/>
      <c r="N126" s="70" t="n"/>
    </row>
    <row r="127" ht="22.5" customHeight="1" s="151">
      <c r="A127" s="15">
        <f>IF(B127&lt;&gt;"", COUNTA($B$2:B127), "")</f>
        <v/>
      </c>
      <c r="B127" s="15" t="inlineStr">
        <is>
          <t>Уравнемер</t>
        </is>
      </c>
      <c r="C127" s="14" t="inlineStr">
        <is>
          <t>KROHNE BM-26A</t>
        </is>
      </c>
      <c r="D127" s="14" t="inlineStr">
        <is>
          <t>447006647/10.04</t>
        </is>
      </c>
      <c r="E127" s="15" t="n">
        <v>2011</v>
      </c>
      <c r="F127" s="14" t="inlineStr">
        <is>
          <t>0…100 %</t>
        </is>
      </c>
      <c r="G127" s="14" t="inlineStr">
        <is>
          <t>±10 мм</t>
        </is>
      </c>
      <c r="H127" s="14" t="inlineStr">
        <is>
          <t>Уровень жидкости в выходной камере Ф1/2</t>
        </is>
      </c>
      <c r="I127" s="15" t="inlineStr">
        <is>
          <t>ГПА 62</t>
        </is>
      </c>
      <c r="J127" s="15" t="inlineStr">
        <is>
          <t>АСУ,А и ТМ (КЦ № 6)</t>
        </is>
      </c>
      <c r="K127" s="15" t="n">
        <v>2012</v>
      </c>
      <c r="L127" s="14" t="n">
        <v>48</v>
      </c>
      <c r="M127" s="3" t="n"/>
      <c r="N127" s="70" t="n"/>
    </row>
    <row r="128">
      <c r="A128" s="15">
        <f>IF(B128&lt;&gt;"", COUNTA($B$2:B128), "")</f>
        <v/>
      </c>
      <c r="B128" s="15" t="inlineStr">
        <is>
          <t>Уравнемер</t>
        </is>
      </c>
      <c r="C128" s="14" t="inlineStr">
        <is>
          <t>KROHNE MS15</t>
        </is>
      </c>
      <c r="D128" s="14" t="inlineStr">
        <is>
          <t>447006647.10.08</t>
        </is>
      </c>
      <c r="E128" s="15" t="n">
        <v>2011</v>
      </c>
      <c r="F128" s="14" t="n"/>
      <c r="G128" s="14" t="n"/>
      <c r="H128" s="14" t="inlineStr">
        <is>
          <t>Нижний уровень SQ2 (Ф1/2)</t>
        </is>
      </c>
      <c r="I128" s="15" t="inlineStr">
        <is>
          <t>ГПА 62</t>
        </is>
      </c>
      <c r="J128" s="15" t="inlineStr">
        <is>
          <t>АСУ,А и ТМ (КЦ № 6)</t>
        </is>
      </c>
      <c r="K128" s="15" t="n">
        <v>2012</v>
      </c>
      <c r="L128" s="14" t="n"/>
      <c r="M128" s="3" t="n"/>
      <c r="N128" s="70" t="n"/>
    </row>
    <row r="129">
      <c r="A129" s="15">
        <f>IF(B129&lt;&gt;"", COUNTA($B$2:B129), "")</f>
        <v/>
      </c>
      <c r="B129" s="15" t="inlineStr">
        <is>
          <t>Уравнемер</t>
        </is>
      </c>
      <c r="C129" s="14" t="inlineStr">
        <is>
          <t>KROHNE MS15</t>
        </is>
      </c>
      <c r="D129" s="14" t="inlineStr">
        <is>
          <t>447006647.10.07</t>
        </is>
      </c>
      <c r="E129" s="15" t="n">
        <v>2011</v>
      </c>
      <c r="F129" s="14" t="n"/>
      <c r="G129" s="14" t="n"/>
      <c r="H129" s="14" t="inlineStr">
        <is>
          <t>Верхний уровень SQ1 (Ф1/2)</t>
        </is>
      </c>
      <c r="I129" s="15" t="inlineStr">
        <is>
          <t>ГПА 62</t>
        </is>
      </c>
      <c r="J129" s="15" t="inlineStr">
        <is>
          <t>АСУ,А и ТМ (КЦ № 6)</t>
        </is>
      </c>
      <c r="K129" s="15" t="n">
        <v>2012</v>
      </c>
      <c r="L129" s="14" t="n"/>
      <c r="M129" s="3" t="n"/>
      <c r="N129" s="70" t="n"/>
    </row>
    <row r="130">
      <c r="A130" s="15">
        <f>IF(B130&lt;&gt;"", COUNTA($B$2:B130), "")</f>
        <v/>
      </c>
      <c r="B130" s="15" t="inlineStr">
        <is>
          <t>Уравнемер</t>
        </is>
      </c>
      <c r="C130" s="14" t="inlineStr">
        <is>
          <t>KROHNE ER/EXD/AL/D</t>
        </is>
      </c>
      <c r="D130" s="14" t="inlineStr">
        <is>
          <t>447006647.10.04</t>
        </is>
      </c>
      <c r="E130" s="15" t="n">
        <v>2011</v>
      </c>
      <c r="F130" s="14" t="n"/>
      <c r="G130" s="14" t="n"/>
      <c r="H130" s="14" t="inlineStr">
        <is>
          <t>Уровень конденсата BL711 (Ф1/2)</t>
        </is>
      </c>
      <c r="I130" s="15" t="inlineStr">
        <is>
          <t>ГПА 62</t>
        </is>
      </c>
      <c r="J130" s="15" t="inlineStr">
        <is>
          <t>АСУ,А и ТМ (КЦ № 6)</t>
        </is>
      </c>
      <c r="K130" s="15" t="n">
        <v>2012</v>
      </c>
      <c r="L130" s="14" t="n"/>
      <c r="M130" s="3" t="n"/>
      <c r="N130" s="70" t="n"/>
    </row>
    <row r="131" ht="22.5" customHeight="1" s="151">
      <c r="A131" s="15">
        <f>IF(B131&lt;&gt;"", COUNTA($B$2:B131), "")</f>
        <v/>
      </c>
      <c r="B131" s="15" t="inlineStr">
        <is>
          <t>Уравнемер</t>
        </is>
      </c>
      <c r="C131" s="14" t="inlineStr">
        <is>
          <t>KROHNE BM-26A</t>
        </is>
      </c>
      <c r="D131" s="14" t="inlineStr">
        <is>
          <t>447006647/10.08</t>
        </is>
      </c>
      <c r="E131" s="15" t="n">
        <v>2011</v>
      </c>
      <c r="F131" s="14" t="inlineStr">
        <is>
          <t>0…100 %</t>
        </is>
      </c>
      <c r="G131" s="14" t="inlineStr">
        <is>
          <t>±10 мм</t>
        </is>
      </c>
      <c r="H131" s="14" t="inlineStr">
        <is>
          <t>Уровень жидкости во входной камере Ф2/1</t>
        </is>
      </c>
      <c r="I131" s="15" t="inlineStr">
        <is>
          <t>ГПА 62</t>
        </is>
      </c>
      <c r="J131" s="15" t="inlineStr">
        <is>
          <t>АСУ,А и ТМ (КЦ № 6)</t>
        </is>
      </c>
      <c r="K131" s="15" t="n">
        <v>2012</v>
      </c>
      <c r="L131" s="14" t="n">
        <v>48</v>
      </c>
      <c r="M131" s="3" t="n"/>
      <c r="N131" s="70" t="n"/>
    </row>
    <row r="132">
      <c r="A132" s="15">
        <f>IF(B132&lt;&gt;"", COUNTA($B$2:B132), "")</f>
        <v/>
      </c>
      <c r="B132" s="15" t="inlineStr">
        <is>
          <t>Уравнемер</t>
        </is>
      </c>
      <c r="C132" s="14" t="inlineStr">
        <is>
          <t>KROHNE MS15</t>
        </is>
      </c>
      <c r="D132" s="14" t="inlineStr">
        <is>
          <t>447006647.10.11</t>
        </is>
      </c>
      <c r="E132" s="15" t="n">
        <v>2011</v>
      </c>
      <c r="F132" s="14" t="n"/>
      <c r="G132" s="14" t="n"/>
      <c r="H132" s="14" t="inlineStr">
        <is>
          <t>Нижний уровень SQ2 (Ф2/1)</t>
        </is>
      </c>
      <c r="I132" s="15" t="inlineStr">
        <is>
          <t>ГПА 62</t>
        </is>
      </c>
      <c r="J132" s="15" t="inlineStr">
        <is>
          <t>АСУ,А и ТМ (КЦ № 6)</t>
        </is>
      </c>
      <c r="K132" s="15" t="n">
        <v>2012</v>
      </c>
      <c r="L132" s="14" t="n"/>
      <c r="M132" s="3" t="n"/>
      <c r="N132" s="70" t="n"/>
    </row>
    <row r="133">
      <c r="A133" s="15">
        <f>IF(B133&lt;&gt;"", COUNTA($B$2:B133), "")</f>
        <v/>
      </c>
      <c r="B133" s="15" t="inlineStr">
        <is>
          <t>Уравнемер</t>
        </is>
      </c>
      <c r="C133" s="14" t="inlineStr">
        <is>
          <t>KROHNE MS15</t>
        </is>
      </c>
      <c r="D133" s="14" t="inlineStr">
        <is>
          <t>447006647.10.09</t>
        </is>
      </c>
      <c r="E133" s="15" t="n">
        <v>2011</v>
      </c>
      <c r="F133" s="14" t="n"/>
      <c r="G133" s="14" t="n"/>
      <c r="H133" s="14" t="inlineStr">
        <is>
          <t>Верхний уровень SQ1 (Ф2/1)</t>
        </is>
      </c>
      <c r="I133" s="15" t="inlineStr">
        <is>
          <t>ГПА 62</t>
        </is>
      </c>
      <c r="J133" s="15" t="inlineStr">
        <is>
          <t>АСУ,А и ТМ (КЦ № 6)</t>
        </is>
      </c>
      <c r="K133" s="15" t="n">
        <v>2012</v>
      </c>
      <c r="L133" s="14" t="n"/>
      <c r="M133" s="3" t="n"/>
      <c r="N133" s="70" t="n"/>
    </row>
    <row r="134">
      <c r="A134" s="15">
        <f>IF(B134&lt;&gt;"", COUNTA($B$2:B134), "")</f>
        <v/>
      </c>
      <c r="B134" s="15" t="inlineStr">
        <is>
          <t>Уравнемер</t>
        </is>
      </c>
      <c r="C134" s="14" t="inlineStr">
        <is>
          <t>KROHNE ER/EXD/AL/D</t>
        </is>
      </c>
      <c r="D134" s="14" t="inlineStr">
        <is>
          <t>447006647.10.08</t>
        </is>
      </c>
      <c r="E134" s="15" t="n">
        <v>2011</v>
      </c>
      <c r="F134" s="14" t="n"/>
      <c r="G134" s="14" t="n"/>
      <c r="H134" s="14" t="inlineStr">
        <is>
          <t>Уровень конденсата BL712 (Ф2/1)</t>
        </is>
      </c>
      <c r="I134" s="15" t="inlineStr">
        <is>
          <t>ГПА 62</t>
        </is>
      </c>
      <c r="J134" s="15" t="inlineStr">
        <is>
          <t>АСУ,А и ТМ (КЦ № 6)</t>
        </is>
      </c>
      <c r="K134" s="15" t="n">
        <v>2012</v>
      </c>
      <c r="L134" s="14" t="n"/>
      <c r="M134" s="3" t="n"/>
      <c r="N134" s="70" t="n"/>
    </row>
    <row r="135" ht="22.5" customHeight="1" s="151">
      <c r="A135" s="15">
        <f>IF(B135&lt;&gt;"", COUNTA($B$2:B135), "")</f>
        <v/>
      </c>
      <c r="B135" s="15" t="inlineStr">
        <is>
          <t>Уравнемер</t>
        </is>
      </c>
      <c r="C135" s="14" t="inlineStr">
        <is>
          <t>KROHNE BM-26A</t>
        </is>
      </c>
      <c r="D135" s="14" t="inlineStr">
        <is>
          <t>447006647/10.15</t>
        </is>
      </c>
      <c r="E135" s="15" t="n">
        <v>2011</v>
      </c>
      <c r="F135" s="14" t="inlineStr">
        <is>
          <t>0…100 %</t>
        </is>
      </c>
      <c r="G135" s="14" t="inlineStr">
        <is>
          <t>±10 мм</t>
        </is>
      </c>
      <c r="H135" s="14" t="inlineStr">
        <is>
          <t>Уровень жидкости в выходной камере Ф2/2</t>
        </is>
      </c>
      <c r="I135" s="15" t="inlineStr">
        <is>
          <t>ГПА 62</t>
        </is>
      </c>
      <c r="J135" s="15" t="inlineStr">
        <is>
          <t>АСУ,А и ТМ (КЦ № 6)</t>
        </is>
      </c>
      <c r="K135" s="15" t="n">
        <v>2012</v>
      </c>
      <c r="L135" s="14" t="n">
        <v>48</v>
      </c>
      <c r="M135" s="3" t="n"/>
      <c r="N135" s="70" t="n"/>
    </row>
    <row r="136">
      <c r="A136" s="15">
        <f>IF(B136&lt;&gt;"", COUNTA($B$2:B136), "")</f>
        <v/>
      </c>
      <c r="B136" s="15" t="inlineStr">
        <is>
          <t>Уравнемер</t>
        </is>
      </c>
      <c r="C136" s="14" t="inlineStr">
        <is>
          <t>KROHNE MS15</t>
        </is>
      </c>
      <c r="D136" s="14" t="inlineStr">
        <is>
          <t>447006647.10.16</t>
        </is>
      </c>
      <c r="E136" s="15" t="n">
        <v>2011</v>
      </c>
      <c r="F136" s="14" t="n"/>
      <c r="G136" s="14" t="n"/>
      <c r="H136" s="14" t="inlineStr">
        <is>
          <t>Нижний уровень SQ2 (Ф2/2)</t>
        </is>
      </c>
      <c r="I136" s="15" t="inlineStr">
        <is>
          <t>ГПА 62</t>
        </is>
      </c>
      <c r="J136" s="15" t="inlineStr">
        <is>
          <t>АСУ,А и ТМ (КЦ № 6)</t>
        </is>
      </c>
      <c r="K136" s="15" t="n">
        <v>2012</v>
      </c>
      <c r="L136" s="14" t="n"/>
      <c r="M136" s="3" t="n"/>
      <c r="N136" s="70" t="n"/>
    </row>
    <row r="137">
      <c r="A137" s="15">
        <f>IF(B137&lt;&gt;"", COUNTA($B$2:B137), "")</f>
        <v/>
      </c>
      <c r="B137" s="15" t="inlineStr">
        <is>
          <t>Уравнемер</t>
        </is>
      </c>
      <c r="C137" s="14" t="inlineStr">
        <is>
          <t>KROHNE MS15</t>
        </is>
      </c>
      <c r="D137" s="14" t="inlineStr">
        <is>
          <t>447006647.10.14</t>
        </is>
      </c>
      <c r="E137" s="15" t="n">
        <v>2011</v>
      </c>
      <c r="F137" s="14" t="n"/>
      <c r="G137" s="14" t="n"/>
      <c r="H137" s="14" t="inlineStr">
        <is>
          <t>Верхний уровень SQ1 (Ф2/2)</t>
        </is>
      </c>
      <c r="I137" s="15" t="inlineStr">
        <is>
          <t>ГПА 62</t>
        </is>
      </c>
      <c r="J137" s="15" t="inlineStr">
        <is>
          <t>АСУ,А и ТМ (КЦ № 6)</t>
        </is>
      </c>
      <c r="K137" s="15" t="n">
        <v>2012</v>
      </c>
      <c r="L137" s="14" t="n"/>
      <c r="M137" s="3" t="n"/>
      <c r="N137" s="70" t="n"/>
    </row>
    <row r="138">
      <c r="A138" s="15">
        <f>IF(B138&lt;&gt;"", COUNTA($B$2:B138), "")</f>
        <v/>
      </c>
      <c r="B138" s="15" t="inlineStr">
        <is>
          <t>Уравнемер</t>
        </is>
      </c>
      <c r="C138" s="14" t="inlineStr">
        <is>
          <t>KROHNE ER/EXD/AL/D</t>
        </is>
      </c>
      <c r="D138" s="14" t="inlineStr">
        <is>
          <t>447006647.10.15</t>
        </is>
      </c>
      <c r="E138" s="15" t="n">
        <v>2011</v>
      </c>
      <c r="F138" s="14" t="n"/>
      <c r="G138" s="14" t="n"/>
      <c r="H138" s="14" t="inlineStr">
        <is>
          <t>Уровень конденсата BL713 (Ф2/2)</t>
        </is>
      </c>
      <c r="I138" s="15" t="inlineStr">
        <is>
          <t>ГПА 62</t>
        </is>
      </c>
      <c r="J138" s="15" t="inlineStr">
        <is>
          <t>АСУ,А и ТМ (КЦ № 6)</t>
        </is>
      </c>
      <c r="K138" s="15" t="n">
        <v>2012</v>
      </c>
      <c r="L138" s="14" t="n"/>
      <c r="M138" s="3" t="n"/>
      <c r="N138" s="70" t="n"/>
    </row>
    <row r="139" ht="22.5" customHeight="1" s="151">
      <c r="A139" s="15">
        <f>IF(B139&lt;&gt;"", COUNTA($B$2:B139), "")</f>
        <v/>
      </c>
      <c r="B139" s="15" t="inlineStr">
        <is>
          <t>Уравнемер</t>
        </is>
      </c>
      <c r="C139" s="14" t="inlineStr">
        <is>
          <t>KROHNE optiswitch 5200C</t>
        </is>
      </c>
      <c r="D139" s="14" t="n">
        <v>20408764</v>
      </c>
      <c r="E139" s="15" t="n">
        <v>2011</v>
      </c>
      <c r="F139" s="14" t="inlineStr">
        <is>
          <t>0…400 мм</t>
        </is>
      </c>
      <c r="G139" s="14" t="n"/>
      <c r="H139" s="14" t="inlineStr">
        <is>
          <t>Уровень теплоносителя в подогревателе BL1</t>
        </is>
      </c>
      <c r="I139" s="15" t="inlineStr">
        <is>
          <t>ГПА 62</t>
        </is>
      </c>
      <c r="J139" s="15" t="inlineStr">
        <is>
          <t>АСУ,А и ТМ (КЦ № 6)</t>
        </is>
      </c>
      <c r="K139" s="15" t="n">
        <v>2012</v>
      </c>
      <c r="L139" s="14" t="n"/>
      <c r="M139" s="3" t="n"/>
      <c r="N139" s="70" t="n"/>
    </row>
    <row r="140" ht="33.75" customHeight="1" s="151">
      <c r="A140" s="15">
        <f>IF(B140&lt;&gt;"", COUNTA($B$2:B140), "")</f>
        <v/>
      </c>
      <c r="B140" s="3" t="inlineStr">
        <is>
          <t xml:space="preserve">Расходомер                 </t>
        </is>
      </c>
      <c r="C140" s="14" t="inlineStr">
        <is>
          <t>Micrp Motion F200S-366-C-C-A-Z-E-ZZZ-Z (170011AFFEZZZ)</t>
        </is>
      </c>
      <c r="D140" s="14" t="inlineStr">
        <is>
          <t>sensor       14226911     (голова       3812706)</t>
        </is>
      </c>
      <c r="E140" s="15" t="n">
        <v>2011</v>
      </c>
      <c r="F140" s="14" t="inlineStr">
        <is>
          <t xml:space="preserve">0…6300 кг/час </t>
        </is>
      </c>
      <c r="G140" s="14" t="inlineStr">
        <is>
          <t>±0,5 (для газа)</t>
        </is>
      </c>
      <c r="H140" s="15" t="inlineStr">
        <is>
          <t>Расход топливного газа (коммерческий учет)</t>
        </is>
      </c>
      <c r="I140" s="15" t="inlineStr">
        <is>
          <t>ГПА 62</t>
        </is>
      </c>
      <c r="J140" s="15" t="inlineStr">
        <is>
          <t>АСУ,А и ТМ (КЦ № 6)</t>
        </is>
      </c>
      <c r="K140" s="15" t="n">
        <v>2012</v>
      </c>
      <c r="L140" s="14" t="n">
        <v>48</v>
      </c>
      <c r="M140" s="3" t="n"/>
      <c r="N140" s="70" t="n"/>
    </row>
    <row r="141" ht="33.75" customHeight="1" s="151">
      <c r="A141" s="15">
        <f>IF(B141&lt;&gt;"", COUNTA($B$2:B141), "")</f>
        <v/>
      </c>
      <c r="B141" s="14" t="inlineStr">
        <is>
          <t>Датчик вибрации</t>
        </is>
      </c>
      <c r="C141" s="8" t="inlineStr">
        <is>
          <t>ВПД 10-1,0/8,0</t>
        </is>
      </c>
      <c r="D141" s="14" t="inlineStr">
        <is>
          <t>Отсутствует доступ к датчику</t>
        </is>
      </c>
      <c r="E141" s="14" t="n">
        <v>2010</v>
      </c>
      <c r="F141" s="14" t="inlineStr">
        <is>
          <t>0…500 мкм (канал)</t>
        </is>
      </c>
      <c r="G141" s="14" t="inlineStr">
        <is>
          <t>нормируется для канала измерения</t>
        </is>
      </c>
      <c r="H141" s="15" t="inlineStr">
        <is>
          <t>Размах виброперемещения со стороны привода (горизонтальная составляющая)</t>
        </is>
      </c>
      <c r="I141" s="15" t="inlineStr">
        <is>
          <t>ГПА 62</t>
        </is>
      </c>
      <c r="J141" s="15" t="inlineStr">
        <is>
          <t>АСУ,А и ТМ (КЦ № 6)</t>
        </is>
      </c>
      <c r="K141" s="15" t="n">
        <v>2012</v>
      </c>
      <c r="L141" s="14" t="n">
        <v>24</v>
      </c>
      <c r="M141" s="3" t="n"/>
      <c r="N141" s="70" t="n"/>
    </row>
    <row r="142" ht="22.5" customHeight="1" s="151">
      <c r="A142" s="15">
        <f>IF(B142&lt;&gt;"", COUNTA($B$2:B142), "")</f>
        <v/>
      </c>
      <c r="B142" s="14" t="inlineStr">
        <is>
          <t>Датчик вибрации</t>
        </is>
      </c>
      <c r="C142" s="8" t="inlineStr">
        <is>
          <t>ВПД 10-1,0/8,0</t>
        </is>
      </c>
      <c r="D142" s="14" t="inlineStr">
        <is>
          <t>Отсутствует доступ к датчику</t>
        </is>
      </c>
      <c r="E142" s="14" t="n">
        <v>2010</v>
      </c>
      <c r="F142" s="14" t="inlineStr">
        <is>
          <t>0…500 мкм (канал)</t>
        </is>
      </c>
      <c r="G142" s="14" t="inlineStr">
        <is>
          <t>нормируется для канала измерения</t>
        </is>
      </c>
      <c r="H142" s="15" t="inlineStr">
        <is>
          <t>Размах виброперемещения со стороны привода (вертикальная составляющая)</t>
        </is>
      </c>
      <c r="I142" s="15" t="inlineStr">
        <is>
          <t>ГПА 62</t>
        </is>
      </c>
      <c r="J142" s="15" t="inlineStr">
        <is>
          <t>АСУ,А и ТМ (КЦ № 6)</t>
        </is>
      </c>
      <c r="K142" s="15" t="n">
        <v>2012</v>
      </c>
      <c r="L142" s="14" t="n">
        <v>24</v>
      </c>
      <c r="M142" s="3" t="n"/>
      <c r="N142" s="70" t="n"/>
    </row>
    <row r="143" ht="33.75" customHeight="1" s="151">
      <c r="A143" s="15">
        <f>IF(B143&lt;&gt;"", COUNTA($B$2:B143), "")</f>
        <v/>
      </c>
      <c r="B143" s="14" t="inlineStr">
        <is>
          <t>Датчик вибрации</t>
        </is>
      </c>
      <c r="C143" s="8" t="inlineStr">
        <is>
          <t>ВПД 10-1,0/8,0</t>
        </is>
      </c>
      <c r="D143" s="14" t="inlineStr">
        <is>
          <t>Отсутствует доступ к датчику</t>
        </is>
      </c>
      <c r="E143" s="14" t="n">
        <v>2010</v>
      </c>
      <c r="F143" s="14" t="inlineStr">
        <is>
          <t>0…500 мкм (канал)</t>
        </is>
      </c>
      <c r="G143" s="14" t="inlineStr">
        <is>
          <t>нормируется для канала измерения</t>
        </is>
      </c>
      <c r="H143" s="15" t="inlineStr">
        <is>
          <t>Размах виброперемещения со стороны свободного конца (горизонтальная составляющая)</t>
        </is>
      </c>
      <c r="I143" s="15" t="inlineStr">
        <is>
          <t>ГПА 62</t>
        </is>
      </c>
      <c r="J143" s="15" t="inlineStr">
        <is>
          <t>АСУ,А и ТМ (КЦ № 6)</t>
        </is>
      </c>
      <c r="K143" s="15" t="n">
        <v>2012</v>
      </c>
      <c r="L143" s="14" t="n">
        <v>24</v>
      </c>
      <c r="M143" s="3" t="n"/>
      <c r="N143" s="70" t="n"/>
    </row>
    <row r="144" ht="33.75" customHeight="1" s="151">
      <c r="A144" s="15">
        <f>IF(B144&lt;&gt;"", COUNTA($B$2:B144), "")</f>
        <v/>
      </c>
      <c r="B144" s="14" t="inlineStr">
        <is>
          <t>Датчик вибрации</t>
        </is>
      </c>
      <c r="C144" s="8" t="inlineStr">
        <is>
          <t>ВПД 10-1,0/8,0</t>
        </is>
      </c>
      <c r="D144" s="14" t="inlineStr">
        <is>
          <t>Отсутствует доступ к датчику</t>
        </is>
      </c>
      <c r="E144" s="14" t="n">
        <v>2010</v>
      </c>
      <c r="F144" s="14" t="inlineStr">
        <is>
          <t>0…500 мкм (канал)</t>
        </is>
      </c>
      <c r="G144" s="14" t="inlineStr">
        <is>
          <t>нормируется для канала измерения</t>
        </is>
      </c>
      <c r="H144" s="15" t="inlineStr">
        <is>
          <t>Размах виброперемещения со стороны свободного конца (вертикальная составляющая)</t>
        </is>
      </c>
      <c r="I144" s="15" t="inlineStr">
        <is>
          <t>ГПА 62</t>
        </is>
      </c>
      <c r="J144" s="15" t="inlineStr">
        <is>
          <t>АСУ,А и ТМ (КЦ № 6)</t>
        </is>
      </c>
      <c r="K144" s="15" t="n">
        <v>2012</v>
      </c>
      <c r="L144" s="14" t="n">
        <v>24</v>
      </c>
      <c r="M144" s="3" t="n"/>
      <c r="N144" s="70" t="n"/>
    </row>
    <row r="145" ht="22.5" customHeight="1" s="151">
      <c r="A145" s="15">
        <f>IF(B145&lt;&gt;"", COUNTA($B$2:B145), "")</f>
        <v/>
      </c>
      <c r="B145" s="14" t="inlineStr">
        <is>
          <t>Датчик вибрации</t>
        </is>
      </c>
      <c r="C145" s="8" t="inlineStr">
        <is>
          <t>ВПД 10-1,0/8,0</t>
        </is>
      </c>
      <c r="D145" s="14" t="inlineStr">
        <is>
          <t>Отсутствует доступ к датчику</t>
        </is>
      </c>
      <c r="E145" s="14" t="n">
        <v>2010</v>
      </c>
      <c r="F145" s="14" t="inlineStr">
        <is>
          <t>0…500 мкм (канал)</t>
        </is>
      </c>
      <c r="G145" s="14" t="inlineStr">
        <is>
          <t>нормируется для канала измерения</t>
        </is>
      </c>
      <c r="H145" s="15" t="inlineStr">
        <is>
          <t>Размах виброперемещения в осевом направлении</t>
        </is>
      </c>
      <c r="I145" s="15" t="inlineStr">
        <is>
          <t>ГПА 62</t>
        </is>
      </c>
      <c r="J145" s="15" t="inlineStr">
        <is>
          <t>АСУ,А и ТМ (КЦ № 6)</t>
        </is>
      </c>
      <c r="K145" s="15" t="n">
        <v>2012</v>
      </c>
      <c r="L145" s="14" t="n">
        <v>24</v>
      </c>
      <c r="M145" s="3" t="n"/>
      <c r="N145" s="70" t="n"/>
    </row>
    <row r="146" ht="22.5" customHeight="1" s="151">
      <c r="A146" s="15">
        <f>IF(B146&lt;&gt;"", COUNTA($B$2:B146), "")</f>
        <v/>
      </c>
      <c r="B146" s="14" t="inlineStr">
        <is>
          <t>Датчик вибрации</t>
        </is>
      </c>
      <c r="C146" s="8" t="inlineStr">
        <is>
          <t>ВПД 10-1,0/7,0Р</t>
        </is>
      </c>
      <c r="D146" s="14" t="inlineStr">
        <is>
          <t>Отсутствует доступ к датчику</t>
        </is>
      </c>
      <c r="E146" s="14" t="n">
        <v>2010</v>
      </c>
      <c r="F146" s="14" t="inlineStr">
        <is>
          <t>0…1000 мкм (канал)</t>
        </is>
      </c>
      <c r="G146" s="14" t="inlineStr">
        <is>
          <t>нормируется для канала измерения</t>
        </is>
      </c>
      <c r="H146" s="15" t="inlineStr">
        <is>
          <t>Датчик оборотов ротора нагнетателя</t>
        </is>
      </c>
      <c r="I146" s="15" t="inlineStr">
        <is>
          <t>ГПА 62</t>
        </is>
      </c>
      <c r="J146" s="15" t="inlineStr">
        <is>
          <t>АСУ,А и ТМ (КЦ № 6)</t>
        </is>
      </c>
      <c r="K146" s="15" t="n">
        <v>2012</v>
      </c>
      <c r="L146" s="14" t="n">
        <v>24</v>
      </c>
      <c r="M146" s="3" t="n"/>
      <c r="N146" s="70" t="n"/>
    </row>
    <row r="147" ht="22.5" customHeight="1" s="151">
      <c r="A147" s="15">
        <f>IF(B147&lt;&gt;"", COUNTA($B$2:B147), "")</f>
        <v/>
      </c>
      <c r="B147" s="16" t="inlineStr">
        <is>
          <t>Термометр сопротивления</t>
        </is>
      </c>
      <c r="C147" s="17" t="inlineStr">
        <is>
          <t>ТСП 012.60 Pt100/B/3</t>
        </is>
      </c>
      <c r="D147" s="3" t="inlineStr">
        <is>
          <t>319</t>
        </is>
      </c>
      <c r="E147" s="15" t="n">
        <v>2011</v>
      </c>
      <c r="F147" s="17" t="inlineStr">
        <is>
          <t>-60…200 °С</t>
        </is>
      </c>
      <c r="G147" s="17" t="inlineStr">
        <is>
          <t>B</t>
        </is>
      </c>
      <c r="H147" s="3" t="inlineStr">
        <is>
          <t>Температура масла после охладителя (на входе в двигатель)</t>
        </is>
      </c>
      <c r="I147" s="15" t="inlineStr">
        <is>
          <t>ГПА 62</t>
        </is>
      </c>
      <c r="J147" s="15" t="inlineStr">
        <is>
          <t>АСУ,А и ТМ (КЦ № 6)</t>
        </is>
      </c>
      <c r="K147" s="15" t="n">
        <v>2012</v>
      </c>
      <c r="L147" s="14" t="n">
        <v>24</v>
      </c>
      <c r="M147" s="17" t="inlineStr">
        <is>
          <t>10.02.2016</t>
        </is>
      </c>
      <c r="N147" s="70" t="inlineStr">
        <is>
          <t>К</t>
        </is>
      </c>
    </row>
    <row r="148" ht="22.5" customHeight="1" s="151">
      <c r="A148" s="15">
        <f>IF(B148&lt;&gt;"", COUNTA($B$2:B148), "")</f>
        <v/>
      </c>
      <c r="B148" s="16" t="inlineStr">
        <is>
          <t>Термометр сопротивления</t>
        </is>
      </c>
      <c r="C148" s="17" t="inlineStr">
        <is>
          <t>ТСП 012.60 Pt100/B/3</t>
        </is>
      </c>
      <c r="D148" s="3" t="inlineStr">
        <is>
          <t>396</t>
        </is>
      </c>
      <c r="E148" s="15" t="n">
        <v>2011</v>
      </c>
      <c r="F148" s="17" t="inlineStr">
        <is>
          <t>-60…200 °С</t>
        </is>
      </c>
      <c r="G148" s="17" t="inlineStr">
        <is>
          <t>B</t>
        </is>
      </c>
      <c r="H148" s="3" t="inlineStr">
        <is>
          <t>Температура масла на выходе двигателя (перед маслоохладителем)</t>
        </is>
      </c>
      <c r="I148" s="15" t="inlineStr">
        <is>
          <t>ГПА 62</t>
        </is>
      </c>
      <c r="J148" s="15" t="inlineStr">
        <is>
          <t>АСУ,А и ТМ (КЦ № 6)</t>
        </is>
      </c>
      <c r="K148" s="15" t="n">
        <v>2012</v>
      </c>
      <c r="L148" s="14" t="n">
        <v>24</v>
      </c>
      <c r="M148" s="3" t="inlineStr">
        <is>
          <t>11.02.2016</t>
        </is>
      </c>
      <c r="N148" s="70" t="inlineStr">
        <is>
          <t>К</t>
        </is>
      </c>
    </row>
    <row r="149" ht="22.5" customHeight="1" s="151">
      <c r="A149" s="15">
        <f>IF(B149&lt;&gt;"", COUNTA($B$2:B149), "")</f>
        <v/>
      </c>
      <c r="B149" s="16" t="inlineStr">
        <is>
          <t>Термометр сопротивления</t>
        </is>
      </c>
      <c r="C149" s="17" t="inlineStr">
        <is>
          <t>ТСП 012.60 Pt100/B/3</t>
        </is>
      </c>
      <c r="D149" s="15" t="n">
        <v>343</v>
      </c>
      <c r="E149" s="15" t="n">
        <v>2011</v>
      </c>
      <c r="F149" s="17" t="inlineStr">
        <is>
          <t>-60…200 °С</t>
        </is>
      </c>
      <c r="G149" s="17" t="inlineStr">
        <is>
          <t>B</t>
        </is>
      </c>
      <c r="H149" s="3" t="inlineStr">
        <is>
          <t>Температра масла в баке двигателя</t>
        </is>
      </c>
      <c r="I149" s="15" t="inlineStr">
        <is>
          <t>ГПА 62</t>
        </is>
      </c>
      <c r="J149" s="15" t="inlineStr">
        <is>
          <t>АСУ,А и ТМ (КЦ № 6)</t>
        </is>
      </c>
      <c r="K149" s="15" t="n">
        <v>2012</v>
      </c>
      <c r="L149" s="14" t="n">
        <v>24</v>
      </c>
      <c r="M149" s="3" t="inlineStr">
        <is>
          <t>11.02.2016</t>
        </is>
      </c>
      <c r="N149" s="70" t="inlineStr">
        <is>
          <t>К</t>
        </is>
      </c>
    </row>
    <row r="150" ht="22.5" customHeight="1" s="151">
      <c r="A150" s="15">
        <f>IF(B150&lt;&gt;"", COUNTA($B$2:B150), "")</f>
        <v/>
      </c>
      <c r="B150" s="16" t="inlineStr">
        <is>
          <t>Термометр сопротивления</t>
        </is>
      </c>
      <c r="C150" s="17" t="inlineStr">
        <is>
          <t>ТСП 012.60 Pt100/B/3</t>
        </is>
      </c>
      <c r="D150" s="3" t="inlineStr">
        <is>
          <t>461</t>
        </is>
      </c>
      <c r="E150" s="15" t="n">
        <v>2011</v>
      </c>
      <c r="F150" s="17" t="inlineStr">
        <is>
          <t>-60…200 °С</t>
        </is>
      </c>
      <c r="G150" s="17" t="inlineStr">
        <is>
          <t>B</t>
        </is>
      </c>
      <c r="H150" s="3" t="inlineStr">
        <is>
          <t>Температура топливного газа перед расходомерным устройством</t>
        </is>
      </c>
      <c r="I150" s="15" t="inlineStr">
        <is>
          <t>ГПА 62</t>
        </is>
      </c>
      <c r="J150" s="15" t="inlineStr">
        <is>
          <t>АСУ,А и ТМ (КЦ № 6)</t>
        </is>
      </c>
      <c r="K150" s="15" t="n">
        <v>2012</v>
      </c>
      <c r="L150" s="14" t="n">
        <v>24</v>
      </c>
      <c r="M150" s="3" t="inlineStr">
        <is>
          <t>11.02.2016</t>
        </is>
      </c>
      <c r="N150" s="70" t="inlineStr">
        <is>
          <t>К</t>
        </is>
      </c>
    </row>
    <row r="151" ht="22.5" customHeight="1" s="151">
      <c r="A151" s="15">
        <f>IF(B151&lt;&gt;"", COUNTA($B$2:B151), "")</f>
        <v/>
      </c>
      <c r="B151" s="16" t="inlineStr">
        <is>
          <t>Термометр сопротивления</t>
        </is>
      </c>
      <c r="C151" s="17" t="inlineStr">
        <is>
          <t>ТСП 012.60Сп Pt100/B/3</t>
        </is>
      </c>
      <c r="D151" s="15" t="inlineStr">
        <is>
          <t>350</t>
        </is>
      </c>
      <c r="E151" s="15" t="n">
        <v>2011</v>
      </c>
      <c r="F151" s="17" t="inlineStr">
        <is>
          <t>-60…200 °С</t>
        </is>
      </c>
      <c r="G151" s="17" t="inlineStr">
        <is>
          <t>B</t>
        </is>
      </c>
      <c r="H151" s="3" t="inlineStr">
        <is>
          <t>Температура воздуха под кожухом Д т.1</t>
        </is>
      </c>
      <c r="I151" s="15" t="inlineStr">
        <is>
          <t>ГПА 62</t>
        </is>
      </c>
      <c r="J151" s="15" t="inlineStr">
        <is>
          <t>АСУ,А и ТМ (КЦ № 6)</t>
        </is>
      </c>
      <c r="K151" s="15" t="n">
        <v>2012</v>
      </c>
      <c r="L151" s="14" t="n">
        <v>24</v>
      </c>
      <c r="M151" s="3" t="inlineStr">
        <is>
          <t>11.02.2016</t>
        </is>
      </c>
      <c r="N151" s="70" t="inlineStr">
        <is>
          <t>К</t>
        </is>
      </c>
    </row>
    <row r="152" ht="22.5" customHeight="1" s="151">
      <c r="A152" s="15">
        <f>IF(B152&lt;&gt;"", COUNTA($B$2:B152), "")</f>
        <v/>
      </c>
      <c r="B152" s="16" t="inlineStr">
        <is>
          <t>Термометр сопротивления</t>
        </is>
      </c>
      <c r="C152" s="17" t="inlineStr">
        <is>
          <t>ТСП 012.60Сп Pt100/B/3</t>
        </is>
      </c>
      <c r="D152" s="3" t="inlineStr">
        <is>
          <t>339</t>
        </is>
      </c>
      <c r="E152" s="15" t="n">
        <v>2011</v>
      </c>
      <c r="F152" s="17" t="inlineStr">
        <is>
          <t>-60…200 °С</t>
        </is>
      </c>
      <c r="G152" s="17" t="inlineStr">
        <is>
          <t>B</t>
        </is>
      </c>
      <c r="H152" s="3" t="inlineStr">
        <is>
          <t>Температура воздуха под кожухом Д т.2</t>
        </is>
      </c>
      <c r="I152" s="15" t="inlineStr">
        <is>
          <t>ГПА 62</t>
        </is>
      </c>
      <c r="J152" s="15" t="inlineStr">
        <is>
          <t>АСУ,А и ТМ (КЦ № 6)</t>
        </is>
      </c>
      <c r="K152" s="15" t="n">
        <v>2012</v>
      </c>
      <c r="L152" s="14" t="n">
        <v>24</v>
      </c>
      <c r="M152" s="3" t="inlineStr">
        <is>
          <t>11.02.2016</t>
        </is>
      </c>
      <c r="N152" s="70" t="inlineStr">
        <is>
          <t>К</t>
        </is>
      </c>
    </row>
    <row r="153" ht="22.5" customHeight="1" s="151">
      <c r="A153" s="15">
        <f>IF(B153&lt;&gt;"", COUNTA($B$2:B153), "")</f>
        <v/>
      </c>
      <c r="B153" s="16" t="inlineStr">
        <is>
          <t>Термометр сопротивления</t>
        </is>
      </c>
      <c r="C153" s="17" t="inlineStr">
        <is>
          <t>ТСП 012.60Сп Pt100/B/3</t>
        </is>
      </c>
      <c r="D153" s="15" t="n">
        <v>345</v>
      </c>
      <c r="E153" s="15" t="n">
        <v>2011</v>
      </c>
      <c r="F153" s="17" t="inlineStr">
        <is>
          <t>-60…200 °С</t>
        </is>
      </c>
      <c r="G153" s="17" t="inlineStr">
        <is>
          <t>B</t>
        </is>
      </c>
      <c r="H153" s="3" t="inlineStr">
        <is>
          <t>Температура воздуха под кожухом Д т.3</t>
        </is>
      </c>
      <c r="I153" s="15" t="inlineStr">
        <is>
          <t>ГПА 62</t>
        </is>
      </c>
      <c r="J153" s="15" t="inlineStr">
        <is>
          <t>АСУ,А и ТМ (КЦ № 6)</t>
        </is>
      </c>
      <c r="K153" s="15" t="n">
        <v>2012</v>
      </c>
      <c r="L153" s="14" t="n">
        <v>24</v>
      </c>
      <c r="M153" s="3" t="inlineStr">
        <is>
          <t>11.02.2016</t>
        </is>
      </c>
      <c r="N153" s="70" t="inlineStr">
        <is>
          <t>К</t>
        </is>
      </c>
    </row>
    <row r="154" ht="22.5" customHeight="1" s="151">
      <c r="A154" s="15">
        <f>IF(B154&lt;&gt;"", COUNTA($B$2:B154), "")</f>
        <v/>
      </c>
      <c r="B154" s="16" t="inlineStr">
        <is>
          <t>Термометр сопротивления</t>
        </is>
      </c>
      <c r="C154" s="17" t="inlineStr">
        <is>
          <t>ТСП 012.60Сп Pt100/B/3</t>
        </is>
      </c>
      <c r="D154" s="3" t="inlineStr">
        <is>
          <t>346</t>
        </is>
      </c>
      <c r="E154" s="15" t="n">
        <v>2011</v>
      </c>
      <c r="F154" s="17" t="inlineStr">
        <is>
          <t>-60…200 °С</t>
        </is>
      </c>
      <c r="G154" s="17" t="inlineStr">
        <is>
          <t>B</t>
        </is>
      </c>
      <c r="H154" s="3" t="inlineStr">
        <is>
          <t>Температура воздуха под кожухом Д т.4</t>
        </is>
      </c>
      <c r="I154" s="15" t="inlineStr">
        <is>
          <t>ГПА 62</t>
        </is>
      </c>
      <c r="J154" s="15" t="inlineStr">
        <is>
          <t>АСУ,А и ТМ (КЦ № 6)</t>
        </is>
      </c>
      <c r="K154" s="15" t="n">
        <v>2012</v>
      </c>
      <c r="L154" s="14" t="n">
        <v>24</v>
      </c>
      <c r="M154" s="3" t="inlineStr">
        <is>
          <t>11.02.2016</t>
        </is>
      </c>
      <c r="N154" s="70" t="inlineStr">
        <is>
          <t>К</t>
        </is>
      </c>
    </row>
    <row r="155" ht="33.75" customHeight="1" s="151">
      <c r="A155" s="15">
        <f>IF(B155&lt;&gt;"", COUNTA($B$2:B155), "")</f>
        <v/>
      </c>
      <c r="B155" s="16" t="inlineStr">
        <is>
          <t>Термометр сопротивления</t>
        </is>
      </c>
      <c r="C155" s="17" t="inlineStr">
        <is>
          <t>ТСП 012.60 Pt100/B/3</t>
        </is>
      </c>
      <c r="D155" s="3" t="inlineStr">
        <is>
          <t>192</t>
        </is>
      </c>
      <c r="E155" s="15" t="n">
        <v>2011</v>
      </c>
      <c r="F155" s="17" t="inlineStr">
        <is>
          <t>-60…200 °С</t>
        </is>
      </c>
      <c r="G155" s="17" t="inlineStr">
        <is>
          <t>B</t>
        </is>
      </c>
      <c r="H155" s="3" t="inlineStr">
        <is>
          <t>Температура защитного воздуха на выходе оболочки опорного подшипника (передний)</t>
        </is>
      </c>
      <c r="I155" s="15" t="inlineStr">
        <is>
          <t>ГПА 62</t>
        </is>
      </c>
      <c r="J155" s="15" t="inlineStr">
        <is>
          <t>АСУ,А и ТМ (КЦ № 6)</t>
        </is>
      </c>
      <c r="K155" s="15" t="n">
        <v>2012</v>
      </c>
      <c r="L155" s="14" t="n">
        <v>24</v>
      </c>
      <c r="M155" s="3" t="n"/>
      <c r="N155" s="70" t="n"/>
    </row>
    <row r="156" ht="33.75" customHeight="1" s="151">
      <c r="A156" s="15">
        <f>IF(B156&lt;&gt;"", COUNTA($B$2:B156), "")</f>
        <v/>
      </c>
      <c r="B156" s="16" t="inlineStr">
        <is>
          <t>Термометр сопротивления</t>
        </is>
      </c>
      <c r="C156" s="17" t="inlineStr">
        <is>
          <t>ТСП 012.60 Pt100/B/3</t>
        </is>
      </c>
      <c r="D156" s="3" t="inlineStr">
        <is>
          <t>320</t>
        </is>
      </c>
      <c r="E156" s="41" t="n">
        <v>2011</v>
      </c>
      <c r="F156" s="17" t="inlineStr">
        <is>
          <t>-60…200 °С</t>
        </is>
      </c>
      <c r="G156" s="17" t="inlineStr">
        <is>
          <t>B по ГОСТ Р 8.625</t>
        </is>
      </c>
      <c r="H156" s="3" t="inlineStr">
        <is>
          <t>Температура защитного воздуха на входе установки фильтров перед КЭП10 (на входе ТГДУ)</t>
        </is>
      </c>
      <c r="I156" s="15" t="inlineStr">
        <is>
          <t>ГПА 62</t>
        </is>
      </c>
      <c r="J156" s="15" t="inlineStr">
        <is>
          <t>АСУ,А и ТМ (КЦ № 6)</t>
        </is>
      </c>
      <c r="K156" s="15" t="n">
        <v>2012</v>
      </c>
      <c r="L156" s="14" t="n">
        <v>36</v>
      </c>
      <c r="M156" s="3" t="n"/>
      <c r="N156" s="70" t="n"/>
    </row>
    <row r="157" ht="22.5" customHeight="1" s="151">
      <c r="A157" s="15">
        <f>IF(B157&lt;&gt;"", COUNTA($B$2:B157), "")</f>
        <v/>
      </c>
      <c r="B157" s="16" t="inlineStr">
        <is>
          <t>Термометр сопротивления</t>
        </is>
      </c>
      <c r="C157" s="17" t="inlineStr">
        <is>
          <t>ТСП 012.60 Pt100/B/3</t>
        </is>
      </c>
      <c r="D157" s="3" t="inlineStr">
        <is>
          <t>348</t>
        </is>
      </c>
      <c r="E157" s="41" t="n">
        <v>2011</v>
      </c>
      <c r="F157" s="17" t="inlineStr">
        <is>
          <t>-60…200 °С</t>
        </is>
      </c>
      <c r="G157" s="17" t="inlineStr">
        <is>
          <t>B</t>
        </is>
      </c>
      <c r="H157" s="3" t="inlineStr">
        <is>
          <t>Температура газа на выходе из компрессора</t>
        </is>
      </c>
      <c r="I157" s="15" t="inlineStr">
        <is>
          <t>ГПА 62</t>
        </is>
      </c>
      <c r="J157" s="15" t="inlineStr">
        <is>
          <t>АСУ,А и ТМ (КЦ № 6)</t>
        </is>
      </c>
      <c r="K157" s="15" t="n">
        <v>2012</v>
      </c>
      <c r="L157" s="14" t="n">
        <v>24</v>
      </c>
      <c r="M157" s="3" t="n"/>
      <c r="N157" s="70" t="n"/>
    </row>
    <row r="158" s="151">
      <c r="A158" s="15">
        <f>IF(B158&lt;&gt;"", COUNTA($B$2:B158), "")</f>
        <v/>
      </c>
      <c r="B158" s="16" t="inlineStr">
        <is>
          <t>Термометр сопротивления</t>
        </is>
      </c>
      <c r="C158" s="17" t="inlineStr">
        <is>
          <t>ТСПУ-Л-22162</t>
        </is>
      </c>
      <c r="D158" s="14" t="n">
        <v>17</v>
      </c>
      <c r="E158" s="48" t="inlineStr">
        <is>
          <t>2012</t>
        </is>
      </c>
      <c r="F158" s="10" t="inlineStr">
        <is>
          <t>­50…100 °C</t>
        </is>
      </c>
      <c r="G158" s="17" t="inlineStr">
        <is>
          <t>0,5</t>
        </is>
      </c>
      <c r="H158" s="3" t="inlineStr">
        <is>
          <t>Температура воздуха в укрытии</t>
        </is>
      </c>
      <c r="I158" s="15" t="inlineStr">
        <is>
          <t>ГПА 62</t>
        </is>
      </c>
      <c r="J158" s="15" t="inlineStr">
        <is>
          <t>АСУ,А и ТМ (КЦ № 6)</t>
        </is>
      </c>
      <c r="K158" s="15" t="n">
        <v>2012</v>
      </c>
      <c r="L158" s="14" t="n">
        <v>24</v>
      </c>
      <c r="M158" s="3" t="n"/>
      <c r="N158" s="70" t="n"/>
    </row>
    <row r="159" ht="22.5" customHeight="1" s="151">
      <c r="A159" s="15">
        <f>IF(B159&lt;&gt;"", COUNTA($B$2:B159), "")</f>
        <v/>
      </c>
      <c r="B159" s="16" t="inlineStr">
        <is>
          <t>Термометр сопротивления</t>
        </is>
      </c>
      <c r="C159" s="17" t="inlineStr">
        <is>
          <t>ТСП 012.60 Pt100/B/3</t>
        </is>
      </c>
      <c r="D159" s="3" t="inlineStr">
        <is>
          <t>387</t>
        </is>
      </c>
      <c r="E159" s="41" t="n">
        <v>2011</v>
      </c>
      <c r="F159" s="17" t="inlineStr">
        <is>
          <t>-60…200 °С</t>
        </is>
      </c>
      <c r="G159" s="17" t="inlineStr">
        <is>
          <t>B</t>
        </is>
      </c>
      <c r="H159" s="3" t="inlineStr">
        <is>
          <t>Температура теплоносителя в подогревателе буферного газа</t>
        </is>
      </c>
      <c r="I159" s="15" t="inlineStr">
        <is>
          <t>ГПА 62</t>
        </is>
      </c>
      <c r="J159" s="15" t="inlineStr">
        <is>
          <t>АСУ,А и ТМ (КЦ № 6)</t>
        </is>
      </c>
      <c r="K159" s="15" t="n">
        <v>2012</v>
      </c>
      <c r="L159" s="14" t="n">
        <v>24</v>
      </c>
      <c r="M159" s="3" t="n"/>
      <c r="N159" s="70" t="n"/>
    </row>
    <row r="160" ht="22.5" customHeight="1" s="151">
      <c r="A160" s="15">
        <f>IF(B160&lt;&gt;"", COUNTA($B$2:B160), "")</f>
        <v/>
      </c>
      <c r="B160" s="16" t="inlineStr">
        <is>
          <t>Термометр сопротивления</t>
        </is>
      </c>
      <c r="C160" s="17" t="inlineStr">
        <is>
          <t>ТСП 012.60 Pt100/B/3</t>
        </is>
      </c>
      <c r="D160" s="3" t="inlineStr">
        <is>
          <t>315</t>
        </is>
      </c>
      <c r="E160" s="41" t="n">
        <v>2011</v>
      </c>
      <c r="F160" s="17" t="inlineStr">
        <is>
          <t>-60…200 °С</t>
        </is>
      </c>
      <c r="G160" s="17" t="inlineStr">
        <is>
          <t>B</t>
        </is>
      </c>
      <c r="H160" s="3" t="inlineStr">
        <is>
          <t>Температура буферного газа на выходе подогревателя</t>
        </is>
      </c>
      <c r="I160" s="15" t="inlineStr">
        <is>
          <t>ГПА 62</t>
        </is>
      </c>
      <c r="J160" s="15" t="inlineStr">
        <is>
          <t>АСУ,А и ТМ (КЦ № 6)</t>
        </is>
      </c>
      <c r="K160" s="15" t="n">
        <v>2012</v>
      </c>
      <c r="L160" s="14" t="n">
        <v>24</v>
      </c>
      <c r="M160" s="3" t="n"/>
      <c r="N160" s="70" t="n"/>
    </row>
    <row r="161" ht="22.5" customHeight="1" s="151">
      <c r="A161" s="15">
        <f>IF(B161&lt;&gt;"", COUNTA($B$2:B161), "")</f>
        <v/>
      </c>
      <c r="B161" s="16" t="inlineStr">
        <is>
          <t>Термометр сопротивления</t>
        </is>
      </c>
      <c r="C161" s="17" t="inlineStr">
        <is>
          <t>ТСП 012.60 Pt100/B/3</t>
        </is>
      </c>
      <c r="D161" s="3" t="inlineStr">
        <is>
          <t>349</t>
        </is>
      </c>
      <c r="E161" s="41" t="n">
        <v>2011</v>
      </c>
      <c r="F161" s="17" t="inlineStr">
        <is>
          <t>-60…200 °С</t>
        </is>
      </c>
      <c r="G161" s="17" t="inlineStr">
        <is>
          <t>B</t>
        </is>
      </c>
      <c r="H161" s="3" t="inlineStr">
        <is>
          <t>Температура газа на входе в компрессор</t>
        </is>
      </c>
      <c r="I161" s="15" t="inlineStr">
        <is>
          <t>ГПА 62</t>
        </is>
      </c>
      <c r="J161" s="15" t="inlineStr">
        <is>
          <t>АСУ,А и ТМ (КЦ № 6)</t>
        </is>
      </c>
      <c r="K161" s="15" t="n">
        <v>2012</v>
      </c>
      <c r="L161" s="14" t="n">
        <v>24</v>
      </c>
      <c r="M161" s="3" t="n"/>
      <c r="N161" s="70" t="n"/>
    </row>
    <row r="162" ht="33.75" customHeight="1" s="151">
      <c r="A162" s="15">
        <f>IF(B162&lt;&gt;"", COUNTA($B$2:B162), "")</f>
        <v/>
      </c>
      <c r="B162" s="16" t="inlineStr">
        <is>
          <t>Термометр сопротивления</t>
        </is>
      </c>
      <c r="C162" s="17" t="inlineStr">
        <is>
          <t>ТСП 319М.09 Pt100/B/3</t>
        </is>
      </c>
      <c r="D162" s="3" t="inlineStr">
        <is>
          <t>1362</t>
        </is>
      </c>
      <c r="E162" s="48" t="inlineStr">
        <is>
          <t>2010</t>
        </is>
      </c>
      <c r="F162" s="39" t="inlineStr">
        <is>
          <t>-60…180 °С</t>
        </is>
      </c>
      <c r="G162" s="17" t="inlineStr">
        <is>
          <t>B</t>
        </is>
      </c>
      <c r="H162" s="17" t="inlineStr">
        <is>
          <t>Температура электромагнита опорного подшипника со стороны привода</t>
        </is>
      </c>
      <c r="I162" s="15" t="inlineStr">
        <is>
          <t>ГПА 62</t>
        </is>
      </c>
      <c r="J162" s="15" t="inlineStr">
        <is>
          <t>АСУ,А и ТМ (КЦ № 6)</t>
        </is>
      </c>
      <c r="K162" s="15" t="n">
        <v>2012</v>
      </c>
      <c r="L162" s="14" t="n">
        <v>24</v>
      </c>
      <c r="M162" s="3" t="inlineStr">
        <is>
          <t>12.02.2016</t>
        </is>
      </c>
      <c r="N162" s="70" t="inlineStr">
        <is>
          <t>К</t>
        </is>
      </c>
    </row>
    <row r="163" ht="33.75" customHeight="1" s="151">
      <c r="A163" s="15">
        <f>IF(B163&lt;&gt;"", COUNTA($B$2:B163), "")</f>
        <v/>
      </c>
      <c r="B163" s="16" t="inlineStr">
        <is>
          <t>Термометр сопротивления</t>
        </is>
      </c>
      <c r="C163" s="17" t="inlineStr">
        <is>
          <t>ТСП 319М.09 Pt100/B/3</t>
        </is>
      </c>
      <c r="D163" s="3" t="inlineStr">
        <is>
          <t>1361</t>
        </is>
      </c>
      <c r="E163" s="48" t="inlineStr">
        <is>
          <t>2010</t>
        </is>
      </c>
      <c r="F163" s="39" t="inlineStr">
        <is>
          <t>-60…180 °С</t>
        </is>
      </c>
      <c r="G163" s="17" t="inlineStr">
        <is>
          <t>B</t>
        </is>
      </c>
      <c r="H163" s="17" t="inlineStr">
        <is>
          <t>Температура электромагнита опорного подшипника со стороны свободного конца</t>
        </is>
      </c>
      <c r="I163" s="15" t="inlineStr">
        <is>
          <t>ГПА 62</t>
        </is>
      </c>
      <c r="J163" s="15" t="inlineStr">
        <is>
          <t>АСУ,А и ТМ (КЦ № 6)</t>
        </is>
      </c>
      <c r="K163" s="15" t="n">
        <v>2012</v>
      </c>
      <c r="L163" s="14" t="n">
        <v>24</v>
      </c>
      <c r="M163" s="3" t="inlineStr">
        <is>
          <t>12.02.2016</t>
        </is>
      </c>
      <c r="N163" s="70" t="inlineStr">
        <is>
          <t>К</t>
        </is>
      </c>
    </row>
    <row r="164" ht="22.5" customHeight="1" s="151">
      <c r="A164" s="15">
        <f>IF(B164&lt;&gt;"", COUNTA($B$2:B164), "")</f>
        <v/>
      </c>
      <c r="B164" s="38" t="inlineStr">
        <is>
          <t>Термометр сопротивления</t>
        </is>
      </c>
      <c r="C164" s="39" t="inlineStr">
        <is>
          <t>ТСП 319М.09 Pt100/B/3</t>
        </is>
      </c>
      <c r="D164" s="40" t="inlineStr">
        <is>
          <t>1360</t>
        </is>
      </c>
      <c r="E164" s="48" t="inlineStr">
        <is>
          <t>2010</t>
        </is>
      </c>
      <c r="F164" s="39" t="inlineStr">
        <is>
          <t>-60…180 °С</t>
        </is>
      </c>
      <c r="G164" s="39" t="inlineStr">
        <is>
          <t>B</t>
        </is>
      </c>
      <c r="H164" s="39" t="inlineStr">
        <is>
          <t>Температура левого осевого электромагнита</t>
        </is>
      </c>
      <c r="I164" s="15" t="inlineStr">
        <is>
          <t>ГПА 62</t>
        </is>
      </c>
      <c r="J164" s="15" t="inlineStr">
        <is>
          <t>АСУ,А и ТМ (КЦ № 6)</t>
        </is>
      </c>
      <c r="K164" s="15" t="n">
        <v>2012</v>
      </c>
      <c r="L164" s="14" t="n">
        <v>24</v>
      </c>
      <c r="M164" s="3" t="inlineStr">
        <is>
          <t>12.02.2016</t>
        </is>
      </c>
      <c r="N164" s="70" t="inlineStr">
        <is>
          <t>К</t>
        </is>
      </c>
    </row>
    <row r="165" ht="22.5" customHeight="1" s="151">
      <c r="A165" s="15">
        <f>IF(B165&lt;&gt;"", COUNTA($B$2:B165), "")</f>
        <v/>
      </c>
      <c r="B165" s="16" t="inlineStr">
        <is>
          <t>Термометр сопротивления</t>
        </is>
      </c>
      <c r="C165" s="17" t="inlineStr">
        <is>
          <t>ТСП 319М.09 Pt100/B/3</t>
        </is>
      </c>
      <c r="D165" s="3" t="inlineStr">
        <is>
          <t>1358</t>
        </is>
      </c>
      <c r="E165" s="14" t="inlineStr">
        <is>
          <t>2010</t>
        </is>
      </c>
      <c r="F165" s="39" t="inlineStr">
        <is>
          <t>-60…180 °С</t>
        </is>
      </c>
      <c r="G165" s="17" t="inlineStr">
        <is>
          <t>B</t>
        </is>
      </c>
      <c r="H165" s="17" t="inlineStr">
        <is>
          <t>Температура правого осевого электромагнита</t>
        </is>
      </c>
      <c r="I165" s="15" t="inlineStr">
        <is>
          <t>ГПА 62</t>
        </is>
      </c>
      <c r="J165" s="15" t="inlineStr">
        <is>
          <t>АСУ,А и ТМ (КЦ № 6)</t>
        </is>
      </c>
      <c r="K165" s="15" t="n">
        <v>2012</v>
      </c>
      <c r="L165" s="14" t="n">
        <v>24</v>
      </c>
      <c r="M165" s="3" t="inlineStr">
        <is>
          <t>12.02.2016</t>
        </is>
      </c>
      <c r="N165" s="70" t="inlineStr">
        <is>
          <t>К</t>
        </is>
      </c>
    </row>
    <row r="166">
      <c r="A166" s="15">
        <f>IF(B166&lt;&gt;"", COUNTA($B$2:B166), "")</f>
        <v/>
      </c>
      <c r="B166" s="16" t="inlineStr">
        <is>
          <t>Термометр сопротивления</t>
        </is>
      </c>
      <c r="C166" s="17" t="inlineStr">
        <is>
          <t>ТСП 9204-06 100П/B/3</t>
        </is>
      </c>
      <c r="D166" s="15" t="inlineStr">
        <is>
          <t>4035</t>
        </is>
      </c>
      <c r="E166" s="15" t="n">
        <v>2011</v>
      </c>
      <c r="F166" s="17" t="inlineStr">
        <is>
          <t>-50…150 °С</t>
        </is>
      </c>
      <c r="G166" s="17" t="inlineStr">
        <is>
          <t>B</t>
        </is>
      </c>
      <c r="H166" s="17" t="inlineStr">
        <is>
          <t>Температура холодного спая в САУ</t>
        </is>
      </c>
      <c r="I166" s="15" t="inlineStr">
        <is>
          <t>ГПА 62</t>
        </is>
      </c>
      <c r="J166" s="15" t="inlineStr">
        <is>
          <t>АСУ,А и ТМ (КЦ № 6)</t>
        </is>
      </c>
      <c r="K166" s="15" t="n">
        <v>2012</v>
      </c>
      <c r="L166" s="14" t="n">
        <v>24</v>
      </c>
      <c r="M166" s="3" t="n"/>
      <c r="N166" s="70" t="n"/>
    </row>
    <row r="167" ht="22.5" customHeight="1" s="151">
      <c r="A167" s="15">
        <f>IF(B167&lt;&gt;"", COUNTA($B$2:B167), "")</f>
        <v/>
      </c>
      <c r="B167" s="16" t="inlineStr">
        <is>
          <t>Термометр сопротивления</t>
        </is>
      </c>
      <c r="C167" s="17" t="inlineStr">
        <is>
          <t>ТСП 012.60 Pt100/B/3</t>
        </is>
      </c>
      <c r="D167" s="15" t="inlineStr">
        <is>
          <t>248</t>
        </is>
      </c>
      <c r="E167" s="15" t="n">
        <v>2011</v>
      </c>
      <c r="F167" s="17" t="inlineStr">
        <is>
          <t>-60…200 °С</t>
        </is>
      </c>
      <c r="G167" s="17" t="inlineStr">
        <is>
          <t>B</t>
        </is>
      </c>
      <c r="H167" s="17" t="inlineStr">
        <is>
          <t>Температура воздуха в  отсеке пожаротушения</t>
        </is>
      </c>
      <c r="I167" s="15" t="inlineStr">
        <is>
          <t>ГПА 62</t>
        </is>
      </c>
      <c r="J167" s="15" t="inlineStr">
        <is>
          <t>АСУ,А и ТМ (КЦ № 6)</t>
        </is>
      </c>
      <c r="K167" s="15" t="n">
        <v>2012</v>
      </c>
      <c r="L167" s="14" t="n">
        <v>24</v>
      </c>
      <c r="M167" s="3" t="inlineStr">
        <is>
          <t>12.02.2016</t>
        </is>
      </c>
      <c r="N167" s="70" t="inlineStr">
        <is>
          <t>К</t>
        </is>
      </c>
    </row>
    <row r="168" ht="22.5" customHeight="1" s="151">
      <c r="A168" s="15">
        <f>IF(B168&lt;&gt;"", COUNTA($B$2:B168), "")</f>
        <v/>
      </c>
      <c r="B168" s="16" t="inlineStr">
        <is>
          <t>Термометр сопротивления</t>
        </is>
      </c>
      <c r="C168" s="17" t="inlineStr">
        <is>
          <t>ТСП 012.60 Pt100/B/3</t>
        </is>
      </c>
      <c r="D168" s="15" t="n">
        <v>193</v>
      </c>
      <c r="E168" s="15" t="n">
        <v>2011</v>
      </c>
      <c r="F168" s="17" t="inlineStr">
        <is>
          <t>-60…200 °С</t>
        </is>
      </c>
      <c r="G168" s="17" t="inlineStr">
        <is>
          <t>B</t>
        </is>
      </c>
      <c r="H168" s="17" t="inlineStr">
        <is>
          <t>Температура воздуха в  отсеке пожаротушения</t>
        </is>
      </c>
      <c r="I168" s="15" t="inlineStr">
        <is>
          <t>ГПА 62</t>
        </is>
      </c>
      <c r="J168" s="15" t="inlineStr">
        <is>
          <t>АСУ,А и ТМ (КЦ № 6)</t>
        </is>
      </c>
      <c r="K168" s="15" t="n">
        <v>2012</v>
      </c>
      <c r="L168" s="14" t="n">
        <v>24</v>
      </c>
      <c r="M168" s="3" t="inlineStr">
        <is>
          <t>12.02.2016</t>
        </is>
      </c>
      <c r="N168" s="70" t="inlineStr">
        <is>
          <t>К</t>
        </is>
      </c>
    </row>
    <row r="169" ht="22.5" customHeight="1" s="151">
      <c r="A169" s="15">
        <f>IF(B169&lt;&gt;"", COUNTA($B$2:B169), "")</f>
        <v/>
      </c>
      <c r="B169" s="16" t="inlineStr">
        <is>
          <t>Термометр сопротивления</t>
        </is>
      </c>
      <c r="C169" s="17" t="inlineStr">
        <is>
          <t>ТСП 012.60 Pt100/B/3</t>
        </is>
      </c>
      <c r="D169" s="3" t="inlineStr">
        <is>
          <t>457</t>
        </is>
      </c>
      <c r="E169" s="15" t="n">
        <v>2011</v>
      </c>
      <c r="F169" s="17" t="inlineStr">
        <is>
          <t>-60…200 °С</t>
        </is>
      </c>
      <c r="G169" s="17" t="inlineStr">
        <is>
          <t>B</t>
        </is>
      </c>
      <c r="H169" s="17" t="inlineStr">
        <is>
          <t>Температура обогревателя в  отсеке пожаротушения</t>
        </is>
      </c>
      <c r="I169" s="15" t="inlineStr">
        <is>
          <t>ГПА 62</t>
        </is>
      </c>
      <c r="J169" s="15" t="inlineStr">
        <is>
          <t>АСУ,А и ТМ (КЦ № 6)</t>
        </is>
      </c>
      <c r="K169" s="15" t="n">
        <v>2012</v>
      </c>
      <c r="L169" s="14" t="n">
        <v>36</v>
      </c>
      <c r="M169" s="3" t="n"/>
      <c r="N169" s="70" t="n"/>
    </row>
    <row r="170" ht="22.5" customHeight="1" s="151">
      <c r="A170" s="15">
        <f>IF(B170&lt;&gt;"", COUNTA($B$2:B170), "")</f>
        <v/>
      </c>
      <c r="B170" s="16" t="inlineStr">
        <is>
          <t>Термометр сопротивления</t>
        </is>
      </c>
      <c r="C170" s="17" t="inlineStr">
        <is>
          <t>ТСП 319М.03 Pt100/B/3</t>
        </is>
      </c>
      <c r="D170" s="15" t="inlineStr">
        <is>
          <t>1156</t>
        </is>
      </c>
      <c r="E170" s="15" t="n">
        <v>2011</v>
      </c>
      <c r="F170" s="17" t="inlineStr">
        <is>
          <t>-60…180 °С</t>
        </is>
      </c>
      <c r="G170" s="17" t="inlineStr">
        <is>
          <t>B</t>
        </is>
      </c>
      <c r="H170" s="17" t="inlineStr">
        <is>
          <t>Температура воздуха в блоке автоматики</t>
        </is>
      </c>
      <c r="I170" s="15" t="inlineStr">
        <is>
          <t>ГПА 62</t>
        </is>
      </c>
      <c r="J170" s="15" t="inlineStr">
        <is>
          <t>АСУ,А и ТМ (КЦ № 6)</t>
        </is>
      </c>
      <c r="K170" s="15" t="n">
        <v>2012</v>
      </c>
      <c r="L170" s="14" t="n">
        <v>24</v>
      </c>
      <c r="M170" s="3" t="n"/>
      <c r="N170" s="70" t="n"/>
    </row>
    <row r="171" ht="22.5" customHeight="1" s="151">
      <c r="A171" s="15">
        <f>IF(B171&lt;&gt;"", COUNTA($B$2:B171), "")</f>
        <v/>
      </c>
      <c r="B171" s="16" t="inlineStr">
        <is>
          <t>Термометр сопротивления</t>
        </is>
      </c>
      <c r="C171" s="17" t="inlineStr">
        <is>
          <t>ТСП 012.60Сп Pt100/B/3</t>
        </is>
      </c>
      <c r="D171" s="3" t="inlineStr">
        <is>
          <t>247</t>
        </is>
      </c>
      <c r="E171" s="15" t="n">
        <v>2011</v>
      </c>
      <c r="F171" s="17" t="inlineStr">
        <is>
          <t>-60…200 °С</t>
        </is>
      </c>
      <c r="G171" s="17" t="inlineStr">
        <is>
          <t>B</t>
        </is>
      </c>
      <c r="H171" s="17" t="inlineStr">
        <is>
          <t xml:space="preserve">Температура атмосферного воздуха </t>
        </is>
      </c>
      <c r="I171" s="15" t="inlineStr">
        <is>
          <t>ГПА 62</t>
        </is>
      </c>
      <c r="J171" s="15" t="inlineStr">
        <is>
          <t>АСУ,А и ТМ (КЦ № 6)</t>
        </is>
      </c>
      <c r="K171" s="15" t="n">
        <v>2012</v>
      </c>
      <c r="L171" s="14" t="n">
        <v>24</v>
      </c>
      <c r="M171" s="3" t="inlineStr">
        <is>
          <t>12.02.2016</t>
        </is>
      </c>
      <c r="N171" s="70" t="inlineStr">
        <is>
          <t>К</t>
        </is>
      </c>
    </row>
    <row r="172">
      <c r="A172" s="15">
        <f>IF(B172&lt;&gt;"", COUNTA($B$2:B172), "")</f>
        <v/>
      </c>
      <c r="B172" s="16" t="inlineStr">
        <is>
          <t>Термометр сопротивления</t>
        </is>
      </c>
      <c r="C172" s="17" t="inlineStr">
        <is>
          <t>ТСМ 319М-05.02 50М/B/3</t>
        </is>
      </c>
      <c r="D172" s="17" t="inlineStr">
        <is>
          <t>923</t>
        </is>
      </c>
      <c r="E172" s="15" t="n">
        <v>2011</v>
      </c>
      <c r="F172" s="17" t="inlineStr">
        <is>
          <t>-60…180 °С</t>
        </is>
      </c>
      <c r="G172" s="17" t="inlineStr">
        <is>
          <t>B</t>
        </is>
      </c>
      <c r="H172" s="17" t="inlineStr">
        <is>
          <t>Температура в контейнере Atlas Copco</t>
        </is>
      </c>
      <c r="I172" s="15" t="inlineStr">
        <is>
          <t>ГПА 62</t>
        </is>
      </c>
      <c r="J172" s="15" t="inlineStr">
        <is>
          <t>АСУ,А и ТМ (КЦ № 6)</t>
        </is>
      </c>
      <c r="K172" s="15" t="n">
        <v>2012</v>
      </c>
      <c r="L172" s="14" t="n">
        <v>24</v>
      </c>
      <c r="M172" s="3" t="n"/>
      <c r="N172" s="70" t="n"/>
    </row>
    <row r="173">
      <c r="A173" s="15">
        <f>IF(B173&lt;&gt;"", COUNTA($B$2:B173), "")</f>
        <v/>
      </c>
      <c r="B173" s="14" t="inlineStr">
        <is>
          <t>Датчик вибрации</t>
        </is>
      </c>
      <c r="C173" s="8" t="inlineStr">
        <is>
          <t>МВ-46Г</t>
        </is>
      </c>
      <c r="D173" s="14" t="n">
        <v>111540</v>
      </c>
      <c r="E173" s="15" t="n">
        <v>2011</v>
      </c>
      <c r="F173" s="14" t="inlineStr">
        <is>
          <t>0…100 мм/с</t>
        </is>
      </c>
      <c r="G173" s="14" t="n">
        <v>2.5</v>
      </c>
      <c r="H173" s="15" t="inlineStr">
        <is>
          <t>Виброскорость в зоне КНД (вертикаль)</t>
        </is>
      </c>
      <c r="I173" s="15" t="inlineStr">
        <is>
          <t>ГПА 62</t>
        </is>
      </c>
      <c r="J173" s="15" t="inlineStr">
        <is>
          <t>АСУ,А и ТМ (КЦ № 6)</t>
        </is>
      </c>
      <c r="K173" s="15" t="n">
        <v>2012</v>
      </c>
      <c r="L173" s="15" t="n">
        <v>12</v>
      </c>
      <c r="M173" s="3" t="n"/>
      <c r="N173" s="70" t="n"/>
    </row>
    <row r="174" ht="22.5" customHeight="1" s="151">
      <c r="A174" s="15">
        <f>IF(B174&lt;&gt;"", COUNTA($B$2:B174), "")</f>
        <v/>
      </c>
      <c r="B174" s="14" t="inlineStr">
        <is>
          <t>Датчик вибрации</t>
        </is>
      </c>
      <c r="C174" s="8" t="inlineStr">
        <is>
          <t>МВ-46Г</t>
        </is>
      </c>
      <c r="D174" s="14" t="n">
        <v>111601</v>
      </c>
      <c r="E174" s="15" t="n">
        <v>2011</v>
      </c>
      <c r="F174" s="14" t="inlineStr">
        <is>
          <t>0…100 мм/с</t>
        </is>
      </c>
      <c r="G174" s="14" t="n">
        <v>2.5</v>
      </c>
      <c r="H174" s="15" t="inlineStr">
        <is>
          <t>Виброскорость в зоне КНД (горизонталь)</t>
        </is>
      </c>
      <c r="I174" s="15" t="inlineStr">
        <is>
          <t>ГПА 62</t>
        </is>
      </c>
      <c r="J174" s="15" t="inlineStr">
        <is>
          <t>АСУ,А и ТМ (КЦ № 6)</t>
        </is>
      </c>
      <c r="K174" s="15" t="n">
        <v>2012</v>
      </c>
      <c r="L174" s="15" t="n">
        <v>12</v>
      </c>
      <c r="M174" s="3" t="n"/>
      <c r="N174" s="70" t="n"/>
    </row>
    <row r="175" ht="22.5" customHeight="1" s="151">
      <c r="A175" s="15">
        <f>IF(B175&lt;&gt;"", COUNTA($B$2:B175), "")</f>
        <v/>
      </c>
      <c r="B175" s="14" t="inlineStr">
        <is>
          <t>Датчик вибрации</t>
        </is>
      </c>
      <c r="C175" s="8" t="inlineStr">
        <is>
          <t>МВ-46Г</t>
        </is>
      </c>
      <c r="D175" s="14" t="n">
        <v>111506</v>
      </c>
      <c r="E175" s="15" t="n">
        <v>2011</v>
      </c>
      <c r="F175" s="14" t="inlineStr">
        <is>
          <t>0…100 мм/с</t>
        </is>
      </c>
      <c r="G175" s="14" t="n">
        <v>2.5</v>
      </c>
      <c r="H175" s="15" t="inlineStr">
        <is>
          <t>Виброскорость в зоне средней опоры (вертикаль)</t>
        </is>
      </c>
      <c r="I175" s="15" t="inlineStr">
        <is>
          <t>ГПА 62</t>
        </is>
      </c>
      <c r="J175" s="15" t="inlineStr">
        <is>
          <t>АСУ,А и ТМ (КЦ № 6)</t>
        </is>
      </c>
      <c r="K175" s="15" t="n">
        <v>2012</v>
      </c>
      <c r="L175" s="15" t="n">
        <v>12</v>
      </c>
      <c r="M175" s="3" t="n"/>
      <c r="N175" s="70" t="n"/>
    </row>
    <row r="176" ht="22.5" customHeight="1" s="151">
      <c r="A176" s="15">
        <f>IF(B176&lt;&gt;"", COUNTA($B$2:B176), "")</f>
        <v/>
      </c>
      <c r="B176" s="14" t="inlineStr">
        <is>
          <t>Датчик вибрации</t>
        </is>
      </c>
      <c r="C176" s="8" t="inlineStr">
        <is>
          <t>МВ-46Г</t>
        </is>
      </c>
      <c r="D176" s="14" t="n">
        <v>112685</v>
      </c>
      <c r="E176" s="15" t="n">
        <v>2011</v>
      </c>
      <c r="F176" s="14" t="inlineStr">
        <is>
          <t>0…100 мм/с</t>
        </is>
      </c>
      <c r="G176" s="14" t="n">
        <v>2.5</v>
      </c>
      <c r="H176" s="15" t="inlineStr">
        <is>
          <t>Виброскорость в зоне средней опоры (горизонталь)</t>
        </is>
      </c>
      <c r="I176" s="15" t="inlineStr">
        <is>
          <t>ГПА 62</t>
        </is>
      </c>
      <c r="J176" s="15" t="inlineStr">
        <is>
          <t>АСУ,А и ТМ (КЦ № 6)</t>
        </is>
      </c>
      <c r="K176" s="15" t="n">
        <v>2012</v>
      </c>
      <c r="L176" s="15" t="n">
        <v>12</v>
      </c>
      <c r="M176" s="3" t="n"/>
      <c r="N176" s="70" t="n"/>
    </row>
    <row r="177" ht="22.5" customHeight="1" s="151">
      <c r="A177" s="15">
        <f>IF(B177&lt;&gt;"", COUNTA($B$2:B177), "")</f>
        <v/>
      </c>
      <c r="B177" s="14" t="inlineStr">
        <is>
          <t>Датчик вибрации</t>
        </is>
      </c>
      <c r="C177" s="8" t="inlineStr">
        <is>
          <t>МВ-46Г</t>
        </is>
      </c>
      <c r="D177" s="14" t="n">
        <v>11531</v>
      </c>
      <c r="E177" s="15" t="n">
        <v>2011</v>
      </c>
      <c r="F177" s="14" t="inlineStr">
        <is>
          <t>0…100 мм/с</t>
        </is>
      </c>
      <c r="G177" s="14" t="n">
        <v>2.5</v>
      </c>
      <c r="H177" s="15" t="inlineStr">
        <is>
          <t>Виброскорость в зоне средней опоры (осевое направление)</t>
        </is>
      </c>
      <c r="I177" s="15" t="inlineStr">
        <is>
          <t>ГПА 62</t>
        </is>
      </c>
      <c r="J177" s="15" t="inlineStr">
        <is>
          <t>АСУ,А и ТМ (КЦ № 6)</t>
        </is>
      </c>
      <c r="K177" s="15" t="n">
        <v>2012</v>
      </c>
      <c r="L177" s="15" t="n">
        <v>12</v>
      </c>
      <c r="M177" s="3" t="n"/>
      <c r="N177" s="70" t="n"/>
    </row>
    <row r="178">
      <c r="A178" s="15">
        <f>IF(B178&lt;&gt;"", COUNTA($B$2:B178), "")</f>
        <v/>
      </c>
      <c r="B178" s="14" t="inlineStr">
        <is>
          <t>Датчик вибрации</t>
        </is>
      </c>
      <c r="C178" s="8" t="inlineStr">
        <is>
          <t>МВ-44-1Г</t>
        </is>
      </c>
      <c r="D178" s="14" t="n">
        <v>120096</v>
      </c>
      <c r="E178" s="15" t="n">
        <v>2011</v>
      </c>
      <c r="F178" s="14" t="inlineStr">
        <is>
          <t>0…100 мм/с</t>
        </is>
      </c>
      <c r="G178" s="14" t="n">
        <v>2.5</v>
      </c>
      <c r="H178" s="15" t="inlineStr">
        <is>
          <t>Виброскорость в зоне СТ (вертикаль)</t>
        </is>
      </c>
      <c r="I178" s="15" t="inlineStr">
        <is>
          <t>ГПА 62</t>
        </is>
      </c>
      <c r="J178" s="15" t="inlineStr">
        <is>
          <t>АСУ,А и ТМ (КЦ № 6)</t>
        </is>
      </c>
      <c r="K178" s="15" t="n">
        <v>2012</v>
      </c>
      <c r="L178" s="15" t="n">
        <v>12</v>
      </c>
      <c r="M178" s="3" t="n"/>
      <c r="N178" s="70" t="n"/>
    </row>
    <row r="179" ht="22.5" customHeight="1" s="151">
      <c r="A179" s="15">
        <f>IF(B179&lt;&gt;"", COUNTA($B$2:B179), "")</f>
        <v/>
      </c>
      <c r="B179" s="14" t="inlineStr">
        <is>
          <t>Датчик вибрации</t>
        </is>
      </c>
      <c r="C179" s="8" t="inlineStr">
        <is>
          <t>МВ-44-1Г</t>
        </is>
      </c>
      <c r="D179" s="14" t="n">
        <v>120073</v>
      </c>
      <c r="E179" s="15" t="n">
        <v>2011</v>
      </c>
      <c r="F179" s="14" t="inlineStr">
        <is>
          <t>0…100 мм/с</t>
        </is>
      </c>
      <c r="G179" s="14" t="n">
        <v>2.5</v>
      </c>
      <c r="H179" s="15" t="inlineStr">
        <is>
          <t>Виброскорость в зоне СТ (горизонталь)</t>
        </is>
      </c>
      <c r="I179" s="15" t="inlineStr">
        <is>
          <t>ГПА 62</t>
        </is>
      </c>
      <c r="J179" s="15" t="inlineStr">
        <is>
          <t>АСУ,А и ТМ (КЦ № 6)</t>
        </is>
      </c>
      <c r="K179" s="15" t="n">
        <v>2012</v>
      </c>
      <c r="L179" s="15" t="n">
        <v>12</v>
      </c>
      <c r="M179" s="3" t="n"/>
      <c r="N179" s="70" t="n"/>
    </row>
    <row r="180">
      <c r="A180" s="15">
        <f>IF(B180&lt;&gt;"", COUNTA($B$2:B180), "")</f>
        <v/>
      </c>
      <c r="B180" s="280" t="inlineStr">
        <is>
          <t>Манометр технический</t>
        </is>
      </c>
      <c r="C180" s="10" t="inlineStr">
        <is>
          <t>МП4-УУ2</t>
        </is>
      </c>
      <c r="D180" s="10" t="n">
        <v>15271</v>
      </c>
      <c r="E180" s="10" t="n">
        <v>2010</v>
      </c>
      <c r="F180" s="10" t="inlineStr">
        <is>
          <t>0…160 кгс/см2</t>
        </is>
      </c>
      <c r="G180" s="71" t="n">
        <v>1.5</v>
      </c>
      <c r="H180" s="26" t="inlineStr">
        <is>
          <t>Р газа на входе компрессора</t>
        </is>
      </c>
      <c r="I180" s="8" t="inlineStr">
        <is>
          <t>ГПА 62</t>
        </is>
      </c>
      <c r="J180" s="15" t="inlineStr">
        <is>
          <t>АСУ,А и ТМ (КЦ № 6)</t>
        </is>
      </c>
      <c r="K180" s="15" t="n">
        <v>2012</v>
      </c>
      <c r="L180" s="15" t="n">
        <v>12</v>
      </c>
      <c r="M180" s="3" t="inlineStr">
        <is>
          <t>1К26</t>
        </is>
      </c>
      <c r="N180" s="70" t="inlineStr">
        <is>
          <t>К</t>
        </is>
      </c>
    </row>
    <row r="181">
      <c r="A181" s="15">
        <f>IF(B181&lt;&gt;"", COUNTA($B$2:B181), "")</f>
        <v/>
      </c>
      <c r="B181" s="280" t="inlineStr">
        <is>
          <t>Манометр технический</t>
        </is>
      </c>
      <c r="C181" s="10" t="inlineStr">
        <is>
          <t>МП4-УУ2</t>
        </is>
      </c>
      <c r="D181" s="10" t="n">
        <v>6103</v>
      </c>
      <c r="E181" s="10" t="n">
        <v>2010</v>
      </c>
      <c r="F181" s="10" t="inlineStr">
        <is>
          <t>0…160 кгс/см3</t>
        </is>
      </c>
      <c r="G181" s="71" t="n">
        <v>1.5</v>
      </c>
      <c r="H181" s="26" t="inlineStr">
        <is>
          <t>Р газа на выходе компрессора</t>
        </is>
      </c>
      <c r="I181" s="8" t="inlineStr">
        <is>
          <t>ГПА 62</t>
        </is>
      </c>
      <c r="J181" s="15" t="inlineStr">
        <is>
          <t>АСУ,А и ТМ (КЦ № 6)</t>
        </is>
      </c>
      <c r="K181" s="15" t="n">
        <v>2012</v>
      </c>
      <c r="L181" s="15" t="n">
        <v>12</v>
      </c>
      <c r="M181" s="3" t="inlineStr">
        <is>
          <t>1К26</t>
        </is>
      </c>
      <c r="N181" s="70" t="inlineStr">
        <is>
          <t>К</t>
        </is>
      </c>
    </row>
    <row r="182">
      <c r="A182" s="15">
        <f>IF(B182&lt;&gt;"", COUNTA($B$2:B182), "")</f>
        <v/>
      </c>
      <c r="B182" s="280" t="inlineStr">
        <is>
          <t>Манометр технический</t>
        </is>
      </c>
      <c r="C182" s="71" t="inlineStr">
        <is>
          <t>МП4-УУ2</t>
        </is>
      </c>
      <c r="D182" s="71" t="n">
        <v>15375</v>
      </c>
      <c r="E182" s="10" t="n">
        <v>2010</v>
      </c>
      <c r="F182" s="10" t="inlineStr">
        <is>
          <t>0…160 кгс/см4</t>
        </is>
      </c>
      <c r="G182" s="71" t="n">
        <v>1</v>
      </c>
      <c r="H182" s="14" t="inlineStr">
        <is>
          <t>Р газа в Ф1</t>
        </is>
      </c>
      <c r="I182" s="8" t="inlineStr">
        <is>
          <t>ГПА 62</t>
        </is>
      </c>
      <c r="J182" s="15" t="inlineStr">
        <is>
          <t>АСУ,А и ТМ (КЦ № 6)</t>
        </is>
      </c>
      <c r="K182" s="15" t="n">
        <v>2012</v>
      </c>
      <c r="L182" s="15" t="n">
        <v>12</v>
      </c>
      <c r="M182" s="3" t="inlineStr">
        <is>
          <t>26ДЯУ</t>
        </is>
      </c>
      <c r="N182" s="70" t="inlineStr">
        <is>
          <t>П</t>
        </is>
      </c>
      <c r="O182" s="66" t="n"/>
    </row>
    <row r="183">
      <c r="A183" s="15">
        <f>IF(B183&lt;&gt;"", COUNTA($B$2:B183), "")</f>
        <v/>
      </c>
      <c r="B183" s="280" t="inlineStr">
        <is>
          <t>Манометр технический</t>
        </is>
      </c>
      <c r="C183" s="71" t="inlineStr">
        <is>
          <t>МП4-УУ2</t>
        </is>
      </c>
      <c r="D183" s="71" t="n">
        <v>15409</v>
      </c>
      <c r="E183" s="10" t="n">
        <v>2010</v>
      </c>
      <c r="F183" s="10" t="inlineStr">
        <is>
          <t>0…160 кгс/см5</t>
        </is>
      </c>
      <c r="G183" s="71" t="n">
        <v>1</v>
      </c>
      <c r="H183" s="14" t="inlineStr">
        <is>
          <t>Р газа в Ф2</t>
        </is>
      </c>
      <c r="I183" s="8" t="inlineStr">
        <is>
          <t>ГПА 62</t>
        </is>
      </c>
      <c r="J183" s="15" t="inlineStr">
        <is>
          <t>АСУ,А и ТМ (КЦ № 6)</t>
        </is>
      </c>
      <c r="K183" s="15" t="n">
        <v>2012</v>
      </c>
      <c r="L183" s="15" t="n">
        <v>12</v>
      </c>
      <c r="M183" s="3" t="inlineStr">
        <is>
          <t>26ДЯУ</t>
        </is>
      </c>
      <c r="N183" s="70" t="inlineStr">
        <is>
          <t>П</t>
        </is>
      </c>
      <c r="O183" s="66" t="n"/>
    </row>
    <row r="184">
      <c r="A184" s="15">
        <f>IF(B184&lt;&gt;"", COUNTA($B$2:B184), "")</f>
        <v/>
      </c>
      <c r="B184" s="280" t="inlineStr">
        <is>
          <t>Манометр технический</t>
        </is>
      </c>
      <c r="C184" s="10" t="inlineStr">
        <is>
          <t>МП4-УУ2</t>
        </is>
      </c>
      <c r="D184" s="11" t="inlineStr">
        <is>
          <t>211228847</t>
        </is>
      </c>
      <c r="E184" s="10" t="n">
        <v>2010</v>
      </c>
      <c r="F184" s="10" t="inlineStr">
        <is>
          <t>0…0,6 кгс/см2</t>
        </is>
      </c>
      <c r="G184" s="10" t="n">
        <v>1.5</v>
      </c>
      <c r="H184" s="26" t="inlineStr">
        <is>
          <t>Р воздуха после РДВ</t>
        </is>
      </c>
      <c r="I184" s="8" t="inlineStr">
        <is>
          <t>ГПА 62</t>
        </is>
      </c>
      <c r="J184" s="15" t="inlineStr">
        <is>
          <t>АСУ,А и ТМ (КЦ № 6)</t>
        </is>
      </c>
      <c r="K184" s="15" t="n">
        <v>2012</v>
      </c>
      <c r="L184" s="15" t="n">
        <v>12</v>
      </c>
      <c r="M184" s="3" t="inlineStr">
        <is>
          <t>1К26</t>
        </is>
      </c>
      <c r="N184" s="70" t="inlineStr">
        <is>
          <t>К</t>
        </is>
      </c>
    </row>
    <row r="185">
      <c r="A185" s="15">
        <f>IF(B185&lt;&gt;"", COUNTA($B$2:B185), "")</f>
        <v/>
      </c>
      <c r="B185" s="280" t="inlineStr">
        <is>
          <t>Манометр технический</t>
        </is>
      </c>
      <c r="C185" s="10" t="inlineStr">
        <is>
          <t>МП4-УУ2</t>
        </is>
      </c>
      <c r="D185" s="11" t="inlineStr">
        <is>
          <t>15300</t>
        </is>
      </c>
      <c r="E185" s="10" t="n">
        <v>2010</v>
      </c>
      <c r="F185" s="10" t="inlineStr">
        <is>
          <t>0…16 кгс/см2</t>
        </is>
      </c>
      <c r="G185" s="10" t="n">
        <v>1.5</v>
      </c>
      <c r="H185" s="26" t="inlineStr">
        <is>
          <t>Р воздуха на входе фильтров</t>
        </is>
      </c>
      <c r="I185" s="8" t="inlineStr">
        <is>
          <t>ГПА 62</t>
        </is>
      </c>
      <c r="J185" s="15" t="inlineStr">
        <is>
          <t>АСУ,А и ТМ (КЦ № 6)</t>
        </is>
      </c>
      <c r="K185" s="15" t="n">
        <v>2012</v>
      </c>
      <c r="L185" s="15" t="n">
        <v>12</v>
      </c>
      <c r="M185" s="3" t="inlineStr">
        <is>
          <t>1К26</t>
        </is>
      </c>
      <c r="N185" s="70" t="inlineStr">
        <is>
          <t>К</t>
        </is>
      </c>
    </row>
    <row r="186">
      <c r="A186" s="15">
        <f>IF(B186&lt;&gt;"", COUNTA($B$2:B186), "")</f>
        <v/>
      </c>
      <c r="B186" s="280" t="inlineStr">
        <is>
          <t>Манометр технический</t>
        </is>
      </c>
      <c r="C186" s="10" t="inlineStr">
        <is>
          <t>МП4-УУ2</t>
        </is>
      </c>
      <c r="D186" s="11" t="inlineStr">
        <is>
          <t>10073</t>
        </is>
      </c>
      <c r="E186" s="10" t="n">
        <v>2010</v>
      </c>
      <c r="F186" s="10" t="inlineStr">
        <is>
          <t>0…16 кгс/см2</t>
        </is>
      </c>
      <c r="G186" s="10" t="n">
        <v>1.5</v>
      </c>
      <c r="H186" s="26" t="inlineStr">
        <is>
          <t>Р воздуха на выходе фильтров</t>
        </is>
      </c>
      <c r="I186" s="8" t="inlineStr">
        <is>
          <t>ГПА 62</t>
        </is>
      </c>
      <c r="J186" s="15" t="inlineStr">
        <is>
          <t>АСУ,А и ТМ (КЦ № 6)</t>
        </is>
      </c>
      <c r="K186" s="15" t="n">
        <v>2012</v>
      </c>
      <c r="L186" s="15" t="n">
        <v>12</v>
      </c>
      <c r="M186" s="3" t="inlineStr">
        <is>
          <t>1К26</t>
        </is>
      </c>
      <c r="N186" s="70" t="inlineStr">
        <is>
          <t>К</t>
        </is>
      </c>
    </row>
    <row r="187" ht="22.5" customHeight="1" s="151">
      <c r="A187" s="15">
        <f>IF(B187&lt;&gt;"", COUNTA($B$2:B187), "")</f>
        <v/>
      </c>
      <c r="B187" s="280" t="inlineStr">
        <is>
          <t>Манометр технический</t>
        </is>
      </c>
      <c r="C187" s="10" t="inlineStr">
        <is>
          <t>ДМ</t>
        </is>
      </c>
      <c r="D187" s="11" t="inlineStr">
        <is>
          <t>15297</t>
        </is>
      </c>
      <c r="E187" s="10" t="n">
        <v>2010</v>
      </c>
      <c r="F187" s="10" t="inlineStr">
        <is>
          <t>0…6 кгс/см2</t>
        </is>
      </c>
      <c r="G187" s="10" t="n">
        <v>1</v>
      </c>
      <c r="H187" s="26" t="inlineStr">
        <is>
          <t>Р масла до фильтров подпитки двигателя</t>
        </is>
      </c>
      <c r="I187" s="8" t="inlineStr">
        <is>
          <t>ГПА 62</t>
        </is>
      </c>
      <c r="J187" s="15" t="inlineStr">
        <is>
          <t>АСУ,А и ТМ (КЦ № 6)</t>
        </is>
      </c>
      <c r="K187" s="15" t="n">
        <v>2012</v>
      </c>
      <c r="L187" s="15" t="n">
        <v>12</v>
      </c>
      <c r="M187" s="3" t="inlineStr">
        <is>
          <t>1К26</t>
        </is>
      </c>
      <c r="N187" s="70" t="inlineStr">
        <is>
          <t>К</t>
        </is>
      </c>
    </row>
    <row r="188" ht="22.5" customHeight="1" s="151">
      <c r="A188" s="15">
        <f>IF(B188&lt;&gt;"", COUNTA($B$2:B188), "")</f>
        <v/>
      </c>
      <c r="B188" s="280" t="inlineStr">
        <is>
          <t>Манометр технический</t>
        </is>
      </c>
      <c r="C188" s="10" t="inlineStr">
        <is>
          <t>МП4-УУ2</t>
        </is>
      </c>
      <c r="D188" s="11" t="inlineStr">
        <is>
          <t>15400</t>
        </is>
      </c>
      <c r="E188" s="10" t="n">
        <v>2010</v>
      </c>
      <c r="F188" s="10" t="inlineStr">
        <is>
          <t>0…6 кгс/см2</t>
        </is>
      </c>
      <c r="G188" s="10" t="n">
        <v>1</v>
      </c>
      <c r="H188" s="26" t="inlineStr">
        <is>
          <t>Р масла после фильтров подпитки двигателя</t>
        </is>
      </c>
      <c r="I188" s="8" t="inlineStr">
        <is>
          <t>ГПА 62</t>
        </is>
      </c>
      <c r="J188" s="15" t="inlineStr">
        <is>
          <t>АСУ,А и ТМ (КЦ № 6)</t>
        </is>
      </c>
      <c r="K188" s="15" t="n">
        <v>2012</v>
      </c>
      <c r="L188" s="15" t="n">
        <v>12</v>
      </c>
      <c r="M188" s="3" t="inlineStr">
        <is>
          <t>1К26</t>
        </is>
      </c>
      <c r="N188" s="70" t="inlineStr">
        <is>
          <t>К</t>
        </is>
      </c>
    </row>
    <row r="189">
      <c r="A189" s="15">
        <f>IF(B189&lt;&gt;"", COUNTA($B$2:B189), "")</f>
        <v/>
      </c>
      <c r="B189" s="280" t="inlineStr">
        <is>
          <t>Манометр технический</t>
        </is>
      </c>
      <c r="C189" s="10" t="inlineStr">
        <is>
          <t>МП4-УУ2</t>
        </is>
      </c>
      <c r="D189" s="11" t="inlineStr">
        <is>
          <t>15600</t>
        </is>
      </c>
      <c r="E189" s="10" t="n">
        <v>2010</v>
      </c>
      <c r="F189" s="10" t="inlineStr">
        <is>
          <t>0…6 кгс/см3</t>
        </is>
      </c>
      <c r="G189" s="10" t="n">
        <v>1</v>
      </c>
      <c r="H189" s="26" t="inlineStr">
        <is>
          <t>Р масла до фильтров смазки двигателя</t>
        </is>
      </c>
      <c r="I189" s="8" t="inlineStr">
        <is>
          <t>ГПА 62</t>
        </is>
      </c>
      <c r="J189" s="15" t="inlineStr">
        <is>
          <t>АСУ,А и ТМ (КЦ № 6)</t>
        </is>
      </c>
      <c r="K189" s="15" t="n">
        <v>2012</v>
      </c>
      <c r="L189" s="15" t="n">
        <v>12</v>
      </c>
      <c r="M189" s="3" t="inlineStr">
        <is>
          <t>1К26</t>
        </is>
      </c>
      <c r="N189" s="70" t="inlineStr">
        <is>
          <t>К</t>
        </is>
      </c>
    </row>
    <row r="190" ht="22.5" customHeight="1" s="151">
      <c r="A190" s="15">
        <f>IF(B190&lt;&gt;"", COUNTA($B$2:B190), "")</f>
        <v/>
      </c>
      <c r="B190" s="280" t="inlineStr">
        <is>
          <t>Манометр технический</t>
        </is>
      </c>
      <c r="C190" s="10" t="inlineStr">
        <is>
          <t>ДМ</t>
        </is>
      </c>
      <c r="D190" s="11" t="inlineStr">
        <is>
          <t>15296</t>
        </is>
      </c>
      <c r="E190" s="10" t="n">
        <v>2010</v>
      </c>
      <c r="F190" s="10" t="inlineStr">
        <is>
          <t>0…6 кгс/см4</t>
        </is>
      </c>
      <c r="G190" s="10" t="n">
        <v>1</v>
      </c>
      <c r="H190" s="26" t="inlineStr">
        <is>
          <t>Р масла после фильтров смазки двигателя</t>
        </is>
      </c>
      <c r="I190" s="8" t="inlineStr">
        <is>
          <t>ГПА 62</t>
        </is>
      </c>
      <c r="J190" s="15" t="inlineStr">
        <is>
          <t>АСУ,А и ТМ (КЦ № 6)</t>
        </is>
      </c>
      <c r="K190" s="15" t="n">
        <v>2012</v>
      </c>
      <c r="L190" s="15" t="n">
        <v>12</v>
      </c>
      <c r="M190" s="3" t="inlineStr">
        <is>
          <t>1К26</t>
        </is>
      </c>
      <c r="N190" s="70" t="inlineStr">
        <is>
          <t>К</t>
        </is>
      </c>
    </row>
    <row r="191" ht="22.5" customHeight="1" s="151">
      <c r="A191" s="15">
        <f>IF(B191&lt;&gt;"", COUNTA($B$2:B191), "")</f>
        <v/>
      </c>
      <c r="B191" s="280" t="inlineStr">
        <is>
          <t>Манометр технический</t>
        </is>
      </c>
      <c r="C191" s="10" t="inlineStr">
        <is>
          <t>МП4-УУ2</t>
        </is>
      </c>
      <c r="D191" s="11" t="inlineStr">
        <is>
          <t>15613</t>
        </is>
      </c>
      <c r="E191" s="10" t="n">
        <v>2010</v>
      </c>
      <c r="F191" s="10" t="inlineStr">
        <is>
          <t>0…0,6 кгс/см2</t>
        </is>
      </c>
      <c r="G191" s="10" t="n">
        <v>1.5</v>
      </c>
      <c r="H191" s="26" t="inlineStr">
        <is>
          <t>Р воздуха смешанного потока после эжектора С1</t>
        </is>
      </c>
      <c r="I191" s="8" t="inlineStr">
        <is>
          <t>ГПА 62</t>
        </is>
      </c>
      <c r="J191" s="15" t="inlineStr">
        <is>
          <t>АСУ,А и ТМ (КЦ № 6)</t>
        </is>
      </c>
      <c r="K191" s="15" t="n">
        <v>2012</v>
      </c>
      <c r="L191" s="15" t="n">
        <v>12</v>
      </c>
      <c r="M191" s="3" t="inlineStr">
        <is>
          <t>1К26</t>
        </is>
      </c>
      <c r="N191" s="70" t="inlineStr">
        <is>
          <t>К</t>
        </is>
      </c>
    </row>
    <row r="192" ht="22.5" customHeight="1" s="151">
      <c r="A192" s="15">
        <f>IF(B192&lt;&gt;"", COUNTA($B$2:B192), "")</f>
        <v/>
      </c>
      <c r="B192" s="280" t="inlineStr">
        <is>
          <t>Манометр технический</t>
        </is>
      </c>
      <c r="C192" s="10" t="inlineStr">
        <is>
          <t>МВП4-УУ2</t>
        </is>
      </c>
      <c r="D192" s="11" t="inlineStr">
        <is>
          <t>6305</t>
        </is>
      </c>
      <c r="E192" s="10" t="n">
        <v>2010</v>
      </c>
      <c r="F192" s="148" t="inlineStr">
        <is>
          <t>-1…1,5 кгс/см2</t>
        </is>
      </c>
      <c r="G192" s="10" t="n">
        <v>1.5</v>
      </c>
      <c r="H192" s="26" t="inlineStr">
        <is>
          <t>Р воздуха инжектируемого потока перед фильтром Ф1</t>
        </is>
      </c>
      <c r="I192" s="8" t="inlineStr">
        <is>
          <t>ГПА 62</t>
        </is>
      </c>
      <c r="J192" s="15" t="inlineStr">
        <is>
          <t>АСУ,А и ТМ (КЦ № 6)</t>
        </is>
      </c>
      <c r="K192" s="15" t="n">
        <v>2012</v>
      </c>
      <c r="L192" s="15" t="n">
        <v>12</v>
      </c>
      <c r="M192" s="3" t="inlineStr">
        <is>
          <t>1К26</t>
        </is>
      </c>
      <c r="N192" s="70" t="inlineStr">
        <is>
          <t>К</t>
        </is>
      </c>
    </row>
    <row r="193">
      <c r="A193" s="15">
        <f>IF(B193&lt;&gt;"", COUNTA($B$2:B193), "")</f>
        <v/>
      </c>
      <c r="B193" s="280" t="inlineStr">
        <is>
          <t>Манометр технический</t>
        </is>
      </c>
      <c r="C193" s="10" t="inlineStr">
        <is>
          <t>МП4-УУ2</t>
        </is>
      </c>
      <c r="D193" s="11" t="inlineStr">
        <is>
          <t>50563</t>
        </is>
      </c>
      <c r="E193" s="10" t="n">
        <v>2010</v>
      </c>
      <c r="F193" s="10" t="inlineStr">
        <is>
          <t>0…16 кгс/см2</t>
        </is>
      </c>
      <c r="G193" s="10" t="n">
        <v>1.5</v>
      </c>
      <c r="H193" s="26" t="inlineStr">
        <is>
          <t>Р воздуха активного потока перед Др1</t>
        </is>
      </c>
      <c r="I193" s="8" t="inlineStr">
        <is>
          <t>ГПА 62</t>
        </is>
      </c>
      <c r="J193" s="15" t="inlineStr">
        <is>
          <t>АСУ,А и ТМ (КЦ № 6)</t>
        </is>
      </c>
      <c r="K193" s="15" t="n">
        <v>2012</v>
      </c>
      <c r="L193" s="15" t="n">
        <v>12</v>
      </c>
      <c r="M193" s="3" t="inlineStr">
        <is>
          <t>1К26</t>
        </is>
      </c>
      <c r="N193" s="70" t="inlineStr">
        <is>
          <t>К</t>
        </is>
      </c>
    </row>
    <row r="194">
      <c r="A194" s="15">
        <f>IF(B194&lt;&gt;"", COUNTA($B$2:B194), "")</f>
        <v/>
      </c>
      <c r="B194" s="280" t="inlineStr">
        <is>
          <t>Манометр технический</t>
        </is>
      </c>
      <c r="C194" s="10" t="inlineStr">
        <is>
          <t>МП4-УУ2</t>
        </is>
      </c>
      <c r="D194" s="11" t="inlineStr">
        <is>
          <t>4006</t>
        </is>
      </c>
      <c r="E194" s="10" t="n">
        <v>2010</v>
      </c>
      <c r="F194" s="14" t="inlineStr">
        <is>
          <t>0…10 кгс/см2</t>
        </is>
      </c>
      <c r="G194" s="10" t="n">
        <v>1.5</v>
      </c>
      <c r="H194" s="26" t="inlineStr">
        <is>
          <t>Р воздуха активного потока после Кр1</t>
        </is>
      </c>
      <c r="I194" s="8" t="inlineStr">
        <is>
          <t>ГПА 62</t>
        </is>
      </c>
      <c r="J194" s="15" t="inlineStr">
        <is>
          <t>АСУ,А и ТМ (КЦ № 6)</t>
        </is>
      </c>
      <c r="K194" s="15" t="n">
        <v>2012</v>
      </c>
      <c r="L194" s="15" t="n">
        <v>12</v>
      </c>
      <c r="M194" s="3" t="inlineStr">
        <is>
          <t>1К26</t>
        </is>
      </c>
      <c r="N194" s="70" t="inlineStr">
        <is>
          <t>К</t>
        </is>
      </c>
    </row>
    <row r="195" ht="22.5" customHeight="1" s="151">
      <c r="A195" s="15">
        <f>IF(B195&lt;&gt;"", COUNTA($B$2:B195), "")</f>
        <v/>
      </c>
      <c r="B195" s="280" t="inlineStr">
        <is>
          <t>Манометр технический</t>
        </is>
      </c>
      <c r="C195" s="10" t="inlineStr">
        <is>
          <t>МВП4-УУ2</t>
        </is>
      </c>
      <c r="D195" s="11" t="inlineStr">
        <is>
          <t>15286</t>
        </is>
      </c>
      <c r="E195" s="10" t="n">
        <v>2010</v>
      </c>
      <c r="F195" s="148" t="inlineStr">
        <is>
          <t>-1…1,5 кгс/см2</t>
        </is>
      </c>
      <c r="G195" s="10" t="n">
        <v>1.5</v>
      </c>
      <c r="H195" s="26" t="inlineStr">
        <is>
          <t>Р воздуха инжектируемого потока после фильтра Ф1</t>
        </is>
      </c>
      <c r="I195" s="8" t="inlineStr">
        <is>
          <t>ГПА 62</t>
        </is>
      </c>
      <c r="J195" s="15" t="inlineStr">
        <is>
          <t>АСУ,А и ТМ (КЦ № 6)</t>
        </is>
      </c>
      <c r="K195" s="15" t="n">
        <v>2012</v>
      </c>
      <c r="L195" s="15" t="n">
        <v>12</v>
      </c>
      <c r="M195" s="3" t="inlineStr">
        <is>
          <t>1К26</t>
        </is>
      </c>
      <c r="N195" s="70" t="inlineStr">
        <is>
          <t>К</t>
        </is>
      </c>
    </row>
    <row r="196">
      <c r="A196" s="15">
        <f>IF(B196&lt;&gt;"", COUNTA($B$2:B196), "")</f>
        <v/>
      </c>
      <c r="B196" s="280" t="inlineStr">
        <is>
          <t>Манометр технический</t>
        </is>
      </c>
      <c r="C196" s="26" t="inlineStr">
        <is>
          <t>МП3-УУ2</t>
        </is>
      </c>
      <c r="D196" s="26" t="n">
        <v>211211872</v>
      </c>
      <c r="E196" s="10" t="n"/>
      <c r="F196" s="26" t="inlineStr">
        <is>
          <t>0…1,6 МПа</t>
        </is>
      </c>
      <c r="G196" s="26" t="n">
        <v>1.5</v>
      </c>
      <c r="H196" s="26" t="inlineStr">
        <is>
          <t xml:space="preserve">Р воздуха в ресивере </t>
        </is>
      </c>
      <c r="I196" s="8" t="inlineStr">
        <is>
          <t>ГПА 62</t>
        </is>
      </c>
      <c r="J196" s="15" t="inlineStr">
        <is>
          <t>АСУ,А и ТМ (КЦ № 6)</t>
        </is>
      </c>
      <c r="K196" s="15" t="n">
        <v>2012</v>
      </c>
      <c r="L196" s="15" t="n">
        <v>12</v>
      </c>
      <c r="M196" s="3" t="inlineStr">
        <is>
          <t>26ДЯУ</t>
        </is>
      </c>
      <c r="N196" s="70" t="inlineStr">
        <is>
          <t>П</t>
        </is>
      </c>
      <c r="O196" s="66" t="n"/>
    </row>
    <row r="197" ht="22.5" customHeight="1" s="151">
      <c r="A197" s="15">
        <f>IF(B197&lt;&gt;"", COUNTA($B$2:B197), "")</f>
        <v/>
      </c>
      <c r="B197" s="280" t="inlineStr">
        <is>
          <t>Термометр манометрический</t>
        </is>
      </c>
      <c r="C197" s="26" t="inlineStr">
        <is>
          <t>manotherm</t>
        </is>
      </c>
      <c r="D197" s="26" t="n">
        <v>111502128</v>
      </c>
      <c r="E197" s="10" t="n">
        <v>2010</v>
      </c>
      <c r="F197" s="26" t="inlineStr">
        <is>
          <t>­20…80°С</t>
        </is>
      </c>
      <c r="G197" s="26" t="n">
        <v>1</v>
      </c>
      <c r="H197" s="26" t="inlineStr">
        <is>
          <t>Тг на входе в нагнетатель</t>
        </is>
      </c>
      <c r="I197" s="8" t="inlineStr">
        <is>
          <t>ГПА 62</t>
        </is>
      </c>
      <c r="J197" s="15" t="inlineStr">
        <is>
          <t>АСУ,А и ТМ (КЦ № 6)</t>
        </is>
      </c>
      <c r="K197" s="15" t="n">
        <v>2012</v>
      </c>
      <c r="L197" s="15" t="n">
        <v>24</v>
      </c>
      <c r="M197" s="3" t="inlineStr">
        <is>
          <t>3К25</t>
        </is>
      </c>
      <c r="N197" s="70" t="inlineStr">
        <is>
          <t>К</t>
        </is>
      </c>
      <c r="O197" s="52" t="n"/>
    </row>
    <row r="198" ht="22.5" customHeight="1" s="151">
      <c r="A198" s="15">
        <f>IF(B198&lt;&gt;"", COUNTA($B$2:B198), "")</f>
        <v/>
      </c>
      <c r="B198" s="280" t="inlineStr">
        <is>
          <t>Термометр манометрический</t>
        </is>
      </c>
      <c r="C198" s="26" t="inlineStr">
        <is>
          <t>manotherm</t>
        </is>
      </c>
      <c r="D198" s="26" t="n">
        <v>111502121</v>
      </c>
      <c r="E198" s="10" t="n">
        <v>2010</v>
      </c>
      <c r="F198" s="26" t="inlineStr">
        <is>
          <t>0…100°С</t>
        </is>
      </c>
      <c r="G198" s="26" t="n">
        <v>1</v>
      </c>
      <c r="H198" s="26" t="inlineStr">
        <is>
          <t>Тг на выходе нагнетателя</t>
        </is>
      </c>
      <c r="I198" s="8" t="inlineStr">
        <is>
          <t>ГПА 62</t>
        </is>
      </c>
      <c r="J198" s="15" t="inlineStr">
        <is>
          <t>АСУ,А и ТМ (КЦ № 6)</t>
        </is>
      </c>
      <c r="K198" s="15" t="n">
        <v>2012</v>
      </c>
      <c r="L198" s="15" t="n">
        <v>24</v>
      </c>
      <c r="M198" s="3" t="inlineStr">
        <is>
          <t>3К25</t>
        </is>
      </c>
      <c r="N198" s="70" t="inlineStr">
        <is>
          <t>К</t>
        </is>
      </c>
      <c r="O198" s="52" t="n"/>
    </row>
    <row r="199">
      <c r="A199" s="15">
        <f>IF(B199&lt;&gt;"", COUNTA($B$2:B199), "")</f>
        <v/>
      </c>
      <c r="B199" s="16" t="inlineStr">
        <is>
          <t>Термометр сопротивления</t>
        </is>
      </c>
      <c r="C199" s="17" t="inlineStr">
        <is>
          <t>ТСП 012.60 Pt100/B/3</t>
        </is>
      </c>
      <c r="D199" s="3" t="inlineStr">
        <is>
          <t>310</t>
        </is>
      </c>
      <c r="E199" s="15" t="n">
        <v>2011</v>
      </c>
      <c r="F199" s="17" t="inlineStr">
        <is>
          <t>-60…200 °С</t>
        </is>
      </c>
      <c r="G199" s="17" t="inlineStr">
        <is>
          <t>B</t>
        </is>
      </c>
      <c r="H199" s="3" t="inlineStr">
        <is>
          <t>Температура воздуха продувки</t>
        </is>
      </c>
      <c r="I199" s="15" t="inlineStr">
        <is>
          <t>ГПА 62</t>
        </is>
      </c>
      <c r="J199" s="15" t="inlineStr">
        <is>
          <t>АСУ,А и ТМ (КЦ № 6)</t>
        </is>
      </c>
      <c r="K199" s="15" t="n">
        <v>2012</v>
      </c>
      <c r="L199" s="14" t="n">
        <v>24</v>
      </c>
      <c r="M199" s="3" t="n"/>
      <c r="N199" s="70" t="n"/>
    </row>
    <row r="200">
      <c r="A200" s="15">
        <f>IF(B200&lt;&gt;"", COUNTA($B$2:B200), "")</f>
        <v/>
      </c>
      <c r="B200" s="280" t="inlineStr">
        <is>
          <t>Контроль загазованности</t>
        </is>
      </c>
      <c r="C200" s="10" t="inlineStr">
        <is>
          <t>Det-Tronics (PIRECL 21M)</t>
        </is>
      </c>
      <c r="D200" s="10" t="n">
        <v>1105093</v>
      </c>
      <c r="E200" s="15" t="n">
        <v>2011</v>
      </c>
      <c r="F200" s="33" t="n"/>
      <c r="G200" s="33" t="n"/>
      <c r="H200" s="15" t="inlineStr">
        <is>
          <t>Над нагнетателем (QT 201)</t>
        </is>
      </c>
      <c r="I200" s="15" t="inlineStr">
        <is>
          <t>ГПА 62</t>
        </is>
      </c>
      <c r="J200" s="15" t="inlineStr">
        <is>
          <t>АСУ,А и ТМ (КЦ № 6)</t>
        </is>
      </c>
      <c r="K200" s="15" t="n">
        <v>2012</v>
      </c>
      <c r="L200" s="14" t="n"/>
      <c r="M200" s="3" t="n"/>
      <c r="N200" s="70" t="n"/>
    </row>
    <row r="201">
      <c r="A201" s="15">
        <f>IF(B201&lt;&gt;"", COUNTA($B$2:B201), "")</f>
        <v/>
      </c>
      <c r="B201" s="280" t="inlineStr">
        <is>
          <t>Контроль загазованности</t>
        </is>
      </c>
      <c r="C201" s="10" t="inlineStr">
        <is>
          <t>Det-Tronics (PIRECL 21M)</t>
        </is>
      </c>
      <c r="D201" s="10" t="n">
        <v>1105073</v>
      </c>
      <c r="E201" s="15" t="n">
        <v>2011</v>
      </c>
      <c r="F201" s="33" t="n"/>
      <c r="G201" s="33" t="n"/>
      <c r="H201" s="15" t="inlineStr">
        <is>
          <t>Над подогревателем буф.газа (QT 202)</t>
        </is>
      </c>
      <c r="I201" s="15" t="inlineStr">
        <is>
          <t>ГПА 62</t>
        </is>
      </c>
      <c r="J201" s="15" t="inlineStr">
        <is>
          <t>АСУ,А и ТМ (КЦ № 6)</t>
        </is>
      </c>
      <c r="K201" s="15" t="n">
        <v>2012</v>
      </c>
      <c r="L201" s="14" t="n"/>
      <c r="M201" s="3" t="n"/>
      <c r="N201" s="33" t="n"/>
    </row>
    <row r="202">
      <c r="A202" s="210">
        <f>IF(B202&lt;&gt;"", COUNTA($B$2:B202), "")</f>
        <v/>
      </c>
      <c r="B202" s="213" t="inlineStr">
        <is>
          <t>Контроль загазованности</t>
        </is>
      </c>
      <c r="C202" s="207" t="inlineStr">
        <is>
          <t>ОГС-ПГП/М-СН4-А</t>
        </is>
      </c>
      <c r="D202" s="207" t="n">
        <v>25238</v>
      </c>
      <c r="E202" s="210" t="n"/>
      <c r="F202" s="209" t="n"/>
      <c r="G202" s="209" t="n"/>
      <c r="H202" s="210" t="inlineStr">
        <is>
          <t>Напротив масляной консоли (QT 203)</t>
        </is>
      </c>
      <c r="I202" s="210" t="inlineStr">
        <is>
          <t>ГПА 62</t>
        </is>
      </c>
      <c r="J202" s="210" t="inlineStr">
        <is>
          <t>АСУ,А и ТМ (КЦ № 6)</t>
        </is>
      </c>
      <c r="K202" s="210" t="n">
        <v>2012</v>
      </c>
      <c r="L202" s="211" t="n"/>
      <c r="M202" s="212" t="n"/>
      <c r="N202" s="209" t="n"/>
    </row>
    <row r="203">
      <c r="A203" s="15">
        <f>IF(B203&lt;&gt;"", COUNTA($B$2:B203), "")</f>
        <v/>
      </c>
      <c r="B203" s="280" t="inlineStr">
        <is>
          <t>Контроль загазованности</t>
        </is>
      </c>
      <c r="C203" s="10" t="inlineStr">
        <is>
          <t>Det-Tronics (PIRECL 21M)</t>
        </is>
      </c>
      <c r="D203" s="10" t="n">
        <v>1507068</v>
      </c>
      <c r="E203" s="15" t="n">
        <v>2011</v>
      </c>
      <c r="F203" s="33" t="n"/>
      <c r="G203" s="33" t="n"/>
      <c r="H203" s="15" t="inlineStr">
        <is>
          <t>Под КШТ (QT100)</t>
        </is>
      </c>
      <c r="I203" s="15" t="inlineStr">
        <is>
          <t>ГПА 62</t>
        </is>
      </c>
      <c r="J203" s="15" t="inlineStr">
        <is>
          <t>АСУ,А и ТМ (КЦ № 6)</t>
        </is>
      </c>
      <c r="K203" s="15" t="n">
        <v>2012</v>
      </c>
      <c r="L203" s="14" t="n"/>
      <c r="M203" s="3" t="n"/>
      <c r="N203" s="33" t="n"/>
    </row>
    <row r="204" ht="22.5" customHeight="1" s="151">
      <c r="A204" s="15">
        <f>IF(B204&lt;&gt;"", COUNTA($B$2:B204), "")</f>
        <v/>
      </c>
      <c r="B204" s="280" t="inlineStr">
        <is>
          <t>Извещатель тепловой пожарный</t>
        </is>
      </c>
      <c r="C204" s="10" t="inlineStr">
        <is>
          <t>12-х27/21-000</t>
        </is>
      </c>
      <c r="D204" s="10" t="n">
        <v>1036</v>
      </c>
      <c r="E204" s="15" t="n">
        <v>2011</v>
      </c>
      <c r="F204" s="17" t="inlineStr">
        <is>
          <t>-60…200 °С</t>
        </is>
      </c>
      <c r="G204" s="33" t="n"/>
      <c r="H204" s="15" t="inlineStr">
        <is>
          <t>Под КШТ (ВТК 101)</t>
        </is>
      </c>
      <c r="I204" s="15" t="inlineStr">
        <is>
          <t>ГПА 62</t>
        </is>
      </c>
      <c r="J204" s="15" t="inlineStr">
        <is>
          <t>АСУ,А и ТМ (КЦ № 6)</t>
        </is>
      </c>
      <c r="K204" s="15" t="n">
        <v>2012</v>
      </c>
      <c r="L204" s="33" t="n"/>
      <c r="M204" s="33" t="n"/>
      <c r="N204" s="33" t="n"/>
    </row>
    <row r="205" ht="22.5" customHeight="1" s="151">
      <c r="A205" s="15">
        <f>IF(B205&lt;&gt;"", COUNTA($B$2:B205), "")</f>
        <v/>
      </c>
      <c r="B205" s="280" t="inlineStr">
        <is>
          <t>Извещатель тепловой пожарный</t>
        </is>
      </c>
      <c r="C205" s="10" t="inlineStr">
        <is>
          <t>12-х27/21-000</t>
        </is>
      </c>
      <c r="D205" s="10" t="n">
        <v>1043</v>
      </c>
      <c r="E205" s="15" t="n">
        <v>2011</v>
      </c>
      <c r="F205" s="17" t="inlineStr">
        <is>
          <t>-60…200 °С</t>
        </is>
      </c>
      <c r="G205" s="33" t="n"/>
      <c r="H205" s="15" t="inlineStr">
        <is>
          <t>Под КШТ (ВТК 102)</t>
        </is>
      </c>
      <c r="I205" s="15" t="inlineStr">
        <is>
          <t>ГПА 62</t>
        </is>
      </c>
      <c r="J205" s="15" t="inlineStr">
        <is>
          <t>АСУ,А и ТМ (КЦ № 6)</t>
        </is>
      </c>
      <c r="K205" s="15" t="n">
        <v>2012</v>
      </c>
      <c r="L205" s="33" t="n"/>
      <c r="M205" s="33" t="n"/>
      <c r="N205" s="33" t="n"/>
    </row>
    <row r="206" ht="22.5" customHeight="1" s="151">
      <c r="A206" s="15">
        <f>IF(B206&lt;&gt;"", COUNTA($B$2:B206), "")</f>
        <v/>
      </c>
      <c r="B206" s="280" t="inlineStr">
        <is>
          <t>Извещатель тепловой пожарный</t>
        </is>
      </c>
      <c r="C206" s="10" t="inlineStr">
        <is>
          <t>12-х27/21-000</t>
        </is>
      </c>
      <c r="D206" s="10" t="n">
        <v>1046</v>
      </c>
      <c r="E206" s="15" t="n">
        <v>2011</v>
      </c>
      <c r="F206" s="17" t="inlineStr">
        <is>
          <t>-60…200 °С</t>
        </is>
      </c>
      <c r="G206" s="33" t="n"/>
      <c r="H206" s="15" t="inlineStr">
        <is>
          <t>Под КШТ (ВТК 103)</t>
        </is>
      </c>
      <c r="I206" s="15" t="inlineStr">
        <is>
          <t>ГПА 62</t>
        </is>
      </c>
      <c r="J206" s="15" t="inlineStr">
        <is>
          <t>АСУ,А и ТМ (КЦ № 6)</t>
        </is>
      </c>
      <c r="K206" s="15" t="n">
        <v>2012</v>
      </c>
      <c r="L206" s="33" t="n"/>
      <c r="M206" s="33" t="n"/>
      <c r="N206" s="33" t="n"/>
    </row>
    <row r="207" ht="22.5" customHeight="1" s="151">
      <c r="A207" s="15">
        <f>IF(B207&lt;&gt;"", COUNTA($B$2:B207), "")</f>
        <v/>
      </c>
      <c r="B207" s="280" t="inlineStr">
        <is>
          <t>Извещатель тепловой пожарный</t>
        </is>
      </c>
      <c r="C207" s="10" t="inlineStr">
        <is>
          <t>12-х27/21-000</t>
        </is>
      </c>
      <c r="D207" s="10" t="n">
        <v>1055</v>
      </c>
      <c r="E207" s="15" t="n">
        <v>2011</v>
      </c>
      <c r="F207" s="17" t="inlineStr">
        <is>
          <t>-60…200 °С</t>
        </is>
      </c>
      <c r="G207" s="33" t="n"/>
      <c r="H207" s="15" t="inlineStr">
        <is>
          <t>Под КШТ (ВТК 104)</t>
        </is>
      </c>
      <c r="I207" s="15" t="inlineStr">
        <is>
          <t>ГПА 62</t>
        </is>
      </c>
      <c r="J207" s="15" t="inlineStr">
        <is>
          <t>АСУ,А и ТМ (КЦ № 6)</t>
        </is>
      </c>
      <c r="K207" s="15" t="n">
        <v>2012</v>
      </c>
      <c r="L207" s="33" t="n"/>
      <c r="M207" s="33" t="n"/>
      <c r="N207" s="33" t="n"/>
    </row>
    <row r="208">
      <c r="A208" s="15">
        <f>IF(B208&lt;&gt;"", COUNTA($B$2:B208), "")</f>
        <v/>
      </c>
      <c r="B208" s="280" t="inlineStr">
        <is>
          <t>Датчик пламени</t>
        </is>
      </c>
      <c r="C208" s="10" t="inlineStr">
        <is>
          <t>ИП330/3-20-А1</t>
        </is>
      </c>
      <c r="D208" s="11" t="inlineStr">
        <is>
          <t>000956</t>
        </is>
      </c>
      <c r="E208" s="15" t="n">
        <v>2011</v>
      </c>
      <c r="F208" s="33" t="n"/>
      <c r="G208" s="33" t="n"/>
      <c r="H208" s="10" t="inlineStr">
        <is>
          <t>Над входом слева (BTF201)</t>
        </is>
      </c>
      <c r="I208" s="15" t="inlineStr">
        <is>
          <t>ГПА 62</t>
        </is>
      </c>
      <c r="J208" s="15" t="inlineStr">
        <is>
          <t>АСУ,А и ТМ (КЦ № 6)</t>
        </is>
      </c>
      <c r="K208" s="15" t="n">
        <v>2012</v>
      </c>
      <c r="L208" s="33" t="n"/>
      <c r="M208" s="33" t="n"/>
      <c r="N208" s="33" t="n"/>
    </row>
    <row r="209">
      <c r="A209" s="15">
        <f>IF(B209&lt;&gt;"", COUNTA($B$2:B209), "")</f>
        <v/>
      </c>
      <c r="B209" s="280" t="inlineStr">
        <is>
          <t>Датчик пламени</t>
        </is>
      </c>
      <c r="C209" s="10" t="inlineStr">
        <is>
          <t>ИП330/3-20-А1</t>
        </is>
      </c>
      <c r="D209" s="11" t="inlineStr">
        <is>
          <t>000906</t>
        </is>
      </c>
      <c r="E209" s="15" t="n">
        <v>2011</v>
      </c>
      <c r="F209" s="33" t="n"/>
      <c r="G209" s="33" t="n"/>
      <c r="H209" s="10" t="inlineStr">
        <is>
          <t>Над входом с АВОг (BTF204)</t>
        </is>
      </c>
      <c r="I209" s="15" t="inlineStr">
        <is>
          <t>ГПА 62</t>
        </is>
      </c>
      <c r="J209" s="15" t="inlineStr">
        <is>
          <t>АСУ,А и ТМ (КЦ № 6)</t>
        </is>
      </c>
      <c r="K209" s="15" t="n">
        <v>2012</v>
      </c>
      <c r="L209" s="33" t="n"/>
      <c r="M209" s="33" t="n"/>
      <c r="N209" s="33" t="n"/>
    </row>
    <row r="210">
      <c r="A210" s="15">
        <f>IF(B210&lt;&gt;"", COUNTA($B$2:B210), "")</f>
        <v/>
      </c>
      <c r="B210" s="280" t="inlineStr">
        <is>
          <t>Датчик пламени</t>
        </is>
      </c>
      <c r="C210" s="10" t="inlineStr">
        <is>
          <t>ИП330/3-20-А1</t>
        </is>
      </c>
      <c r="D210" s="11" t="inlineStr">
        <is>
          <t>000994</t>
        </is>
      </c>
      <c r="E210" s="15" t="n">
        <v>2011</v>
      </c>
      <c r="F210" s="33" t="n"/>
      <c r="G210" s="33" t="n"/>
      <c r="H210" s="10" t="inlineStr">
        <is>
          <t>На леснице слева (BTF202)</t>
        </is>
      </c>
      <c r="I210" s="15" t="inlineStr">
        <is>
          <t>ГПА 62</t>
        </is>
      </c>
      <c r="J210" s="15" t="inlineStr">
        <is>
          <t>АСУ,А и ТМ (КЦ № 6)</t>
        </is>
      </c>
      <c r="K210" s="15" t="n">
        <v>2012</v>
      </c>
      <c r="L210" s="33" t="n"/>
      <c r="M210" s="33" t="n"/>
      <c r="N210" s="33" t="n"/>
    </row>
    <row r="211">
      <c r="A211" s="15">
        <f>IF(B211&lt;&gt;"", COUNTA($B$2:B211), "")</f>
        <v/>
      </c>
      <c r="B211" s="280" t="inlineStr">
        <is>
          <t>Датчик пламени</t>
        </is>
      </c>
      <c r="C211" s="10" t="inlineStr">
        <is>
          <t>ИП330/3-20-А1</t>
        </is>
      </c>
      <c r="D211" s="11" t="inlineStr">
        <is>
          <t>000975</t>
        </is>
      </c>
      <c r="E211" s="15" t="n">
        <v>2011</v>
      </c>
      <c r="F211" s="33" t="n"/>
      <c r="G211" s="33" t="n"/>
      <c r="H211" s="10" t="inlineStr">
        <is>
          <t>На леснице справа (BTF203)</t>
        </is>
      </c>
      <c r="I211" s="15" t="inlineStr">
        <is>
          <t>ГПА 62</t>
        </is>
      </c>
      <c r="J211" s="15" t="inlineStr">
        <is>
          <t>АСУ,А и ТМ (КЦ № 6)</t>
        </is>
      </c>
      <c r="K211" s="15" t="n">
        <v>2012</v>
      </c>
      <c r="L211" s="33" t="n"/>
      <c r="M211" s="33" t="n"/>
      <c r="N211" s="33" t="n"/>
    </row>
    <row r="212">
      <c r="A212" s="15">
        <f>IF(B212&lt;&gt;"", COUNTA($B$2:B212), "")</f>
        <v/>
      </c>
      <c r="B212" s="280" t="inlineStr">
        <is>
          <t>Датчик пламени</t>
        </is>
      </c>
      <c r="C212" s="10" t="inlineStr">
        <is>
          <t>ИП330/3-20-А1</t>
        </is>
      </c>
      <c r="D212" s="11" t="inlineStr">
        <is>
          <t>001938</t>
        </is>
      </c>
      <c r="E212" s="15" t="n">
        <v>2011</v>
      </c>
      <c r="F212" s="33" t="n"/>
      <c r="G212" s="33" t="n"/>
      <c r="H212" s="10" t="inlineStr">
        <is>
          <t>Над т.г. (BTF207)</t>
        </is>
      </c>
      <c r="I212" s="15" t="inlineStr">
        <is>
          <t>ГПА 62</t>
        </is>
      </c>
      <c r="J212" s="15" t="inlineStr">
        <is>
          <t>АСУ,А и ТМ (КЦ № 6)</t>
        </is>
      </c>
      <c r="K212" s="15" t="n">
        <v>2012</v>
      </c>
      <c r="L212" s="33" t="n"/>
      <c r="M212" s="33" t="n"/>
      <c r="N212" s="33" t="n"/>
    </row>
    <row r="213">
      <c r="A213" s="15">
        <f>IF(B213&lt;&gt;"", COUNTA($B$2:B213), "")</f>
        <v/>
      </c>
      <c r="B213" s="280" t="inlineStr">
        <is>
          <t>Датчик пламени</t>
        </is>
      </c>
      <c r="C213" s="10" t="inlineStr">
        <is>
          <t>ИП330/1-20-А1</t>
        </is>
      </c>
      <c r="D213" s="11" t="inlineStr">
        <is>
          <t>001353</t>
        </is>
      </c>
      <c r="E213" s="15" t="n">
        <v>2011</v>
      </c>
      <c r="F213" s="33" t="n"/>
      <c r="G213" s="33" t="n"/>
      <c r="H213" s="10" t="inlineStr">
        <is>
          <t>Под КШТ (BTF102)</t>
        </is>
      </c>
      <c r="I213" s="15" t="inlineStr">
        <is>
          <t>ГПА 62</t>
        </is>
      </c>
      <c r="J213" s="15" t="inlineStr">
        <is>
          <t>АСУ,А и ТМ (КЦ № 6)</t>
        </is>
      </c>
      <c r="K213" s="15" t="n">
        <v>2012</v>
      </c>
      <c r="L213" s="33" t="n"/>
      <c r="M213" s="33" t="n"/>
      <c r="N213" s="33" t="n"/>
    </row>
    <row r="214">
      <c r="A214" s="15">
        <f>IF(B214&lt;&gt;"", COUNTA($B$2:B214), "")</f>
        <v/>
      </c>
      <c r="B214" s="280" t="inlineStr">
        <is>
          <t>Датчик пламени</t>
        </is>
      </c>
      <c r="C214" s="10" t="inlineStr">
        <is>
          <t>ИП330/1-20-А1</t>
        </is>
      </c>
      <c r="D214" s="11" t="inlineStr">
        <is>
          <t>001344</t>
        </is>
      </c>
      <c r="E214" s="15" t="n">
        <v>2011</v>
      </c>
      <c r="F214" s="33" t="n"/>
      <c r="G214" s="33" t="n"/>
      <c r="H214" s="10" t="inlineStr">
        <is>
          <t>Под КШТ (BTF101)</t>
        </is>
      </c>
      <c r="I214" s="15" t="inlineStr">
        <is>
          <t>ГПА 62</t>
        </is>
      </c>
      <c r="J214" s="15" t="inlineStr">
        <is>
          <t>АСУ,А и ТМ (КЦ № 6)</t>
        </is>
      </c>
      <c r="K214" s="15" t="n">
        <v>2012</v>
      </c>
      <c r="L214" s="33" t="n"/>
      <c r="M214" s="33" t="n"/>
      <c r="N214" s="33" t="n"/>
    </row>
    <row r="215">
      <c r="A215" s="15">
        <f>IF(B215&lt;&gt;"", COUNTA($B$2:B215), "")</f>
        <v/>
      </c>
      <c r="B215" s="280" t="inlineStr">
        <is>
          <t>Датчик пламени</t>
        </is>
      </c>
      <c r="C215" s="10" t="inlineStr">
        <is>
          <t>ИП330/3-20-А1</t>
        </is>
      </c>
      <c r="D215" s="11" t="inlineStr">
        <is>
          <t>001009</t>
        </is>
      </c>
      <c r="E215" s="15" t="n">
        <v>2011</v>
      </c>
      <c r="F215" s="33" t="n"/>
      <c r="G215" s="33" t="n"/>
      <c r="H215" s="10" t="inlineStr">
        <is>
          <t>Масл.консоль (BTF211)</t>
        </is>
      </c>
      <c r="I215" s="15" t="inlineStr">
        <is>
          <t>ГПА 62</t>
        </is>
      </c>
      <c r="J215" s="15" t="inlineStr">
        <is>
          <t>АСУ,А и ТМ (КЦ № 6)</t>
        </is>
      </c>
      <c r="K215" s="15" t="n">
        <v>2012</v>
      </c>
      <c r="L215" s="33" t="n"/>
      <c r="M215" s="33" t="n"/>
      <c r="N215" s="33" t="n"/>
    </row>
    <row r="216">
      <c r="A216" s="15">
        <f>IF(B216&lt;&gt;"", COUNTA($B$2:B216), "")</f>
        <v/>
      </c>
      <c r="B216" s="280" t="inlineStr">
        <is>
          <t>Датчик пламени</t>
        </is>
      </c>
      <c r="C216" s="10" t="inlineStr">
        <is>
          <t>ИП330/3-20-А1</t>
        </is>
      </c>
      <c r="D216" s="11" t="inlineStr">
        <is>
          <t>000993</t>
        </is>
      </c>
      <c r="E216" s="15" t="n">
        <v>2011</v>
      </c>
      <c r="F216" s="33" t="n"/>
      <c r="G216" s="33" t="n"/>
      <c r="H216" s="26" t="inlineStr">
        <is>
          <t xml:space="preserve"> (BTF210)</t>
        </is>
      </c>
      <c r="I216" s="15" t="inlineStr">
        <is>
          <t>ГПА 62</t>
        </is>
      </c>
      <c r="J216" s="15" t="inlineStr">
        <is>
          <t>АСУ,А и ТМ (КЦ № 6)</t>
        </is>
      </c>
      <c r="K216" s="15" t="n">
        <v>2012</v>
      </c>
      <c r="L216" s="33" t="n"/>
      <c r="M216" s="33" t="n"/>
      <c r="N216" s="33" t="n"/>
    </row>
    <row r="217">
      <c r="A217" s="15">
        <f>IF(B217&lt;&gt;"", COUNTA($B$2:B217), "")</f>
        <v/>
      </c>
      <c r="B217" s="280" t="inlineStr">
        <is>
          <t>Датчик пламени</t>
        </is>
      </c>
      <c r="C217" s="10" t="inlineStr">
        <is>
          <t>ИП330/3-20-А1</t>
        </is>
      </c>
      <c r="D217" s="11" t="inlineStr">
        <is>
          <t>000986</t>
        </is>
      </c>
      <c r="E217" s="15" t="n">
        <v>2011</v>
      </c>
      <c r="F217" s="33" t="n"/>
      <c r="G217" s="33" t="n"/>
      <c r="H217" s="26" t="inlineStr">
        <is>
          <t xml:space="preserve"> (BTF208)</t>
        </is>
      </c>
      <c r="I217" s="15" t="inlineStr">
        <is>
          <t>ГПА 62</t>
        </is>
      </c>
      <c r="J217" s="15" t="inlineStr">
        <is>
          <t>АСУ,А и ТМ (КЦ № 6)</t>
        </is>
      </c>
      <c r="K217" s="15" t="n">
        <v>2012</v>
      </c>
      <c r="L217" s="33" t="n"/>
      <c r="M217" s="33" t="n"/>
      <c r="N217" s="33" t="n"/>
    </row>
    <row r="218">
      <c r="A218" s="15">
        <f>IF(B218&lt;&gt;"", COUNTA($B$2:B218), "")</f>
        <v/>
      </c>
      <c r="B218" s="280" t="inlineStr">
        <is>
          <t>Датчик пламени</t>
        </is>
      </c>
      <c r="C218" s="10" t="inlineStr">
        <is>
          <t>ИП330/3-20-А1</t>
        </is>
      </c>
      <c r="D218" s="109" t="n"/>
      <c r="E218" s="15" t="n">
        <v>2011</v>
      </c>
      <c r="F218" s="33" t="n"/>
      <c r="G218" s="33" t="n"/>
      <c r="H218" s="26" t="inlineStr">
        <is>
          <t>(BTF206)</t>
        </is>
      </c>
      <c r="I218" s="15" t="inlineStr">
        <is>
          <t>ГПА 62</t>
        </is>
      </c>
      <c r="J218" s="15" t="inlineStr">
        <is>
          <t>АСУ,А и ТМ (КЦ № 6)</t>
        </is>
      </c>
      <c r="K218" s="15" t="n">
        <v>2012</v>
      </c>
      <c r="L218" s="33" t="n"/>
      <c r="M218" s="33" t="n"/>
      <c r="N218" s="33" t="n"/>
    </row>
    <row r="219">
      <c r="A219" s="15">
        <f>IF(B219&lt;&gt;"", COUNTA($B$2:B219), "")</f>
        <v/>
      </c>
      <c r="B219" s="280" t="inlineStr">
        <is>
          <t>Датчик пламени</t>
        </is>
      </c>
      <c r="C219" s="10" t="inlineStr">
        <is>
          <t>ИП330/3-20-А1</t>
        </is>
      </c>
      <c r="D219" s="109" t="n"/>
      <c r="E219" s="15" t="n">
        <v>2011</v>
      </c>
      <c r="F219" s="33" t="n"/>
      <c r="G219" s="33" t="n"/>
      <c r="H219" s="26" t="inlineStr">
        <is>
          <t>(BTF205)</t>
        </is>
      </c>
      <c r="I219" s="15" t="inlineStr">
        <is>
          <t>ГПА 62</t>
        </is>
      </c>
      <c r="J219" s="15" t="inlineStr">
        <is>
          <t>АСУ,А и ТМ (КЦ № 6)</t>
        </is>
      </c>
      <c r="K219" s="15" t="n">
        <v>2012</v>
      </c>
      <c r="L219" s="33" t="n"/>
      <c r="M219" s="33" t="n"/>
      <c r="N219" s="33" t="n"/>
    </row>
    <row r="220">
      <c r="A220" s="15">
        <f>IF(B220&lt;&gt;"", COUNTA($B$2:B220), "")</f>
        <v/>
      </c>
      <c r="B220" s="280" t="inlineStr">
        <is>
          <t>Датчик пламени</t>
        </is>
      </c>
      <c r="C220" s="10" t="inlineStr">
        <is>
          <t>ИП330/3-20-А1</t>
        </is>
      </c>
      <c r="D220" s="109" t="n"/>
      <c r="E220" s="15" t="n">
        <v>2011</v>
      </c>
      <c r="F220" s="33" t="n"/>
      <c r="G220" s="33" t="n"/>
      <c r="H220" s="26" t="inlineStr">
        <is>
          <t>(BTF209)</t>
        </is>
      </c>
      <c r="I220" s="15" t="inlineStr">
        <is>
          <t>ГПА 62</t>
        </is>
      </c>
      <c r="J220" s="15" t="inlineStr">
        <is>
          <t>АСУ,А и ТМ (КЦ № 6)</t>
        </is>
      </c>
      <c r="K220" s="15" t="n">
        <v>2012</v>
      </c>
      <c r="L220" s="33" t="n"/>
      <c r="M220" s="33" t="n"/>
      <c r="N220" s="33" t="n"/>
    </row>
    <row r="221" ht="22.5" customHeight="1" s="151">
      <c r="A221" s="15">
        <f>IF(B221&lt;&gt;"", COUNTA($B$2:B221), "")</f>
        <v/>
      </c>
      <c r="B221" s="16" t="inlineStr">
        <is>
          <t>Термометр сопротивления</t>
        </is>
      </c>
      <c r="C221" s="17" t="inlineStr">
        <is>
          <t>ТСП 012.60 Pt100/В/3</t>
        </is>
      </c>
      <c r="D221" s="15" t="inlineStr">
        <is>
          <t>184</t>
        </is>
      </c>
      <c r="E221" s="15" t="n">
        <v>2011</v>
      </c>
      <c r="F221" s="17" t="inlineStr">
        <is>
          <t>-60…200 °С</t>
        </is>
      </c>
      <c r="G221" s="17" t="inlineStr">
        <is>
          <t>B</t>
        </is>
      </c>
      <c r="H221" s="17" t="inlineStr">
        <is>
          <t>Температура воздуха во всасывающей камере</t>
        </is>
      </c>
      <c r="I221" s="15" t="inlineStr">
        <is>
          <t>ГПА 62</t>
        </is>
      </c>
      <c r="J221" s="15" t="inlineStr">
        <is>
          <t>АСУ,А и ТМ (КЦ № 6)</t>
        </is>
      </c>
      <c r="K221" s="15" t="n">
        <v>2012</v>
      </c>
      <c r="L221" s="14" t="n">
        <v>24</v>
      </c>
      <c r="M221" s="3" t="inlineStr">
        <is>
          <t>12.02.2016</t>
        </is>
      </c>
      <c r="N221" s="70" t="inlineStr">
        <is>
          <t>К</t>
        </is>
      </c>
    </row>
    <row r="222" ht="22.5" customHeight="1" s="151">
      <c r="A222" s="15">
        <f>IF(B222&lt;&gt;"", COUNTA($B$2:B222), "")</f>
        <v/>
      </c>
      <c r="B222" s="73" t="inlineStr">
        <is>
          <t>Преобразователь влажности и температуры</t>
        </is>
      </c>
      <c r="C222" s="8" t="inlineStr">
        <is>
          <t>ИПТВ-206/М3-03</t>
        </is>
      </c>
      <c r="D222" s="17" t="inlineStr">
        <is>
          <t>09-1962</t>
        </is>
      </c>
      <c r="E222" s="15" t="n">
        <v>2011</v>
      </c>
      <c r="F222" s="17" t="inlineStr">
        <is>
          <t>-40…110 °С
0…100%</t>
        </is>
      </c>
      <c r="G222" s="14" t="inlineStr">
        <is>
          <t>0,4% (температура)
2% (влажность)</t>
        </is>
      </c>
      <c r="H222" s="15" t="inlineStr">
        <is>
          <t>Температура ВОУ</t>
        </is>
      </c>
      <c r="I222" s="15" t="inlineStr">
        <is>
          <t>ГПА 62</t>
        </is>
      </c>
      <c r="J222" s="15" t="inlineStr">
        <is>
          <t>АСУ,А и ТМ (КЦ № 6)</t>
        </is>
      </c>
      <c r="K222" s="15" t="n">
        <v>2012</v>
      </c>
      <c r="L222" s="14" t="n">
        <v>24</v>
      </c>
      <c r="M222" s="3" t="n"/>
      <c r="N222" s="70" t="n"/>
    </row>
    <row r="223">
      <c r="A223" s="15">
        <f>IF(B223&lt;&gt;"", COUNTA($B$2:B223), "")</f>
        <v/>
      </c>
      <c r="B223" s="73" t="inlineStr">
        <is>
          <t>Газоанализатор</t>
        </is>
      </c>
      <c r="C223" s="71" t="inlineStr">
        <is>
          <t>Даг - 510</t>
        </is>
      </c>
      <c r="D223" s="17" t="inlineStr">
        <is>
          <t>11091425</t>
        </is>
      </c>
      <c r="E223" s="15" t="n">
        <v>2011</v>
      </c>
      <c r="F223" s="17" t="inlineStr">
        <is>
          <t>10…400 ppm</t>
        </is>
      </c>
      <c r="G223" s="18" t="n">
        <v>0.1</v>
      </c>
      <c r="H223" s="14" t="inlineStr">
        <is>
          <t>выхлопные газы</t>
        </is>
      </c>
      <c r="I223" s="8" t="inlineStr">
        <is>
          <t>ГПА 62</t>
        </is>
      </c>
      <c r="J223" s="15" t="inlineStr">
        <is>
          <t>АСУ,А и ТМ (КЦ № 6)</t>
        </is>
      </c>
      <c r="K223" s="15" t="n">
        <v>2020</v>
      </c>
      <c r="L223" s="14" t="n">
        <v>12</v>
      </c>
      <c r="M223" s="3" t="inlineStr">
        <is>
          <t>15.09.23</t>
        </is>
      </c>
      <c r="N223" s="70" t="inlineStr">
        <is>
          <t>П</t>
        </is>
      </c>
    </row>
    <row r="224">
      <c r="A224" s="15">
        <f>IF(B224&lt;&gt;"", COUNTA($B$2:B224), "")</f>
        <v/>
      </c>
      <c r="B224" s="280" t="inlineStr">
        <is>
          <t>Манометр технический</t>
        </is>
      </c>
      <c r="C224" s="10" t="inlineStr">
        <is>
          <t>МП3-УФ</t>
        </is>
      </c>
      <c r="D224" s="11" t="inlineStr">
        <is>
          <t>1965852</t>
        </is>
      </c>
      <c r="E224" s="10" t="n">
        <v>2011</v>
      </c>
      <c r="F224" s="10" t="inlineStr">
        <is>
          <t>0…160 кгс/см2</t>
        </is>
      </c>
      <c r="G224" s="10" t="n">
        <v>1</v>
      </c>
      <c r="H224" s="26" t="inlineStr">
        <is>
          <t>Бустерная установка</t>
        </is>
      </c>
      <c r="I224" s="8" t="inlineStr">
        <is>
          <t>ГПА 62</t>
        </is>
      </c>
      <c r="J224" s="15" t="inlineStr">
        <is>
          <t>АСУ,А и ТМ (КЦ № 6)</t>
        </is>
      </c>
      <c r="K224" s="15" t="n">
        <v>2019</v>
      </c>
      <c r="L224" s="15" t="n">
        <v>12</v>
      </c>
      <c r="M224" s="3" t="inlineStr">
        <is>
          <t>1К26</t>
        </is>
      </c>
      <c r="N224" s="70" t="inlineStr">
        <is>
          <t>К</t>
        </is>
      </c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  <pageSetup orientation="landscape" paperSize="9"/>
</worksheet>
</file>

<file path=xl/worksheets/sheet4.xml><?xml version="1.0" encoding="utf-8"?>
<worksheet xmlns="http://schemas.openxmlformats.org/spreadsheetml/2006/main">
  <sheetPr codeName="Лист4">
    <outlinePr summaryBelow="1" summaryRight="1"/>
    <pageSetUpPr fitToPage="1"/>
  </sheetPr>
  <dimension ref="A1:O224"/>
  <sheetViews>
    <sheetView topLeftCell="C1" zoomScaleNormal="100" workbookViewId="0">
      <pane ySplit="1" topLeftCell="A224" activePane="bottomLeft" state="frozen"/>
      <selection pane="bottomLeft" activeCell="Q12" sqref="Q12"/>
    </sheetView>
  </sheetViews>
  <sheetFormatPr baseColWidth="8" defaultRowHeight="15"/>
  <cols>
    <col width="3.5703125" bestFit="1" customWidth="1" style="151" min="1" max="1"/>
    <col width="21.42578125" customWidth="1" style="151" min="2" max="2"/>
    <col width="26.42578125" customWidth="1" style="151" min="3" max="3"/>
    <col width="15.28515625" customWidth="1" style="151" min="4" max="4"/>
    <col width="7" customWidth="1" style="151" min="5" max="5"/>
    <col width="15.42578125" customWidth="1" style="151" min="6" max="7"/>
    <col width="28.5703125" customWidth="1" style="151" min="8" max="8"/>
    <col width="12.5703125" customWidth="1" style="151" min="9" max="9"/>
    <col width="17.5703125" customWidth="1" style="151" min="10" max="10"/>
    <col width="8.7109375" customWidth="1" style="151" min="11" max="11"/>
    <col width="7.5703125" customWidth="1" style="151" min="12" max="12"/>
    <col width="8" customWidth="1" style="151" min="13" max="13"/>
    <col width="4.5703125" customWidth="1" style="151" min="14" max="14"/>
    <col width="9.140625" customWidth="1" style="151" min="15" max="16384"/>
  </cols>
  <sheetData>
    <row r="1" ht="56.2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>
      <c r="A2" s="15">
        <f>IF(B2&lt;&gt;"", COUNTA($B$2:B2), "")</f>
        <v/>
      </c>
      <c r="B2" s="280" t="inlineStr">
        <is>
          <t>Манометр технический</t>
        </is>
      </c>
      <c r="C2" s="10" t="inlineStr">
        <is>
          <t>МП4-УУ2</t>
        </is>
      </c>
      <c r="D2" s="10" t="n">
        <v>15001</v>
      </c>
      <c r="E2" s="10" t="n">
        <v>2010</v>
      </c>
      <c r="F2" s="10" t="inlineStr">
        <is>
          <t>0…160 кгс/см2</t>
        </is>
      </c>
      <c r="G2" s="10" t="n">
        <v>1.5</v>
      </c>
      <c r="H2" s="26" t="inlineStr">
        <is>
          <t>P газа перед КШ 731/1,2</t>
        </is>
      </c>
      <c r="I2" s="8" t="inlineStr">
        <is>
          <t>ГПА 63 БПТГ</t>
        </is>
      </c>
      <c r="J2" s="15" t="inlineStr">
        <is>
          <t>АСУ,А и ТМ (КЦ № 6)</t>
        </is>
      </c>
      <c r="K2" s="15" t="n">
        <v>2012</v>
      </c>
      <c r="L2" s="15" t="n">
        <v>12</v>
      </c>
      <c r="M2" s="3" t="inlineStr">
        <is>
          <t>1К26</t>
        </is>
      </c>
      <c r="N2" s="70" t="inlineStr">
        <is>
          <t>К</t>
        </is>
      </c>
      <c r="O2" t="n">
        <v>15515</v>
      </c>
    </row>
    <row r="3">
      <c r="A3" s="15">
        <f>IF(B3&lt;&gt;"", COUNTA($B$2:B3), "")</f>
        <v/>
      </c>
      <c r="B3" s="280" t="inlineStr">
        <is>
          <t>Манометр технический</t>
        </is>
      </c>
      <c r="C3" s="10" t="inlineStr">
        <is>
          <t>МП4-УУ2</t>
        </is>
      </c>
      <c r="D3" s="10" t="n">
        <v>15274</v>
      </c>
      <c r="E3" s="10" t="n">
        <v>2010</v>
      </c>
      <c r="F3" s="10" t="inlineStr">
        <is>
          <t>0…100 кгс/см3</t>
        </is>
      </c>
      <c r="G3" s="10" t="n">
        <v>1.5</v>
      </c>
      <c r="H3" s="26" t="inlineStr">
        <is>
          <t>P газа после КРД 730/1</t>
        </is>
      </c>
      <c r="I3" s="8" t="inlineStr">
        <is>
          <t>ГПА 63 БПТГ</t>
        </is>
      </c>
      <c r="J3" s="15" t="inlineStr">
        <is>
          <t>АСУ,А и ТМ (КЦ № 6)</t>
        </is>
      </c>
      <c r="K3" s="15" t="n">
        <v>2012</v>
      </c>
      <c r="L3" s="15" t="n">
        <v>12</v>
      </c>
      <c r="M3" s="3" t="inlineStr">
        <is>
          <t>1К26</t>
        </is>
      </c>
      <c r="N3" s="70" t="inlineStr">
        <is>
          <t>К</t>
        </is>
      </c>
    </row>
    <row r="4">
      <c r="A4" s="15">
        <f>IF(B4&lt;&gt;"", COUNTA($B$2:B4), "")</f>
        <v/>
      </c>
      <c r="B4" s="280" t="inlineStr">
        <is>
          <t>Манометр технический</t>
        </is>
      </c>
      <c r="C4" s="10" t="inlineStr">
        <is>
          <t>МП4-УУ2</t>
        </is>
      </c>
      <c r="D4" s="277" t="n">
        <v>15513</v>
      </c>
      <c r="E4" s="10" t="n">
        <v>2010</v>
      </c>
      <c r="F4" s="10" t="inlineStr">
        <is>
          <t>0…160 кгс/см4</t>
        </is>
      </c>
      <c r="G4" s="10" t="n">
        <v>1.5</v>
      </c>
      <c r="H4" s="14" t="inlineStr">
        <is>
          <t>P газа в C 701</t>
        </is>
      </c>
      <c r="I4" s="8" t="inlineStr">
        <is>
          <t>ГПА 63 БПТГ</t>
        </is>
      </c>
      <c r="J4" s="15" t="inlineStr">
        <is>
          <t>АСУ,А и ТМ (КЦ № 6)</t>
        </is>
      </c>
      <c r="K4" s="15" t="n">
        <v>2012</v>
      </c>
      <c r="L4" s="15" t="n">
        <v>12</v>
      </c>
      <c r="M4" s="3" t="inlineStr">
        <is>
          <t>26ДЯУ</t>
        </is>
      </c>
      <c r="N4" s="70" t="inlineStr">
        <is>
          <t>П</t>
        </is>
      </c>
      <c r="O4" s="278" t="inlineStr">
        <is>
          <t>15101 был</t>
        </is>
      </c>
    </row>
    <row r="5">
      <c r="A5" s="15">
        <f>IF(B5&lt;&gt;"", COUNTA($B$2:B5), "")</f>
        <v/>
      </c>
      <c r="B5" s="280" t="inlineStr">
        <is>
          <t>Манометр технический</t>
        </is>
      </c>
      <c r="C5" s="10" t="inlineStr">
        <is>
          <t>МП4-УУ2</t>
        </is>
      </c>
      <c r="D5" s="10" t="n">
        <v>15247</v>
      </c>
      <c r="E5" s="10" t="n">
        <v>2010</v>
      </c>
      <c r="F5" s="10" t="inlineStr">
        <is>
          <t>0…160 кгс/см5</t>
        </is>
      </c>
      <c r="G5" s="71" t="n">
        <v>1.5</v>
      </c>
      <c r="H5" s="26" t="inlineStr">
        <is>
          <t>P газа на выходе ЭПГ 700/1</t>
        </is>
      </c>
      <c r="I5" s="8" t="inlineStr">
        <is>
          <t>ГПА 63 БПТГ</t>
        </is>
      </c>
      <c r="J5" s="15" t="inlineStr">
        <is>
          <t>АСУ,А и ТМ (КЦ № 6)</t>
        </is>
      </c>
      <c r="K5" s="15" t="n">
        <v>2012</v>
      </c>
      <c r="L5" s="15" t="n">
        <v>12</v>
      </c>
      <c r="M5" s="3" t="inlineStr">
        <is>
          <t>1К26</t>
        </is>
      </c>
      <c r="N5" s="70" t="inlineStr">
        <is>
          <t>К</t>
        </is>
      </c>
    </row>
    <row r="6">
      <c r="A6" s="15">
        <f>IF(B6&lt;&gt;"", COUNTA($B$2:B6), "")</f>
        <v/>
      </c>
      <c r="B6" s="280" t="inlineStr">
        <is>
          <t>Манометр технический</t>
        </is>
      </c>
      <c r="C6" s="10" t="inlineStr">
        <is>
          <t>МП4-УУ2</t>
        </is>
      </c>
      <c r="D6" s="10" t="n">
        <v>15275</v>
      </c>
      <c r="E6" s="10" t="n">
        <v>2010</v>
      </c>
      <c r="F6" s="10" t="inlineStr">
        <is>
          <t>0…100 кгс/см6</t>
        </is>
      </c>
      <c r="G6" s="71" t="n">
        <v>1.5</v>
      </c>
      <c r="H6" s="26" t="inlineStr">
        <is>
          <t>P газа после        КРД 730/2</t>
        </is>
      </c>
      <c r="I6" s="8" t="inlineStr">
        <is>
          <t>ГПА 63 БПТГ</t>
        </is>
      </c>
      <c r="J6" s="15" t="inlineStr">
        <is>
          <t>АСУ,А и ТМ (КЦ № 6)</t>
        </is>
      </c>
      <c r="K6" s="15" t="n">
        <v>2012</v>
      </c>
      <c r="L6" s="15" t="n">
        <v>12</v>
      </c>
      <c r="M6" s="3" t="inlineStr">
        <is>
          <t>1К26</t>
        </is>
      </c>
      <c r="N6" s="70" t="inlineStr">
        <is>
          <t>К</t>
        </is>
      </c>
    </row>
    <row r="7">
      <c r="A7" s="15">
        <f>IF(B7&lt;&gt;"", COUNTA($B$2:B7), "")</f>
        <v/>
      </c>
      <c r="B7" s="280" t="inlineStr">
        <is>
          <t>Манометр технический</t>
        </is>
      </c>
      <c r="C7" s="10" t="inlineStr">
        <is>
          <t>МП4-УУ2</t>
        </is>
      </c>
      <c r="D7" s="10" t="n">
        <v>15138</v>
      </c>
      <c r="E7" s="10" t="n">
        <v>2010</v>
      </c>
      <c r="F7" s="10" t="inlineStr">
        <is>
          <t>0…160 кгс/см7</t>
        </is>
      </c>
      <c r="G7" s="71" t="n">
        <v>1.5</v>
      </c>
      <c r="H7" s="26" t="inlineStr">
        <is>
          <t>P газа на выходе ЭПГ 700/2</t>
        </is>
      </c>
      <c r="I7" s="8" t="inlineStr">
        <is>
          <t>ГПА 63 БПТГ</t>
        </is>
      </c>
      <c r="J7" s="15" t="inlineStr">
        <is>
          <t>АСУ,А и ТМ (КЦ № 6)</t>
        </is>
      </c>
      <c r="K7" s="15" t="n">
        <v>2012</v>
      </c>
      <c r="L7" s="15" t="n">
        <v>12</v>
      </c>
      <c r="M7" s="3" t="inlineStr">
        <is>
          <t>1К26</t>
        </is>
      </c>
      <c r="N7" s="70" t="inlineStr">
        <is>
          <t>К</t>
        </is>
      </c>
    </row>
    <row r="8" ht="22.5" customHeight="1" s="151">
      <c r="A8" s="15">
        <f>IF(B8&lt;&gt;"", COUNTA($B$2:B8), "")</f>
        <v/>
      </c>
      <c r="B8" s="14" t="inlineStr">
        <is>
          <t>Термометр биметаллический</t>
        </is>
      </c>
      <c r="C8" s="10" t="inlineStr">
        <is>
          <t>ТБ-2</t>
        </is>
      </c>
      <c r="D8" s="10" t="n">
        <v>5044</v>
      </c>
      <c r="E8" s="10" t="n">
        <v>2010</v>
      </c>
      <c r="F8" s="10" t="inlineStr">
        <is>
          <t>0…100 °С</t>
        </is>
      </c>
      <c r="G8" s="10" t="n">
        <v>1.5</v>
      </c>
      <c r="H8" s="26" t="inlineStr">
        <is>
          <t>Тг на выходе ЭПГ 700/1</t>
        </is>
      </c>
      <c r="I8" s="8" t="inlineStr">
        <is>
          <t>ГПА 63 БПТГ</t>
        </is>
      </c>
      <c r="J8" s="15" t="inlineStr">
        <is>
          <t>АСУ,А и ТМ (КЦ № 6)</t>
        </is>
      </c>
      <c r="K8" s="15" t="n">
        <v>2012</v>
      </c>
      <c r="L8" s="15" t="n">
        <v>24</v>
      </c>
      <c r="M8" s="3" t="inlineStr">
        <is>
          <t>2К26</t>
        </is>
      </c>
      <c r="N8" s="70" t="inlineStr">
        <is>
          <t>К</t>
        </is>
      </c>
    </row>
    <row r="9" ht="22.5" customHeight="1" s="151">
      <c r="A9" s="15">
        <f>IF(B9&lt;&gt;"", COUNTA($B$2:B9), "")</f>
        <v/>
      </c>
      <c r="B9" s="14" t="inlineStr">
        <is>
          <t>Термометр биметаллический</t>
        </is>
      </c>
      <c r="C9" s="10" t="inlineStr">
        <is>
          <t>ТБ-2</t>
        </is>
      </c>
      <c r="D9" s="10" t="n">
        <v>5032</v>
      </c>
      <c r="E9" s="10" t="n">
        <v>2010</v>
      </c>
      <c r="F9" s="10" t="inlineStr">
        <is>
          <t>0…100 °С</t>
        </is>
      </c>
      <c r="G9" s="10" t="n">
        <v>1.5</v>
      </c>
      <c r="H9" s="26" t="inlineStr">
        <is>
          <t>Тг на выходе ЭПГ 700/2</t>
        </is>
      </c>
      <c r="I9" s="8" t="inlineStr">
        <is>
          <t>ГПА 63 БПТГ</t>
        </is>
      </c>
      <c r="J9" s="15" t="inlineStr">
        <is>
          <t>АСУ,А и ТМ (КЦ № 6)</t>
        </is>
      </c>
      <c r="K9" s="15" t="n">
        <v>2012</v>
      </c>
      <c r="L9" s="15" t="n">
        <v>24</v>
      </c>
      <c r="M9" s="3" t="inlineStr">
        <is>
          <t>2К26</t>
        </is>
      </c>
      <c r="N9" s="70" t="inlineStr">
        <is>
          <t>К</t>
        </is>
      </c>
    </row>
    <row r="10">
      <c r="A10" s="15">
        <f>IF(B10&lt;&gt;"", COUNTA($B$2:B10), "")</f>
        <v/>
      </c>
      <c r="B10" s="15" t="inlineStr">
        <is>
          <t>Уравнемер</t>
        </is>
      </c>
      <c r="C10" s="14" t="inlineStr">
        <is>
          <t xml:space="preserve">KROHNE BM-26A/C/RR </t>
        </is>
      </c>
      <c r="D10" s="14" t="inlineStr">
        <is>
          <t>447006647.20.03</t>
        </is>
      </c>
      <c r="E10" s="15" t="n">
        <v>2011</v>
      </c>
      <c r="F10" s="14" t="inlineStr">
        <is>
          <t>0…100 %</t>
        </is>
      </c>
      <c r="G10" s="14" t="inlineStr">
        <is>
          <t>±10 мм</t>
        </is>
      </c>
      <c r="H10" s="15" t="inlineStr">
        <is>
          <t xml:space="preserve">Уровень жидкости в сепараторе С701 </t>
        </is>
      </c>
      <c r="I10" s="8" t="inlineStr">
        <is>
          <t>ГПА 63 БПТГ</t>
        </is>
      </c>
      <c r="J10" s="15" t="inlineStr">
        <is>
          <t>АСУ,А и ТМ (КЦ № 6)</t>
        </is>
      </c>
      <c r="K10" s="15" t="n">
        <v>2012</v>
      </c>
      <c r="L10" s="14" t="n">
        <v>48</v>
      </c>
      <c r="M10" s="3" t="n"/>
      <c r="N10" s="70" t="n"/>
    </row>
    <row r="11" ht="22.5" customHeight="1" s="151">
      <c r="A11" s="15">
        <f>IF(B11&lt;&gt;"", COUNTA($B$2:B11), "")</f>
        <v/>
      </c>
      <c r="B11" s="73" t="inlineStr">
        <is>
          <t>Преобразователь избыточного давления</t>
        </is>
      </c>
      <c r="C11" s="15" t="inlineStr">
        <is>
          <t>Honeywell STG-97L</t>
        </is>
      </c>
      <c r="D11" s="15" t="inlineStr">
        <is>
          <t>10W44 C3273987003001</t>
        </is>
      </c>
      <c r="E11" s="15" t="n">
        <v>2011</v>
      </c>
      <c r="F11" s="14" t="inlineStr">
        <is>
          <t xml:space="preserve">0…10 MПa </t>
        </is>
      </c>
      <c r="G11" s="14" t="n">
        <v>0.075</v>
      </c>
      <c r="H11" s="15" t="inlineStr">
        <is>
          <t>Давление газа перед С701 (на входе в блок БПТГ)</t>
        </is>
      </c>
      <c r="I11" s="8" t="inlineStr">
        <is>
          <t>ГПА 63 БПТГ</t>
        </is>
      </c>
      <c r="J11" s="15" t="inlineStr">
        <is>
          <t>АСУ,А и ТМ (КЦ № 6)</t>
        </is>
      </c>
      <c r="K11" s="15" t="n">
        <v>2012</v>
      </c>
      <c r="L11" s="14" t="n">
        <v>36</v>
      </c>
      <c r="M11" s="3" t="n"/>
      <c r="N11" s="70" t="n"/>
    </row>
    <row r="12" ht="22.5" customHeight="1" s="151">
      <c r="A12" s="15">
        <f>IF(B12&lt;&gt;"", COUNTA($B$2:B19), "")</f>
        <v/>
      </c>
      <c r="B12" s="73" t="inlineStr">
        <is>
          <t>Преобразователь избыточного давления</t>
        </is>
      </c>
      <c r="C12" s="15" t="inlineStr">
        <is>
          <t>Honeywell STG-97L</t>
        </is>
      </c>
      <c r="D12" s="15" t="inlineStr">
        <is>
          <t>10W44 C3273987003063</t>
        </is>
      </c>
      <c r="E12" s="15" t="n">
        <v>2011</v>
      </c>
      <c r="F12" s="14" t="inlineStr">
        <is>
          <t xml:space="preserve">0…10 MПa </t>
        </is>
      </c>
      <c r="G12" s="14" t="n">
        <v>0.075</v>
      </c>
      <c r="H12" s="15" t="inlineStr">
        <is>
          <t>Давление газа на выходе блока БПТГ перед КШ12</t>
        </is>
      </c>
      <c r="I12" s="8" t="inlineStr">
        <is>
          <t>ГПА 63 БПТГ</t>
        </is>
      </c>
      <c r="J12" s="15" t="inlineStr">
        <is>
          <t>АСУ,А и ТМ (КЦ № 6)</t>
        </is>
      </c>
      <c r="K12" s="15" t="n">
        <v>2012</v>
      </c>
      <c r="L12" s="14" t="n">
        <v>36</v>
      </c>
      <c r="M12" s="3" t="n"/>
      <c r="N12" s="70" t="n"/>
    </row>
    <row r="13">
      <c r="A13" s="15">
        <f>IF(B13&lt;&gt;"", COUNTA($B$2:B16), "")</f>
        <v/>
      </c>
      <c r="B13" s="16" t="inlineStr">
        <is>
          <t>Термометр сопротивления</t>
        </is>
      </c>
      <c r="C13" s="17" t="inlineStr">
        <is>
          <t>ТСП 012.60 Pt100/В/3</t>
        </is>
      </c>
      <c r="D13" s="3" t="inlineStr">
        <is>
          <t>362</t>
        </is>
      </c>
      <c r="E13" s="15" t="n">
        <v>2011</v>
      </c>
      <c r="F13" s="17" t="inlineStr">
        <is>
          <t>-60…200 °С</t>
        </is>
      </c>
      <c r="G13" s="17" t="inlineStr">
        <is>
          <t>B</t>
        </is>
      </c>
      <c r="H13" s="3" t="inlineStr">
        <is>
          <t>Температура газа перед С701</t>
        </is>
      </c>
      <c r="I13" s="8" t="inlineStr">
        <is>
          <t>ГПА 63 БПТГ</t>
        </is>
      </c>
      <c r="J13" s="15" t="inlineStr">
        <is>
          <t>АСУ,А и ТМ (КЦ № 6)</t>
        </is>
      </c>
      <c r="K13" s="15" t="n">
        <v>2012</v>
      </c>
      <c r="L13" s="14" t="n">
        <v>36</v>
      </c>
      <c r="M13" s="3" t="n"/>
      <c r="N13" s="70" t="n"/>
    </row>
    <row r="14" ht="22.5" customHeight="1" s="151">
      <c r="A14" s="15">
        <f>IF(B14&lt;&gt;"", COUNTA($B$2:B14), "")</f>
        <v/>
      </c>
      <c r="B14" s="16" t="inlineStr">
        <is>
          <t>Термометр сопротивления</t>
        </is>
      </c>
      <c r="C14" s="17" t="inlineStr">
        <is>
          <t>Метран 256-04 100П/В/3</t>
        </is>
      </c>
      <c r="D14" s="3" t="inlineStr">
        <is>
          <t>522400</t>
        </is>
      </c>
      <c r="E14" s="17" t="n"/>
      <c r="F14" s="17" t="inlineStr">
        <is>
          <t>-60…200 °С</t>
        </is>
      </c>
      <c r="G14" s="17" t="inlineStr">
        <is>
          <t>B</t>
        </is>
      </c>
      <c r="H14" s="3" t="inlineStr">
        <is>
          <t>Температура антифриза в подогревателе ЭПГ700/2</t>
        </is>
      </c>
      <c r="I14" s="8" t="inlineStr">
        <is>
          <t>ГПА 63 БПТГ</t>
        </is>
      </c>
      <c r="J14" s="15" t="inlineStr">
        <is>
          <t>АСУ,А и ТМ (КЦ № 6)</t>
        </is>
      </c>
      <c r="K14" s="15" t="n"/>
      <c r="L14" s="26" t="n"/>
      <c r="M14" s="3" t="n"/>
      <c r="N14" s="70" t="n"/>
    </row>
    <row r="15">
      <c r="A15" s="15">
        <f>IF(B15&lt;&gt;"", COUNTA($B$2:B16), "")</f>
        <v/>
      </c>
      <c r="B15" s="16" t="inlineStr">
        <is>
          <t>Термометр сопротивления</t>
        </is>
      </c>
      <c r="C15" s="17" t="inlineStr">
        <is>
          <t>ТСП 012.60 Pt100/В/3</t>
        </is>
      </c>
      <c r="D15" s="3" t="inlineStr">
        <is>
          <t>359</t>
        </is>
      </c>
      <c r="E15" s="15" t="n">
        <v>2011</v>
      </c>
      <c r="F15" s="17" t="inlineStr">
        <is>
          <t>-60…200 °С</t>
        </is>
      </c>
      <c r="G15" s="17" t="inlineStr">
        <is>
          <t>B</t>
        </is>
      </c>
      <c r="H15" s="3" t="inlineStr">
        <is>
          <t>Температура газа после ЭПГ700/2</t>
        </is>
      </c>
      <c r="I15" s="8" t="inlineStr">
        <is>
          <t>ГПА 63 БПТГ</t>
        </is>
      </c>
      <c r="J15" s="15" t="inlineStr">
        <is>
          <t>АСУ,А и ТМ (КЦ № 6)</t>
        </is>
      </c>
      <c r="K15" s="15" t="n">
        <v>2012</v>
      </c>
      <c r="L15" s="14" t="n">
        <v>36</v>
      </c>
      <c r="M15" s="3" t="n"/>
      <c r="N15" s="70" t="n"/>
    </row>
    <row r="16" ht="22.5" customHeight="1" s="151">
      <c r="A16" s="15">
        <f>IF(B16&lt;&gt;"", COUNTA($B$2:B16), "")</f>
        <v/>
      </c>
      <c r="B16" s="16" t="inlineStr">
        <is>
          <t>Термометр сопротивления</t>
        </is>
      </c>
      <c r="C16" s="17" t="inlineStr">
        <is>
          <t>Метран 256-04 100П/В/3</t>
        </is>
      </c>
      <c r="D16" s="3" t="inlineStr">
        <is>
          <t>522401</t>
        </is>
      </c>
      <c r="E16" s="17" t="n"/>
      <c r="F16" s="17" t="inlineStr">
        <is>
          <t>-60…200 °С</t>
        </is>
      </c>
      <c r="G16" s="17" t="inlineStr">
        <is>
          <t>B</t>
        </is>
      </c>
      <c r="H16" s="3" t="inlineStr">
        <is>
          <t>Температура антифриза в подогревателе ЭПГ700/1</t>
        </is>
      </c>
      <c r="I16" s="8" t="inlineStr">
        <is>
          <t>ГПА 63 БПТГ</t>
        </is>
      </c>
      <c r="J16" s="15" t="inlineStr">
        <is>
          <t>АСУ,А и ТМ (КЦ № 6)</t>
        </is>
      </c>
      <c r="K16" s="15" t="n"/>
      <c r="L16" s="26" t="n"/>
      <c r="M16" s="3" t="n"/>
      <c r="N16" s="70" t="n"/>
    </row>
    <row r="17">
      <c r="A17" s="15">
        <f>IF(B17&lt;&gt;"", COUNTA($B$2:B17), "")</f>
        <v/>
      </c>
      <c r="B17" s="16" t="inlineStr">
        <is>
          <t>Термометр сопротивления</t>
        </is>
      </c>
      <c r="C17" s="17" t="inlineStr">
        <is>
          <t>ТСП 012.60 Pt100/В/3</t>
        </is>
      </c>
      <c r="D17" s="3" t="inlineStr">
        <is>
          <t>358</t>
        </is>
      </c>
      <c r="E17" s="15" t="n">
        <v>2011</v>
      </c>
      <c r="F17" s="17" t="inlineStr">
        <is>
          <t>-60…200 °С</t>
        </is>
      </c>
      <c r="G17" s="17" t="inlineStr">
        <is>
          <t>B</t>
        </is>
      </c>
      <c r="H17" s="3" t="inlineStr">
        <is>
          <t>Температура газа после ЭПГ700/1</t>
        </is>
      </c>
      <c r="I17" s="8" t="inlineStr">
        <is>
          <t>ГПА 63 БПТГ</t>
        </is>
      </c>
      <c r="J17" s="15" t="inlineStr">
        <is>
          <t>АСУ,А и ТМ (КЦ № 6)</t>
        </is>
      </c>
      <c r="K17" s="15" t="n">
        <v>2012</v>
      </c>
      <c r="L17" s="14" t="n">
        <v>36</v>
      </c>
      <c r="M17" s="3" t="n"/>
      <c r="N17" s="70" t="n"/>
    </row>
    <row r="18" ht="22.5" customHeight="1" s="151">
      <c r="A18" s="15">
        <f>IF(B18&lt;&gt;"", COUNTA($B$2:B18), "")</f>
        <v/>
      </c>
      <c r="B18" s="16" t="inlineStr">
        <is>
          <t>Термометр сопротивления</t>
        </is>
      </c>
      <c r="C18" s="17" t="inlineStr">
        <is>
          <t>ТСП 012.60 Pt100/В/3</t>
        </is>
      </c>
      <c r="D18" s="3" t="inlineStr">
        <is>
          <t>366</t>
        </is>
      </c>
      <c r="E18" s="15" t="n">
        <v>2011</v>
      </c>
      <c r="F18" s="17" t="inlineStr">
        <is>
          <t>-60…200 °С</t>
        </is>
      </c>
      <c r="G18" s="17" t="inlineStr">
        <is>
          <t>B</t>
        </is>
      </c>
      <c r="H18" s="3" t="inlineStr">
        <is>
          <t>Температура воздуха в контейнере блока БПТГ т.1</t>
        </is>
      </c>
      <c r="I18" s="8" t="inlineStr">
        <is>
          <t>ГПА 63 БПТГ</t>
        </is>
      </c>
      <c r="J18" s="15" t="inlineStr">
        <is>
          <t>АСУ,А и ТМ (КЦ № 6)</t>
        </is>
      </c>
      <c r="K18" s="15" t="n">
        <v>2012</v>
      </c>
      <c r="L18" s="14" t="n">
        <v>36</v>
      </c>
      <c r="M18" s="3" t="n"/>
      <c r="N18" s="70" t="n"/>
    </row>
    <row r="19" ht="22.5" customHeight="1" s="151">
      <c r="A19" s="15">
        <f>IF(B19&lt;&gt;"", COUNTA($B$2:B19), "")</f>
        <v/>
      </c>
      <c r="B19" s="16" t="inlineStr">
        <is>
          <t>Термометр сопротивления</t>
        </is>
      </c>
      <c r="C19" s="17" t="inlineStr">
        <is>
          <t>ТСП 012.60 Pt100/В/3</t>
        </is>
      </c>
      <c r="D19" s="3" t="inlineStr">
        <is>
          <t>378</t>
        </is>
      </c>
      <c r="E19" s="15" t="n">
        <v>2011</v>
      </c>
      <c r="F19" s="17" t="inlineStr">
        <is>
          <t>-60…200 °С</t>
        </is>
      </c>
      <c r="G19" s="17" t="inlineStr">
        <is>
          <t>B</t>
        </is>
      </c>
      <c r="H19" s="3" t="inlineStr">
        <is>
          <t>Температура воздуха в контейнере блока БПТГ т.2</t>
        </is>
      </c>
      <c r="I19" s="8" t="inlineStr">
        <is>
          <t>ГПА 63 БПТГ</t>
        </is>
      </c>
      <c r="J19" s="15" t="inlineStr">
        <is>
          <t>АСУ,А и ТМ (КЦ № 6)</t>
        </is>
      </c>
      <c r="K19" s="15" t="n">
        <v>2012</v>
      </c>
      <c r="L19" s="14" t="n">
        <v>36</v>
      </c>
      <c r="M19" s="3" t="n"/>
      <c r="N19" s="70" t="n"/>
    </row>
    <row r="20">
      <c r="A20" s="15">
        <f>IF(B20&lt;&gt;"", COUNTA($B$2:B20), "")</f>
        <v/>
      </c>
      <c r="B20" s="16" t="inlineStr">
        <is>
          <t>Термометр сопротивления</t>
        </is>
      </c>
      <c r="C20" s="17" t="inlineStr">
        <is>
          <t>ТСП 012.60 Pt100/В/3</t>
        </is>
      </c>
      <c r="D20" s="3" t="inlineStr">
        <is>
          <t>380</t>
        </is>
      </c>
      <c r="E20" s="15" t="n">
        <v>2011</v>
      </c>
      <c r="F20" s="17" t="inlineStr">
        <is>
          <t>-60…200 °С</t>
        </is>
      </c>
      <c r="G20" s="17" t="inlineStr">
        <is>
          <t>B</t>
        </is>
      </c>
      <c r="H20" s="3" t="inlineStr">
        <is>
          <t>Температура масла EK225</t>
        </is>
      </c>
      <c r="I20" s="8" t="inlineStr">
        <is>
          <t>ГПА 63 БПТГ</t>
        </is>
      </c>
      <c r="J20" s="15" t="inlineStr">
        <is>
          <t>АСУ,А и ТМ (КЦ № 6)</t>
        </is>
      </c>
      <c r="K20" s="15" t="n">
        <v>2012</v>
      </c>
      <c r="L20" s="14" t="n">
        <v>36</v>
      </c>
      <c r="M20" s="3" t="n"/>
      <c r="N20" s="70" t="n"/>
    </row>
    <row r="21">
      <c r="A21" s="15">
        <f>IF(B21&lt;&gt;"", COUNTA($B$2:B21), "")</f>
        <v/>
      </c>
      <c r="B21" s="16" t="inlineStr">
        <is>
          <t>Термометр сопротивления</t>
        </is>
      </c>
      <c r="C21" s="17" t="inlineStr">
        <is>
          <t>ТСП 012.60 Pt100/В/3</t>
        </is>
      </c>
      <c r="D21" s="3" t="inlineStr">
        <is>
          <t>379</t>
        </is>
      </c>
      <c r="E21" s="15" t="n">
        <v>2011</v>
      </c>
      <c r="F21" s="17" t="inlineStr">
        <is>
          <t>-60…200 °С</t>
        </is>
      </c>
      <c r="G21" s="17" t="inlineStr">
        <is>
          <t>B</t>
        </is>
      </c>
      <c r="H21" s="3" t="inlineStr">
        <is>
          <t>Температура масла EK226</t>
        </is>
      </c>
      <c r="I21" s="8" t="inlineStr">
        <is>
          <t>ГПА 63 БПТГ</t>
        </is>
      </c>
      <c r="J21" s="15" t="inlineStr">
        <is>
          <t>АСУ,А и ТМ (КЦ № 6)</t>
        </is>
      </c>
      <c r="K21" s="15" t="n">
        <v>2012</v>
      </c>
      <c r="L21" s="14" t="n">
        <v>36</v>
      </c>
      <c r="M21" s="3" t="n"/>
      <c r="N21" s="70" t="n"/>
    </row>
    <row r="22">
      <c r="A22" s="15">
        <f>IF(B22&lt;&gt;"", COUNTA($B$2:B22), "")</f>
        <v/>
      </c>
      <c r="B22" s="16" t="inlineStr">
        <is>
          <t>Датчик уровня</t>
        </is>
      </c>
      <c r="C22" s="17" t="inlineStr">
        <is>
          <t>KROHNE Optiswitch 5200C</t>
        </is>
      </c>
      <c r="D22" s="3" t="inlineStr">
        <is>
          <t>20543605</t>
        </is>
      </c>
      <c r="E22" s="15" t="n">
        <v>2011</v>
      </c>
      <c r="F22" s="17" t="inlineStr">
        <is>
          <t>0…400 мм</t>
        </is>
      </c>
      <c r="G22" s="17" t="n"/>
      <c r="H22" s="3" t="inlineStr">
        <is>
          <t>Уровень антифриза в ЭПГ 700/1</t>
        </is>
      </c>
      <c r="I22" s="8" t="inlineStr">
        <is>
          <t>ГПА 63 БПТГ</t>
        </is>
      </c>
      <c r="J22" s="15" t="inlineStr">
        <is>
          <t>АСУ,А и ТМ (КЦ № 6)</t>
        </is>
      </c>
      <c r="K22" s="15" t="n"/>
      <c r="L22" s="14" t="n"/>
      <c r="M22" s="3" t="n"/>
      <c r="N22" s="70" t="n"/>
    </row>
    <row r="23">
      <c r="A23" s="15">
        <f>IF(B23&lt;&gt;"", COUNTA($B$2:B23), "")</f>
        <v/>
      </c>
      <c r="B23" s="16" t="inlineStr">
        <is>
          <t>Датчик уровня</t>
        </is>
      </c>
      <c r="C23" s="17" t="inlineStr">
        <is>
          <t>KROHNE Optiswitch 5200C</t>
        </is>
      </c>
      <c r="D23" s="3" t="inlineStr">
        <is>
          <t>20543604</t>
        </is>
      </c>
      <c r="E23" s="15" t="n">
        <v>2011</v>
      </c>
      <c r="F23" s="17" t="inlineStr">
        <is>
          <t>0…400 мм</t>
        </is>
      </c>
      <c r="G23" s="17" t="n"/>
      <c r="H23" s="3" t="inlineStr">
        <is>
          <t>Уровень антифриза в ЭПГ 700/2</t>
        </is>
      </c>
      <c r="I23" s="8" t="inlineStr">
        <is>
          <t>ГПА 63 БПТГ</t>
        </is>
      </c>
      <c r="J23" s="15" t="inlineStr">
        <is>
          <t>АСУ,А и ТМ (КЦ № 6)</t>
        </is>
      </c>
      <c r="K23" s="15" t="n"/>
      <c r="L23" s="14" t="n"/>
      <c r="M23" s="3" t="n"/>
      <c r="N23" s="70" t="n"/>
    </row>
    <row r="24">
      <c r="A24" s="15">
        <f>IF(B24&lt;&gt;"", COUNTA($B$2:B24), "")</f>
        <v/>
      </c>
      <c r="B24" s="280" t="inlineStr">
        <is>
          <t>Контроль загазованности</t>
        </is>
      </c>
      <c r="C24" s="10" t="inlineStr">
        <is>
          <t>Det-Tronics (PIRECL 21M)</t>
        </is>
      </c>
      <c r="D24" s="10" t="n">
        <v>1105275</v>
      </c>
      <c r="E24" s="15" t="n">
        <v>2011</v>
      </c>
      <c r="F24" s="33" t="n"/>
      <c r="G24" s="33" t="n"/>
      <c r="H24" s="15" t="inlineStr">
        <is>
          <t xml:space="preserve">ЭП 700/2 (QT 502) </t>
        </is>
      </c>
      <c r="I24" s="15" t="inlineStr">
        <is>
          <t>ГПА 63 БПТГ</t>
        </is>
      </c>
      <c r="J24" s="15" t="inlineStr">
        <is>
          <t>АСУ,А и ТМ (КЦ № 6)</t>
        </is>
      </c>
      <c r="K24" s="15" t="n">
        <v>2012</v>
      </c>
      <c r="L24" s="14" t="n"/>
      <c r="M24" s="3" t="n"/>
      <c r="N24" s="33" t="n"/>
    </row>
    <row r="25">
      <c r="A25" s="15">
        <f>IF(B25&lt;&gt;"", COUNTA($B$2:B25), "")</f>
        <v/>
      </c>
      <c r="B25" s="280" t="inlineStr">
        <is>
          <t>Контроль загазованности</t>
        </is>
      </c>
      <c r="C25" s="10" t="inlineStr">
        <is>
          <t>Det-Tronics (PIRECL 21M)</t>
        </is>
      </c>
      <c r="D25" s="10" t="n">
        <v>1105086</v>
      </c>
      <c r="E25" s="15" t="n">
        <v>2011</v>
      </c>
      <c r="F25" s="33" t="n"/>
      <c r="G25" s="33" t="n"/>
      <c r="H25" s="15" t="inlineStr">
        <is>
          <t xml:space="preserve">ЭП 700/1 (QT 501) </t>
        </is>
      </c>
      <c r="I25" s="15" t="inlineStr">
        <is>
          <t>ГПА 63 БПТГ</t>
        </is>
      </c>
      <c r="J25" s="15" t="inlineStr">
        <is>
          <t>АСУ,А и ТМ (КЦ № 6)</t>
        </is>
      </c>
      <c r="K25" s="15" t="n">
        <v>2012</v>
      </c>
      <c r="L25" s="14" t="n"/>
      <c r="M25" s="3" t="n"/>
      <c r="N25" s="33" t="n"/>
    </row>
    <row r="26">
      <c r="A26" s="15">
        <f>IF(B26&lt;&gt;"", COUNTA($B$2:B26), "")</f>
        <v/>
      </c>
      <c r="B26" s="280" t="inlineStr">
        <is>
          <t>Датчик пламени</t>
        </is>
      </c>
      <c r="C26" s="10" t="inlineStr">
        <is>
          <t>ИП330/3-20-А1</t>
        </is>
      </c>
      <c r="D26" s="11" t="inlineStr">
        <is>
          <t>001041</t>
        </is>
      </c>
      <c r="E26" s="15" t="n">
        <v>2011</v>
      </c>
      <c r="F26" s="33" t="n"/>
      <c r="G26" s="33" t="n"/>
      <c r="H26" s="26" t="inlineStr">
        <is>
          <t>(BTF501)</t>
        </is>
      </c>
      <c r="I26" s="15" t="inlineStr">
        <is>
          <t>ГПА 63 БПТГ</t>
        </is>
      </c>
      <c r="J26" s="15" t="inlineStr">
        <is>
          <t>АСУ,А и ТМ (КЦ № 6)</t>
        </is>
      </c>
      <c r="K26" s="15" t="n">
        <v>2012</v>
      </c>
      <c r="L26" s="33" t="n"/>
      <c r="M26" s="33" t="n"/>
      <c r="N26" s="33" t="n"/>
    </row>
    <row r="27">
      <c r="A27" s="15">
        <f>IF(B27&lt;&gt;"", COUNTA($B$2:B27), "")</f>
        <v/>
      </c>
      <c r="B27" s="280" t="inlineStr">
        <is>
          <t>Датчик пламени</t>
        </is>
      </c>
      <c r="C27" s="10" t="inlineStr">
        <is>
          <t>ИП330/3-20-А1</t>
        </is>
      </c>
      <c r="D27" s="11" t="inlineStr">
        <is>
          <t>001015</t>
        </is>
      </c>
      <c r="E27" s="15" t="n">
        <v>2011</v>
      </c>
      <c r="F27" s="33" t="n"/>
      <c r="G27" s="33" t="n"/>
      <c r="H27" s="26" t="inlineStr">
        <is>
          <t>(BTF502)</t>
        </is>
      </c>
      <c r="I27" s="15" t="inlineStr">
        <is>
          <t>ГПА 63 БПТГ</t>
        </is>
      </c>
      <c r="J27" s="15" t="inlineStr">
        <is>
          <t>АСУ,А и ТМ (КЦ № 6)</t>
        </is>
      </c>
      <c r="K27" s="15" t="n">
        <v>2012</v>
      </c>
      <c r="L27" s="33" t="n"/>
      <c r="M27" s="33" t="n"/>
      <c r="N27" s="33" t="n"/>
    </row>
    <row r="28" ht="14.25" customHeight="1" s="151">
      <c r="A28" s="15">
        <f>IF(B28&lt;&gt;"", COUNTA($B$2:B28), "")</f>
        <v/>
      </c>
      <c r="B28" s="280" t="inlineStr">
        <is>
          <t>Датчик пламени</t>
        </is>
      </c>
      <c r="C28" s="10" t="inlineStr">
        <is>
          <t>ИП330/3-20-А1</t>
        </is>
      </c>
      <c r="D28" s="11" t="inlineStr">
        <is>
          <t>001018</t>
        </is>
      </c>
      <c r="E28" s="15" t="n">
        <v>2011</v>
      </c>
      <c r="F28" s="33" t="n"/>
      <c r="G28" s="33" t="n"/>
      <c r="H28" s="26" t="inlineStr">
        <is>
          <t>(BTF503)</t>
        </is>
      </c>
      <c r="I28" s="15" t="inlineStr">
        <is>
          <t>ГПА 63 БПТГ</t>
        </is>
      </c>
      <c r="J28" s="15" t="inlineStr">
        <is>
          <t>АСУ,А и ТМ (КЦ № 6)</t>
        </is>
      </c>
      <c r="K28" s="15" t="n">
        <v>2012</v>
      </c>
      <c r="L28" s="33" t="n"/>
      <c r="M28" s="33" t="n"/>
      <c r="N28" s="33" t="n"/>
    </row>
    <row r="29">
      <c r="A29" s="15">
        <f>IF(B29&lt;&gt;"", COUNTA($B$2:B29), "")</f>
        <v/>
      </c>
      <c r="B29" s="280" t="inlineStr">
        <is>
          <t>Датчик пламени</t>
        </is>
      </c>
      <c r="C29" s="10" t="inlineStr">
        <is>
          <t>ИП330/3-20-А1</t>
        </is>
      </c>
      <c r="D29" s="11" t="inlineStr">
        <is>
          <t>001012</t>
        </is>
      </c>
      <c r="E29" s="15" t="n">
        <v>2011</v>
      </c>
      <c r="F29" s="33" t="n"/>
      <c r="G29" s="33" t="n"/>
      <c r="H29" s="26" t="inlineStr">
        <is>
          <t>(BTF504)</t>
        </is>
      </c>
      <c r="I29" s="15" t="inlineStr">
        <is>
          <t>ГПА 63 БПТГ</t>
        </is>
      </c>
      <c r="J29" s="15" t="inlineStr">
        <is>
          <t>АСУ,А и ТМ (КЦ № 6)</t>
        </is>
      </c>
      <c r="K29" s="15" t="n">
        <v>2012</v>
      </c>
      <c r="L29" s="33" t="n"/>
      <c r="M29" s="33" t="n"/>
      <c r="N29" s="33" t="n"/>
    </row>
    <row r="30">
      <c r="A30" s="15">
        <f>IF(B30&lt;&gt;"", COUNTA($B$2:B30), "")</f>
        <v/>
      </c>
      <c r="B30" s="16" t="inlineStr">
        <is>
          <t>Термометр сопротивления</t>
        </is>
      </c>
      <c r="C30" s="14" t="inlineStr">
        <is>
          <t>ТСПУ-Л  22322 УХЛ3.1</t>
        </is>
      </c>
      <c r="D30" s="14" t="n">
        <v>10</v>
      </c>
      <c r="E30" s="15" t="n">
        <v>2011</v>
      </c>
      <c r="F30" s="17" t="inlineStr">
        <is>
          <t>-60…100 °С</t>
        </is>
      </c>
      <c r="G30" s="14" t="inlineStr">
        <is>
          <t>±0,5 %</t>
        </is>
      </c>
      <c r="H30" s="15" t="inlineStr">
        <is>
          <t>Т нагретого воздуха</t>
        </is>
      </c>
      <c r="I30" s="15" t="inlineStr">
        <is>
          <t>ГПА 63 АВГМ</t>
        </is>
      </c>
      <c r="J30" s="15" t="inlineStr">
        <is>
          <t>АСУ,А и ТМ (КЦ № 6)</t>
        </is>
      </c>
      <c r="K30" s="15" t="n">
        <v>2012</v>
      </c>
      <c r="L30" s="14" t="n">
        <v>24</v>
      </c>
      <c r="M30" s="3" t="n"/>
      <c r="N30" s="70" t="n"/>
    </row>
    <row r="31">
      <c r="A31" s="15">
        <f>IF(B31&lt;&gt;"", COUNTA($B$2:B31), "")</f>
        <v/>
      </c>
      <c r="B31" s="16" t="inlineStr">
        <is>
          <t>Термометр сопротивления</t>
        </is>
      </c>
      <c r="C31" s="14" t="inlineStr">
        <is>
          <t>ТСПУ-Л  22322 УХЛ3.1</t>
        </is>
      </c>
      <c r="D31" s="14" t="n">
        <v>11</v>
      </c>
      <c r="E31" s="15" t="n">
        <v>2011</v>
      </c>
      <c r="F31" s="17" t="inlineStr">
        <is>
          <t>-60…100 °С</t>
        </is>
      </c>
      <c r="G31" s="14" t="inlineStr">
        <is>
          <t>±0,5 %</t>
        </is>
      </c>
      <c r="H31" s="15" t="inlineStr">
        <is>
          <t>Тг на газовом счетчике</t>
        </is>
      </c>
      <c r="I31" s="15" t="inlineStr">
        <is>
          <t>ГПА 63 АВГМ</t>
        </is>
      </c>
      <c r="J31" s="15" t="inlineStr">
        <is>
          <t>АСУ,А и ТМ (КЦ № 6)</t>
        </is>
      </c>
      <c r="K31" s="15" t="n">
        <v>2012</v>
      </c>
      <c r="L31" s="14" t="n">
        <v>24</v>
      </c>
      <c r="M31" s="3" t="n"/>
      <c r="N31" s="70" t="n"/>
    </row>
    <row r="32">
      <c r="A32" s="15">
        <f>IF(B32&lt;&gt;"", COUNTA($B$2:B32), "")</f>
        <v/>
      </c>
      <c r="B32" s="16" t="inlineStr">
        <is>
          <t>Термометр сопротивления</t>
        </is>
      </c>
      <c r="C32" s="14" t="inlineStr">
        <is>
          <t>ТСПУ-Л  22322 УХЛ3.1</t>
        </is>
      </c>
      <c r="D32" s="14" t="n">
        <v>35</v>
      </c>
      <c r="E32" s="15" t="n">
        <v>2011</v>
      </c>
      <c r="F32" s="17" t="inlineStr">
        <is>
          <t>-60…100 °С</t>
        </is>
      </c>
      <c r="G32" s="14" t="inlineStr">
        <is>
          <t>±0,5 %</t>
        </is>
      </c>
      <c r="H32" s="15" t="inlineStr">
        <is>
          <t>Т теплообменника 1</t>
        </is>
      </c>
      <c r="I32" s="15" t="inlineStr">
        <is>
          <t>ГПА 63 АВГМ</t>
        </is>
      </c>
      <c r="J32" s="15" t="inlineStr">
        <is>
          <t>АСУ,А и ТМ (КЦ № 6)</t>
        </is>
      </c>
      <c r="K32" s="15" t="n">
        <v>2021</v>
      </c>
      <c r="L32" s="14" t="n">
        <v>24</v>
      </c>
      <c r="M32" s="3" t="n"/>
      <c r="N32" s="70" t="n"/>
    </row>
    <row r="33">
      <c r="A33" s="15">
        <f>IF(B33&lt;&gt;"", COUNTA($B$2:B33), "")</f>
        <v/>
      </c>
      <c r="B33" s="16" t="inlineStr">
        <is>
          <t>Термометр сопротивления</t>
        </is>
      </c>
      <c r="C33" s="14" t="inlineStr">
        <is>
          <t>ТСПУ-Л  22322 УХЛ3.1</t>
        </is>
      </c>
      <c r="D33" s="14" t="n">
        <v>24</v>
      </c>
      <c r="E33" s="15" t="n">
        <v>2011</v>
      </c>
      <c r="F33" s="17" t="inlineStr">
        <is>
          <t>-60…100 °С</t>
        </is>
      </c>
      <c r="G33" s="14" t="inlineStr">
        <is>
          <t>±0,5 %</t>
        </is>
      </c>
      <c r="H33" s="15" t="inlineStr">
        <is>
          <t>Т теплообменника 2</t>
        </is>
      </c>
      <c r="I33" s="15" t="inlineStr">
        <is>
          <t>ГПА 63 АВГМ</t>
        </is>
      </c>
      <c r="J33" s="15" t="inlineStr">
        <is>
          <t>АСУ,А и ТМ (КЦ № 6)</t>
        </is>
      </c>
      <c r="K33" s="15" t="n">
        <v>2012</v>
      </c>
      <c r="L33" s="14" t="n">
        <v>24</v>
      </c>
      <c r="M33" s="3" t="n"/>
      <c r="N33" s="70" t="n"/>
    </row>
    <row r="34">
      <c r="A34" s="15">
        <f>IF(B34&lt;&gt;"", COUNTA($B$2:B34), "")</f>
        <v/>
      </c>
      <c r="B34" s="16" t="inlineStr">
        <is>
          <t>Термометр сопротивления</t>
        </is>
      </c>
      <c r="C34" s="14" t="inlineStr">
        <is>
          <t>ТСПУ-Л  22322 УХЛ3.1</t>
        </is>
      </c>
      <c r="D34" s="14" t="n">
        <v>21</v>
      </c>
      <c r="E34" s="15" t="n">
        <v>2011</v>
      </c>
      <c r="F34" s="17" t="inlineStr">
        <is>
          <t>-60…100 °С</t>
        </is>
      </c>
      <c r="G34" s="14" t="inlineStr">
        <is>
          <t>±0,5 %</t>
        </is>
      </c>
      <c r="H34" s="15" t="inlineStr">
        <is>
          <t>Тг на входе</t>
        </is>
      </c>
      <c r="I34" s="15" t="inlineStr">
        <is>
          <t>ГПА 63 АВГМ</t>
        </is>
      </c>
      <c r="J34" s="15" t="inlineStr">
        <is>
          <t>АСУ,А и ТМ (КЦ № 6)</t>
        </is>
      </c>
      <c r="K34" s="15" t="n">
        <v>2012</v>
      </c>
      <c r="L34" s="14" t="n">
        <v>24</v>
      </c>
      <c r="M34" s="3" t="n"/>
      <c r="N34" s="70" t="n"/>
    </row>
    <row r="35">
      <c r="A35" s="15">
        <f>IF(B35&lt;&gt;"", COUNTA($B$2:B35), "")</f>
        <v/>
      </c>
      <c r="B35" s="16" t="inlineStr">
        <is>
          <t>Термометр сопротивления</t>
        </is>
      </c>
      <c r="C35" s="14" t="inlineStr">
        <is>
          <t>ТСПУ-Л  22322 УХЛ3.1</t>
        </is>
      </c>
      <c r="D35" s="14" t="n">
        <v>20</v>
      </c>
      <c r="E35" s="15" t="n">
        <v>2011</v>
      </c>
      <c r="F35" s="17" t="inlineStr">
        <is>
          <t>-60…100 °С</t>
        </is>
      </c>
      <c r="G35" s="14" t="inlineStr">
        <is>
          <t>±0,5 %</t>
        </is>
      </c>
      <c r="H35" s="15" t="inlineStr">
        <is>
          <t>Тв в секции обслуживания</t>
        </is>
      </c>
      <c r="I35" s="15" t="inlineStr">
        <is>
          <t>ГПА 63 АВГМ</t>
        </is>
      </c>
      <c r="J35" s="15" t="inlineStr">
        <is>
          <t>АСУ,А и ТМ (КЦ № 6)</t>
        </is>
      </c>
      <c r="K35" s="15" t="n">
        <v>2012</v>
      </c>
      <c r="L35" s="14" t="n">
        <v>24</v>
      </c>
      <c r="M35" s="3" t="n"/>
      <c r="N35" s="70" t="n"/>
    </row>
    <row r="36">
      <c r="A36" s="15">
        <f>IF(B36&lt;&gt;"", COUNTA($B$2:B36), "")</f>
        <v/>
      </c>
      <c r="B36" s="280" t="inlineStr">
        <is>
          <t>Манометр технический</t>
        </is>
      </c>
      <c r="C36" s="26" t="inlineStr">
        <is>
          <t>МП4-УУ2</t>
        </is>
      </c>
      <c r="D36" s="26" t="n">
        <v>15252</v>
      </c>
      <c r="E36" s="10" t="n">
        <v>2010</v>
      </c>
      <c r="F36" s="26" t="inlineStr">
        <is>
          <t>0…0,6 кгс/см2</t>
        </is>
      </c>
      <c r="G36" s="26" t="n">
        <v>1.5</v>
      </c>
      <c r="H36" s="26" t="inlineStr">
        <is>
          <t>Р газа после счетчика АВГМ</t>
        </is>
      </c>
      <c r="I36" s="8" t="inlineStr">
        <is>
          <t>ГПА 63 АВГМ</t>
        </is>
      </c>
      <c r="J36" s="15" t="inlineStr">
        <is>
          <t>АСУ,А и ТМ (КЦ № 6)</t>
        </is>
      </c>
      <c r="K36" s="15" t="n">
        <v>2012</v>
      </c>
      <c r="L36" s="15" t="n">
        <v>12</v>
      </c>
      <c r="M36" s="3" t="inlineStr">
        <is>
          <t>1К26</t>
        </is>
      </c>
      <c r="N36" s="70" t="inlineStr">
        <is>
          <t>К</t>
        </is>
      </c>
    </row>
    <row r="37">
      <c r="A37" s="15">
        <f>IF(B37&lt;&gt;"", COUNTA($B$2:B37), "")</f>
        <v/>
      </c>
      <c r="B37" s="280" t="inlineStr">
        <is>
          <t>Манометр технический</t>
        </is>
      </c>
      <c r="C37" s="3" t="inlineStr">
        <is>
          <t>ДМ8008-ВУ-У2</t>
        </is>
      </c>
      <c r="D37" s="26" t="n">
        <v>15152</v>
      </c>
      <c r="E37" s="10" t="n">
        <v>2010</v>
      </c>
      <c r="F37" s="26" t="inlineStr">
        <is>
          <t>0…6 кгс/см2</t>
        </is>
      </c>
      <c r="G37" s="26" t="n">
        <v>1.5</v>
      </c>
      <c r="H37" s="26" t="inlineStr">
        <is>
          <t>Р газа на входе АВГМ</t>
        </is>
      </c>
      <c r="I37" s="8" t="inlineStr">
        <is>
          <t>ГПА 63 АВГМ</t>
        </is>
      </c>
      <c r="J37" s="15" t="inlineStr">
        <is>
          <t>АСУ,А и ТМ (КЦ № 6)</t>
        </is>
      </c>
      <c r="K37" s="15" t="n">
        <v>2012</v>
      </c>
      <c r="L37" s="15" t="n">
        <v>12</v>
      </c>
      <c r="M37" s="3" t="inlineStr">
        <is>
          <t>1К26</t>
        </is>
      </c>
      <c r="N37" s="70" t="inlineStr">
        <is>
          <t>К</t>
        </is>
      </c>
    </row>
    <row r="38">
      <c r="A38" s="15">
        <f>IF(B38&lt;&gt;"", COUNTA($B$2:B38), "")</f>
        <v/>
      </c>
      <c r="B38" s="280" t="inlineStr">
        <is>
          <t>Контроль загазованности</t>
        </is>
      </c>
      <c r="C38" s="10" t="inlineStr">
        <is>
          <t>Det-Tronics (PIRECL 21M)</t>
        </is>
      </c>
      <c r="D38" s="10" t="n">
        <v>1201046</v>
      </c>
      <c r="E38" s="15" t="n">
        <v>2011</v>
      </c>
      <c r="F38" s="33" t="n"/>
      <c r="G38" s="33" t="n"/>
      <c r="H38" s="15" t="inlineStr">
        <is>
          <t>QT 701</t>
        </is>
      </c>
      <c r="I38" s="15" t="inlineStr">
        <is>
          <t>ГПА 63 АВГМ</t>
        </is>
      </c>
      <c r="J38" s="15" t="inlineStr">
        <is>
          <t>АСУ,А и ТМ (КЦ № 6)</t>
        </is>
      </c>
      <c r="K38" s="15" t="n">
        <v>2012</v>
      </c>
      <c r="L38" s="14" t="n"/>
      <c r="M38" s="3" t="n"/>
      <c r="N38" s="33" t="n"/>
    </row>
    <row r="39" ht="22.5" customHeight="1" s="151">
      <c r="A39" s="15">
        <f>IF(B39&lt;&gt;"", COUNTA($B$2:B39), "")</f>
        <v/>
      </c>
      <c r="B39" s="280" t="inlineStr">
        <is>
          <t>Извещатель тепловой пожарный</t>
        </is>
      </c>
      <c r="C39" s="10" t="inlineStr">
        <is>
          <t>Fenwal 12-X27121-000</t>
        </is>
      </c>
      <c r="D39" s="10" t="n">
        <v>1924</v>
      </c>
      <c r="E39" s="15" t="n">
        <v>2011</v>
      </c>
      <c r="F39" s="17" t="inlineStr">
        <is>
          <t>-55…150 °С</t>
        </is>
      </c>
      <c r="G39" s="33" t="n"/>
      <c r="H39" s="15" t="inlineStr">
        <is>
          <t>BTK 501</t>
        </is>
      </c>
      <c r="I39" s="15" t="inlineStr">
        <is>
          <t>ГПА 63 АВГМ</t>
        </is>
      </c>
      <c r="J39" s="15" t="inlineStr">
        <is>
          <t>АСУ,А и ТМ (КЦ № 6)</t>
        </is>
      </c>
      <c r="K39" s="15" t="n">
        <v>2012</v>
      </c>
      <c r="L39" s="33" t="n"/>
      <c r="M39" s="33" t="n"/>
      <c r="N39" s="33" t="n"/>
    </row>
    <row r="40" ht="22.5" customHeight="1" s="151">
      <c r="A40" s="15">
        <f>IF(B40&lt;&gt;"", COUNTA($B$2:B40), "")</f>
        <v/>
      </c>
      <c r="B40" s="280" t="inlineStr">
        <is>
          <t>Извещатель тепловой пожарный</t>
        </is>
      </c>
      <c r="C40" s="10" t="inlineStr">
        <is>
          <t>Fenwal 12-X27121-000</t>
        </is>
      </c>
      <c r="D40" s="10" t="n">
        <v>1925</v>
      </c>
      <c r="E40" s="15" t="n">
        <v>2011</v>
      </c>
      <c r="F40" s="17" t="inlineStr">
        <is>
          <t>-55…150 °С</t>
        </is>
      </c>
      <c r="G40" s="33" t="n"/>
      <c r="H40" s="15" t="inlineStr">
        <is>
          <t>BTK 502</t>
        </is>
      </c>
      <c r="I40" s="15" t="inlineStr">
        <is>
          <t>ГПА 63 АВГМ</t>
        </is>
      </c>
      <c r="J40" s="15" t="inlineStr">
        <is>
          <t>АСУ,А и ТМ (КЦ № 6)</t>
        </is>
      </c>
      <c r="K40" s="15" t="n">
        <v>2012</v>
      </c>
      <c r="L40" s="33" t="n"/>
      <c r="M40" s="33" t="n"/>
      <c r="N40" s="33" t="n"/>
    </row>
    <row r="41" ht="22.5" customHeight="1" s="151">
      <c r="A41" s="15">
        <f>IF(B41&lt;&gt;"", COUNTA($B$2:B41), "")</f>
        <v/>
      </c>
      <c r="B41" s="280" t="inlineStr">
        <is>
          <t>Извещатель тепловой пожарный</t>
        </is>
      </c>
      <c r="C41" s="10" t="inlineStr">
        <is>
          <t>Fenwal 12-X27121-000</t>
        </is>
      </c>
      <c r="D41" s="10" t="n">
        <v>1926</v>
      </c>
      <c r="E41" s="15" t="n">
        <v>2011</v>
      </c>
      <c r="F41" s="17" t="inlineStr">
        <is>
          <t>-55…150 °С</t>
        </is>
      </c>
      <c r="G41" s="33" t="n"/>
      <c r="H41" s="15" t="inlineStr">
        <is>
          <t>BTK 503</t>
        </is>
      </c>
      <c r="I41" s="15" t="inlineStr">
        <is>
          <t>ГПА 63 АВГМ</t>
        </is>
      </c>
      <c r="J41" s="15" t="inlineStr">
        <is>
          <t>АСУ,А и ТМ (КЦ № 6)</t>
        </is>
      </c>
      <c r="K41" s="15" t="n">
        <v>2012</v>
      </c>
      <c r="L41" s="33" t="n"/>
      <c r="M41" s="33" t="n"/>
      <c r="N41" s="33" t="n"/>
    </row>
    <row r="42" ht="22.5" customHeight="1" s="151">
      <c r="A42" s="15">
        <f>IF(B42&lt;&gt;"", COUNTA($B$2:B42), "")</f>
        <v/>
      </c>
      <c r="B42" s="73" t="inlineStr">
        <is>
          <t>Преобразователь избыточного давления</t>
        </is>
      </c>
      <c r="C42" s="10" t="inlineStr">
        <is>
          <t>Dunas LGW 3 A2</t>
        </is>
      </c>
      <c r="D42" s="10" t="inlineStr">
        <is>
          <t>CE-0085 AQ0673</t>
        </is>
      </c>
      <c r="E42" s="10" t="n"/>
      <c r="F42" s="10" t="inlineStr">
        <is>
          <t>0…500 мбар</t>
        </is>
      </c>
      <c r="G42" s="10" t="n"/>
      <c r="H42" s="10" t="inlineStr">
        <is>
          <t>Перепад давления</t>
        </is>
      </c>
      <c r="I42" s="15" t="inlineStr">
        <is>
          <t>ГПА 63 АВГМ</t>
        </is>
      </c>
      <c r="J42" s="15" t="inlineStr">
        <is>
          <t>АСУ,А и ТМ (КЦ № 6)</t>
        </is>
      </c>
      <c r="K42" s="15" t="n">
        <v>2012</v>
      </c>
      <c r="L42" s="47" t="n"/>
      <c r="M42" s="47" t="n"/>
      <c r="N42" s="47" t="n"/>
    </row>
    <row r="43" ht="22.5" customHeight="1" s="151">
      <c r="A43" s="15">
        <f>IF(B43&lt;&gt;"", COUNTA($B$2:B43), "")</f>
        <v/>
      </c>
      <c r="B43" s="73" t="inlineStr">
        <is>
          <t>Преобразователь избыточного давления</t>
        </is>
      </c>
      <c r="C43" s="10" t="inlineStr">
        <is>
          <t>ПРОМА-ИДМ-(В)</t>
        </is>
      </c>
      <c r="D43" s="10" t="n">
        <v>108167</v>
      </c>
      <c r="E43" s="10" t="n">
        <v>2011</v>
      </c>
      <c r="F43" s="10" t="inlineStr">
        <is>
          <t>0…1 кПа</t>
        </is>
      </c>
      <c r="G43" s="10" t="n"/>
      <c r="H43" s="10" t="inlineStr">
        <is>
          <t>Р воздуха на входе (датчик и прибор)</t>
        </is>
      </c>
      <c r="I43" s="15" t="inlineStr">
        <is>
          <t>ГПА 63 АВГМ</t>
        </is>
      </c>
      <c r="J43" s="15" t="inlineStr">
        <is>
          <t>АСУ,А и ТМ (КЦ № 6)</t>
        </is>
      </c>
      <c r="K43" s="15" t="n">
        <v>2012</v>
      </c>
      <c r="L43" s="47" t="n"/>
      <c r="M43" s="47" t="n"/>
      <c r="N43" s="47" t="n"/>
    </row>
    <row r="44" ht="22.5" customHeight="1" s="151">
      <c r="A44" s="15">
        <f>IF(B44&lt;&gt;"", COUNTA($B$2:B44), "")</f>
        <v/>
      </c>
      <c r="B44" s="73" t="inlineStr">
        <is>
          <t>Преобразователь избыточного давления</t>
        </is>
      </c>
      <c r="C44" s="10" t="inlineStr">
        <is>
          <t>ДДМ-03-ДИ</t>
        </is>
      </c>
      <c r="D44" s="10" t="n">
        <v>303044</v>
      </c>
      <c r="E44" s="10" t="n"/>
      <c r="F44" s="10" t="inlineStr">
        <is>
          <t>0…40 кПа</t>
        </is>
      </c>
      <c r="G44" s="10" t="n"/>
      <c r="H44" s="10" t="inlineStr">
        <is>
          <t>Р газа полсе РД</t>
        </is>
      </c>
      <c r="I44" s="15" t="inlineStr">
        <is>
          <t>ГПА 63 АВГМ</t>
        </is>
      </c>
      <c r="J44" s="15" t="inlineStr">
        <is>
          <t>АСУ,А и ТМ (КЦ № 6)</t>
        </is>
      </c>
      <c r="K44" s="15" t="n">
        <v>2012</v>
      </c>
      <c r="L44" s="47" t="n"/>
      <c r="M44" s="47" t="n"/>
      <c r="N44" s="47" t="n"/>
    </row>
    <row r="45">
      <c r="A45" s="15">
        <f>IF(B45&lt;&gt;"", COUNTA($B$2:B45), "")</f>
        <v/>
      </c>
      <c r="B45" s="10" t="inlineStr">
        <is>
          <t>Счетчик газа</t>
        </is>
      </c>
      <c r="C45" s="10" t="inlineStr">
        <is>
          <t>Elster ПГТИ G65</t>
        </is>
      </c>
      <c r="D45" s="10" t="n">
        <v>11024685</v>
      </c>
      <c r="E45" s="10" t="n">
        <v>2011</v>
      </c>
      <c r="F45" s="16" t="inlineStr">
        <is>
          <t>3…100 м3/ч</t>
        </is>
      </c>
      <c r="G45" s="10" t="n"/>
      <c r="H45" s="10" t="inlineStr">
        <is>
          <t>Счетчик газа</t>
        </is>
      </c>
      <c r="I45" s="15" t="inlineStr">
        <is>
          <t>ГПА 63 АВГМ</t>
        </is>
      </c>
      <c r="J45" s="15" t="inlineStr">
        <is>
          <t>АСУ,А и ТМ (КЦ № 6)</t>
        </is>
      </c>
      <c r="K45" s="15" t="n">
        <v>2012</v>
      </c>
      <c r="L45" s="47" t="n"/>
      <c r="M45" s="47" t="n"/>
      <c r="N45" s="47" t="n"/>
    </row>
    <row r="46">
      <c r="A46" s="15">
        <f>IF(B46&lt;&gt;"", COUNTA($B$2:B46), "")</f>
        <v/>
      </c>
      <c r="B46" s="280" t="inlineStr">
        <is>
          <t>Манометр технический</t>
        </is>
      </c>
      <c r="C46" s="10" t="inlineStr">
        <is>
          <t>МП3-УУХЛ1</t>
        </is>
      </c>
      <c r="D46" s="10" t="n">
        <v>152071</v>
      </c>
      <c r="E46" s="10" t="n">
        <v>2010</v>
      </c>
      <c r="F46" s="10" t="inlineStr">
        <is>
          <t>0…160 кгс/см2</t>
        </is>
      </c>
      <c r="G46" s="10" t="n">
        <v>1.5</v>
      </c>
      <c r="H46" s="26" t="inlineStr">
        <is>
          <t>Р газа 1 секции</t>
        </is>
      </c>
      <c r="I46" s="8" t="inlineStr">
        <is>
          <t>ГПА 63 АВОГ</t>
        </is>
      </c>
      <c r="J46" s="15" t="inlineStr">
        <is>
          <t>АСУ,А и ТМ (КЦ № 6)</t>
        </is>
      </c>
      <c r="K46" s="15" t="n">
        <v>2012</v>
      </c>
      <c r="L46" s="15" t="n">
        <v>12</v>
      </c>
      <c r="M46" s="3" t="inlineStr">
        <is>
          <t>1К26</t>
        </is>
      </c>
      <c r="N46" s="70" t="inlineStr">
        <is>
          <t>К</t>
        </is>
      </c>
    </row>
    <row r="47">
      <c r="A47" s="15">
        <f>IF(B47&lt;&gt;"", COUNTA($B$2:B47), "")</f>
        <v/>
      </c>
      <c r="B47" s="280" t="inlineStr">
        <is>
          <t>Манометр технический</t>
        </is>
      </c>
      <c r="C47" s="10" t="inlineStr">
        <is>
          <t>МП3-УУХЛ1</t>
        </is>
      </c>
      <c r="D47" s="10" t="n">
        <v>15221</v>
      </c>
      <c r="E47" s="10" t="n">
        <v>2010</v>
      </c>
      <c r="F47" s="10" t="inlineStr">
        <is>
          <t>0…160 кгс/см3</t>
        </is>
      </c>
      <c r="G47" s="10" t="n">
        <v>1.5</v>
      </c>
      <c r="H47" s="26" t="inlineStr">
        <is>
          <t>Р газа 2 секции</t>
        </is>
      </c>
      <c r="I47" s="8" t="inlineStr">
        <is>
          <t>ГПА 63 АВОГ</t>
        </is>
      </c>
      <c r="J47" s="15" t="inlineStr">
        <is>
          <t>АСУ,А и ТМ (КЦ № 6)</t>
        </is>
      </c>
      <c r="K47" s="15" t="n">
        <v>2012</v>
      </c>
      <c r="L47" s="15" t="n">
        <v>12</v>
      </c>
      <c r="M47" s="3" t="inlineStr">
        <is>
          <t>1К26</t>
        </is>
      </c>
      <c r="N47" s="70" t="inlineStr">
        <is>
          <t>К</t>
        </is>
      </c>
    </row>
    <row r="48">
      <c r="A48" s="15">
        <f>IF(B48&lt;&gt;"", COUNTA($B$2:B48), "")</f>
        <v/>
      </c>
      <c r="B48" s="280" t="inlineStr">
        <is>
          <t>Манометр технический</t>
        </is>
      </c>
      <c r="C48" s="10" t="inlineStr">
        <is>
          <t>МП3-УУХЛ1</t>
        </is>
      </c>
      <c r="D48" s="10" t="n">
        <v>15211</v>
      </c>
      <c r="E48" s="10" t="n">
        <v>2010</v>
      </c>
      <c r="F48" s="10" t="inlineStr">
        <is>
          <t>0…160 кгс/см4</t>
        </is>
      </c>
      <c r="G48" s="10" t="n">
        <v>1.5</v>
      </c>
      <c r="H48" s="26" t="inlineStr">
        <is>
          <t>Р газа 3 секции</t>
        </is>
      </c>
      <c r="I48" s="8" t="inlineStr">
        <is>
          <t>ГПА 63 АВОГ</t>
        </is>
      </c>
      <c r="J48" s="15" t="inlineStr">
        <is>
          <t>АСУ,А и ТМ (КЦ № 6)</t>
        </is>
      </c>
      <c r="K48" s="15" t="n">
        <v>2012</v>
      </c>
      <c r="L48" s="15" t="n">
        <v>12</v>
      </c>
      <c r="M48" s="3" t="inlineStr">
        <is>
          <t>1К26</t>
        </is>
      </c>
      <c r="N48" s="70" t="inlineStr">
        <is>
          <t>К</t>
        </is>
      </c>
    </row>
    <row r="49">
      <c r="A49" s="15">
        <f>IF(B49&lt;&gt;"", COUNTA($B$2:B49), "")</f>
        <v/>
      </c>
      <c r="B49" s="280" t="inlineStr">
        <is>
          <t>Манометр технический</t>
        </is>
      </c>
      <c r="C49" s="10" t="inlineStr">
        <is>
          <t>МП3-УУХЛ1</t>
        </is>
      </c>
      <c r="D49" s="10" t="n">
        <v>15255</v>
      </c>
      <c r="E49" s="10" t="n">
        <v>2010</v>
      </c>
      <c r="F49" s="10" t="inlineStr">
        <is>
          <t>0…160 кгс/см5</t>
        </is>
      </c>
      <c r="G49" s="10" t="n">
        <v>1.5</v>
      </c>
      <c r="H49" s="26" t="inlineStr">
        <is>
          <t>Р газа 4 секции</t>
        </is>
      </c>
      <c r="I49" s="8" t="inlineStr">
        <is>
          <t>ГПА 63 АВОГ</t>
        </is>
      </c>
      <c r="J49" s="15" t="inlineStr">
        <is>
          <t>АСУ,А и ТМ (КЦ № 6)</t>
        </is>
      </c>
      <c r="K49" s="15" t="n">
        <v>2012</v>
      </c>
      <c r="L49" s="15" t="n">
        <v>12</v>
      </c>
      <c r="M49" s="3" t="inlineStr">
        <is>
          <t>1К26</t>
        </is>
      </c>
      <c r="N49" s="70" t="inlineStr">
        <is>
          <t>К</t>
        </is>
      </c>
    </row>
    <row r="50">
      <c r="A50" s="15">
        <f>IF(B50&lt;&gt;"", COUNTA($B$2:B50), "")</f>
        <v/>
      </c>
      <c r="B50" s="280" t="inlineStr">
        <is>
          <t>Манометр технический</t>
        </is>
      </c>
      <c r="C50" s="10" t="inlineStr">
        <is>
          <t>МП3-УУХЛ1</t>
        </is>
      </c>
      <c r="D50" s="10" t="n">
        <v>15220</v>
      </c>
      <c r="E50" s="10" t="n">
        <v>2010</v>
      </c>
      <c r="F50" s="10" t="inlineStr">
        <is>
          <t>0…160 кгс/см6</t>
        </is>
      </c>
      <c r="G50" s="10" t="n">
        <v>1.5</v>
      </c>
      <c r="H50" s="26" t="inlineStr">
        <is>
          <t>Р газа 5 секции</t>
        </is>
      </c>
      <c r="I50" s="8" t="inlineStr">
        <is>
          <t>ГПА 63 АВОГ</t>
        </is>
      </c>
      <c r="J50" s="15" t="inlineStr">
        <is>
          <t>АСУ,А и ТМ (КЦ № 6)</t>
        </is>
      </c>
      <c r="K50" s="15" t="n">
        <v>2012</v>
      </c>
      <c r="L50" s="15" t="n">
        <v>12</v>
      </c>
      <c r="M50" s="3" t="inlineStr">
        <is>
          <t>1К26</t>
        </is>
      </c>
      <c r="N50" s="70" t="inlineStr">
        <is>
          <t>К</t>
        </is>
      </c>
    </row>
    <row r="51">
      <c r="A51" s="15">
        <f>IF(B51&lt;&gt;"", COUNTA($B$2:B51), "")</f>
        <v/>
      </c>
      <c r="B51" s="280" t="inlineStr">
        <is>
          <t>Манометр технический</t>
        </is>
      </c>
      <c r="C51" s="10" t="inlineStr">
        <is>
          <t>МП3-УУХЛ1</t>
        </is>
      </c>
      <c r="D51" s="10" t="n">
        <v>15860</v>
      </c>
      <c r="E51" s="10" t="n">
        <v>2010</v>
      </c>
      <c r="F51" s="10" t="inlineStr">
        <is>
          <t>0…160 кгс/см7</t>
        </is>
      </c>
      <c r="G51" s="10" t="n">
        <v>1.5</v>
      </c>
      <c r="H51" s="26" t="inlineStr">
        <is>
          <t>Р газа 6 секции</t>
        </is>
      </c>
      <c r="I51" s="8" t="inlineStr">
        <is>
          <t>ГПА 63 АВОГ</t>
        </is>
      </c>
      <c r="J51" s="15" t="inlineStr">
        <is>
          <t>АСУ,А и ТМ (КЦ № 6)</t>
        </is>
      </c>
      <c r="K51" s="15" t="n">
        <v>2012</v>
      </c>
      <c r="L51" s="15" t="n">
        <v>12</v>
      </c>
      <c r="M51" s="3" t="inlineStr">
        <is>
          <t>1К26</t>
        </is>
      </c>
      <c r="N51" s="70" t="inlineStr">
        <is>
          <t>К</t>
        </is>
      </c>
    </row>
    <row r="52">
      <c r="A52" s="15">
        <f>IF(B52&lt;&gt;"", COUNTA($B$2:B52), "")</f>
        <v/>
      </c>
      <c r="B52" s="280" t="inlineStr">
        <is>
          <t>Манометр технический</t>
        </is>
      </c>
      <c r="C52" s="10" t="inlineStr">
        <is>
          <t>МП3-УУХЛ1</t>
        </is>
      </c>
      <c r="D52" s="10" t="n">
        <v>15259</v>
      </c>
      <c r="E52" s="10" t="n">
        <v>2010</v>
      </c>
      <c r="F52" s="10" t="inlineStr">
        <is>
          <t>0…160 кгс/см8</t>
        </is>
      </c>
      <c r="G52" s="10" t="n">
        <v>1.5</v>
      </c>
      <c r="H52" s="26" t="inlineStr">
        <is>
          <t>Р газа 7 секции</t>
        </is>
      </c>
      <c r="I52" s="8" t="inlineStr">
        <is>
          <t>ГПА 63 АВОГ</t>
        </is>
      </c>
      <c r="J52" s="15" t="inlineStr">
        <is>
          <t>АСУ,А и ТМ (КЦ № 6)</t>
        </is>
      </c>
      <c r="K52" s="15" t="n">
        <v>2012</v>
      </c>
      <c r="L52" s="15" t="n">
        <v>12</v>
      </c>
      <c r="M52" s="3" t="inlineStr">
        <is>
          <t>1К26</t>
        </is>
      </c>
      <c r="N52" s="70" t="inlineStr">
        <is>
          <t>К</t>
        </is>
      </c>
    </row>
    <row r="53">
      <c r="A53" s="15">
        <f>IF(B53&lt;&gt;"", COUNTA($B$2:B53), "")</f>
        <v/>
      </c>
      <c r="B53" s="280" t="inlineStr">
        <is>
          <t>Манометр технический</t>
        </is>
      </c>
      <c r="C53" s="10" t="inlineStr">
        <is>
          <t>МП3-УУХЛ1</t>
        </is>
      </c>
      <c r="D53" s="10" t="n">
        <v>15268</v>
      </c>
      <c r="E53" s="10" t="n">
        <v>2010</v>
      </c>
      <c r="F53" s="10" t="inlineStr">
        <is>
          <t>0…160 кгс/см9</t>
        </is>
      </c>
      <c r="G53" s="10" t="n">
        <v>1.5</v>
      </c>
      <c r="H53" s="26" t="inlineStr">
        <is>
          <t>Р газа 8 секции</t>
        </is>
      </c>
      <c r="I53" s="8" t="inlineStr">
        <is>
          <t>ГПА 63 АВОГ</t>
        </is>
      </c>
      <c r="J53" s="15" t="inlineStr">
        <is>
          <t>АСУ,А и ТМ (КЦ № 6)</t>
        </is>
      </c>
      <c r="K53" s="15" t="n">
        <v>2012</v>
      </c>
      <c r="L53" s="15" t="n">
        <v>12</v>
      </c>
      <c r="M53" s="3" t="inlineStr">
        <is>
          <t>1К26</t>
        </is>
      </c>
      <c r="N53" s="70" t="inlineStr">
        <is>
          <t>К</t>
        </is>
      </c>
    </row>
    <row r="54" ht="22.5" customHeight="1" s="151">
      <c r="A54" s="15">
        <f>IF(B54&lt;&gt;"", COUNTA($B$2:B54), "")</f>
        <v/>
      </c>
      <c r="B54" s="14" t="inlineStr">
        <is>
          <t>Термометр биметаллический</t>
        </is>
      </c>
      <c r="C54" s="10" t="inlineStr">
        <is>
          <t>ТБ-2</t>
        </is>
      </c>
      <c r="D54" s="10" t="n">
        <v>5563</v>
      </c>
      <c r="E54" s="10" t="n">
        <v>2010</v>
      </c>
      <c r="F54" s="10" t="inlineStr">
        <is>
          <t>­50…100 °C</t>
        </is>
      </c>
      <c r="G54" s="10" t="n">
        <v>1</v>
      </c>
      <c r="H54" s="26" t="inlineStr">
        <is>
          <t>Тг на выходе 1 секции АВО</t>
        </is>
      </c>
      <c r="I54" s="8" t="inlineStr">
        <is>
          <t>ГПА 63 АВОГ</t>
        </is>
      </c>
      <c r="J54" s="15" t="inlineStr">
        <is>
          <t>АСУ,А и ТМ (КЦ № 6)</t>
        </is>
      </c>
      <c r="K54" s="15" t="n">
        <v>2012</v>
      </c>
      <c r="L54" s="15" t="n">
        <v>24</v>
      </c>
      <c r="M54" s="3" t="inlineStr">
        <is>
          <t>3К26</t>
        </is>
      </c>
      <c r="N54" s="70" t="inlineStr">
        <is>
          <t>К</t>
        </is>
      </c>
    </row>
    <row r="55" ht="22.5" customHeight="1" s="151">
      <c r="A55" s="15">
        <f>IF(B55&lt;&gt;"", COUNTA($B$2:B55), "")</f>
        <v/>
      </c>
      <c r="B55" s="14" t="inlineStr">
        <is>
          <t>Термометр биметаллический</t>
        </is>
      </c>
      <c r="C55" s="10" t="inlineStr">
        <is>
          <t>ТБ-2</t>
        </is>
      </c>
      <c r="D55" s="10" t="n">
        <v>5565</v>
      </c>
      <c r="E55" s="10" t="n">
        <v>2010</v>
      </c>
      <c r="F55" s="10" t="inlineStr">
        <is>
          <t>­50…100 °C</t>
        </is>
      </c>
      <c r="G55" s="10" t="n">
        <v>1</v>
      </c>
      <c r="H55" s="26" t="inlineStr">
        <is>
          <t>Тг на выходе 2 секции АВО</t>
        </is>
      </c>
      <c r="I55" s="8" t="inlineStr">
        <is>
          <t>ГПА 63 АВОГ</t>
        </is>
      </c>
      <c r="J55" s="15" t="inlineStr">
        <is>
          <t>АСУ,А и ТМ (КЦ № 6)</t>
        </is>
      </c>
      <c r="K55" s="15" t="n">
        <v>2012</v>
      </c>
      <c r="L55" s="15" t="n">
        <v>24</v>
      </c>
      <c r="M55" s="3" t="inlineStr">
        <is>
          <t>3К26</t>
        </is>
      </c>
      <c r="N55" s="70" t="inlineStr">
        <is>
          <t>К</t>
        </is>
      </c>
    </row>
    <row r="56" ht="22.5" customHeight="1" s="151">
      <c r="A56" s="15">
        <f>IF(B56&lt;&gt;"", COUNTA($B$2:B56), "")</f>
        <v/>
      </c>
      <c r="B56" s="14" t="inlineStr">
        <is>
          <t>Термометр биметаллический</t>
        </is>
      </c>
      <c r="C56" s="10" t="inlineStr">
        <is>
          <t>ТБ-2</t>
        </is>
      </c>
      <c r="D56" s="10" t="n">
        <v>5568</v>
      </c>
      <c r="E56" s="10" t="n">
        <v>2010</v>
      </c>
      <c r="F56" s="10" t="inlineStr">
        <is>
          <t>­50…100 °C</t>
        </is>
      </c>
      <c r="G56" s="10" t="n">
        <v>1</v>
      </c>
      <c r="H56" s="26" t="inlineStr">
        <is>
          <t>Тг на выходе 3 секции АВО</t>
        </is>
      </c>
      <c r="I56" s="8" t="inlineStr">
        <is>
          <t>ГПА 63 АВОГ</t>
        </is>
      </c>
      <c r="J56" s="15" t="inlineStr">
        <is>
          <t>АСУ,А и ТМ (КЦ № 6)</t>
        </is>
      </c>
      <c r="K56" s="15" t="n">
        <v>2012</v>
      </c>
      <c r="L56" s="15" t="n">
        <v>24</v>
      </c>
      <c r="M56" s="3" t="inlineStr">
        <is>
          <t>3К26</t>
        </is>
      </c>
      <c r="N56" s="70" t="inlineStr">
        <is>
          <t>К</t>
        </is>
      </c>
    </row>
    <row r="57" ht="22.5" customHeight="1" s="151">
      <c r="A57" s="15">
        <f>IF(B57&lt;&gt;"", COUNTA($B$2:B57), "")</f>
        <v/>
      </c>
      <c r="B57" s="14" t="inlineStr">
        <is>
          <t>Термометр биметаллический</t>
        </is>
      </c>
      <c r="C57" s="10" t="inlineStr">
        <is>
          <t>ТБ-2</t>
        </is>
      </c>
      <c r="D57" s="10" t="n">
        <v>5569</v>
      </c>
      <c r="E57" s="10" t="n">
        <v>2010</v>
      </c>
      <c r="F57" s="10" t="inlineStr">
        <is>
          <t>­50…100 °C</t>
        </is>
      </c>
      <c r="G57" s="10" t="n">
        <v>1</v>
      </c>
      <c r="H57" s="26" t="inlineStr">
        <is>
          <t>Тг на выходе 4 секции АВО</t>
        </is>
      </c>
      <c r="I57" s="8" t="inlineStr">
        <is>
          <t>ГПА 63 АВОГ</t>
        </is>
      </c>
      <c r="J57" s="15" t="inlineStr">
        <is>
          <t>АСУ,А и ТМ (КЦ № 6)</t>
        </is>
      </c>
      <c r="K57" s="15" t="n">
        <v>2012</v>
      </c>
      <c r="L57" s="15" t="n">
        <v>24</v>
      </c>
      <c r="M57" s="3" t="inlineStr">
        <is>
          <t>3К26</t>
        </is>
      </c>
      <c r="N57" s="70" t="inlineStr">
        <is>
          <t>К</t>
        </is>
      </c>
    </row>
    <row r="58" ht="22.5" customHeight="1" s="151">
      <c r="A58" s="15">
        <f>IF(B58&lt;&gt;"", COUNTA($B$2:B58), "")</f>
        <v/>
      </c>
      <c r="B58" s="14" t="inlineStr">
        <is>
          <t>Термометр биметаллический</t>
        </is>
      </c>
      <c r="C58" s="10" t="inlineStr">
        <is>
          <t>ТБ-2</t>
        </is>
      </c>
      <c r="D58" s="10" t="n">
        <v>5572</v>
      </c>
      <c r="E58" s="10" t="n">
        <v>2010</v>
      </c>
      <c r="F58" s="10" t="inlineStr">
        <is>
          <t>­50…100 °C</t>
        </is>
      </c>
      <c r="G58" s="10" t="n">
        <v>1</v>
      </c>
      <c r="H58" s="26" t="inlineStr">
        <is>
          <t>Тг на выходе 5 секции АВО</t>
        </is>
      </c>
      <c r="I58" s="8" t="inlineStr">
        <is>
          <t>ГПА 63 АВОГ</t>
        </is>
      </c>
      <c r="J58" s="15" t="inlineStr">
        <is>
          <t>АСУ,А и ТМ (КЦ № 6)</t>
        </is>
      </c>
      <c r="K58" s="15" t="n">
        <v>2012</v>
      </c>
      <c r="L58" s="15" t="n">
        <v>24</v>
      </c>
      <c r="M58" s="3" t="inlineStr">
        <is>
          <t>3К26</t>
        </is>
      </c>
      <c r="N58" s="70" t="inlineStr">
        <is>
          <t>К</t>
        </is>
      </c>
    </row>
    <row r="59" ht="22.5" customHeight="1" s="151">
      <c r="A59" s="15">
        <f>IF(B59&lt;&gt;"", COUNTA($B$2:B59), "")</f>
        <v/>
      </c>
      <c r="B59" s="14" t="inlineStr">
        <is>
          <t>Термометр биметаллический</t>
        </is>
      </c>
      <c r="C59" s="10" t="inlineStr">
        <is>
          <t>ТБ-2</t>
        </is>
      </c>
      <c r="D59" s="10" t="n">
        <v>5579</v>
      </c>
      <c r="E59" s="10" t="n">
        <v>2010</v>
      </c>
      <c r="F59" s="10" t="inlineStr">
        <is>
          <t>­50…100 °C</t>
        </is>
      </c>
      <c r="G59" s="10" t="n">
        <v>1</v>
      </c>
      <c r="H59" s="26" t="inlineStr">
        <is>
          <t>Тг на выходе 6 секции АВО</t>
        </is>
      </c>
      <c r="I59" s="8" t="inlineStr">
        <is>
          <t>ГПА 63 АВОГ</t>
        </is>
      </c>
      <c r="J59" s="15" t="inlineStr">
        <is>
          <t>АСУ,А и ТМ (КЦ № 6)</t>
        </is>
      </c>
      <c r="K59" s="15" t="n">
        <v>2012</v>
      </c>
      <c r="L59" s="15" t="n">
        <v>24</v>
      </c>
      <c r="M59" s="3" t="inlineStr">
        <is>
          <t>3К26</t>
        </is>
      </c>
      <c r="N59" s="70" t="inlineStr">
        <is>
          <t>К</t>
        </is>
      </c>
    </row>
    <row r="60" ht="22.5" customHeight="1" s="151">
      <c r="A60" s="15">
        <f>IF(B60&lt;&gt;"", COUNTA($B$2:B60), "")</f>
        <v/>
      </c>
      <c r="B60" s="14" t="inlineStr">
        <is>
          <t>Термометр биметаллический</t>
        </is>
      </c>
      <c r="C60" s="10" t="inlineStr">
        <is>
          <t>ТБ-2</t>
        </is>
      </c>
      <c r="D60" s="10" t="n">
        <v>5580</v>
      </c>
      <c r="E60" s="10" t="n">
        <v>2010</v>
      </c>
      <c r="F60" s="10" t="inlineStr">
        <is>
          <t>­50…100 °C</t>
        </is>
      </c>
      <c r="G60" s="10" t="n">
        <v>1</v>
      </c>
      <c r="H60" s="26" t="inlineStr">
        <is>
          <t>Тг на выходе 7 секции АВО</t>
        </is>
      </c>
      <c r="I60" s="8" t="inlineStr">
        <is>
          <t>ГПА 63 АВОГ</t>
        </is>
      </c>
      <c r="J60" s="15" t="inlineStr">
        <is>
          <t>АСУ,А и ТМ (КЦ № 6)</t>
        </is>
      </c>
      <c r="K60" s="15" t="n">
        <v>2012</v>
      </c>
      <c r="L60" s="15" t="n">
        <v>24</v>
      </c>
      <c r="M60" s="3" t="inlineStr">
        <is>
          <t>3К26</t>
        </is>
      </c>
      <c r="N60" s="70" t="inlineStr">
        <is>
          <t>К</t>
        </is>
      </c>
    </row>
    <row r="61" ht="22.5" customHeight="1" s="151">
      <c r="A61" s="15">
        <f>IF(B61&lt;&gt;"", COUNTA($B$2:B61), "")</f>
        <v/>
      </c>
      <c r="B61" s="14" t="inlineStr">
        <is>
          <t>Термометр биметаллический</t>
        </is>
      </c>
      <c r="C61" s="10" t="inlineStr">
        <is>
          <t>ТБ-2</t>
        </is>
      </c>
      <c r="D61" s="10" t="n">
        <v>8041</v>
      </c>
      <c r="E61" s="10" t="n">
        <v>2010</v>
      </c>
      <c r="F61" s="10" t="inlineStr">
        <is>
          <t>­50…100 °C</t>
        </is>
      </c>
      <c r="G61" s="10" t="n">
        <v>1</v>
      </c>
      <c r="H61" s="26" t="inlineStr">
        <is>
          <t>Тг на выходе 8 секции АВО</t>
        </is>
      </c>
      <c r="I61" s="8" t="inlineStr">
        <is>
          <t>ГПА 63 АВОГ</t>
        </is>
      </c>
      <c r="J61" s="15" t="inlineStr">
        <is>
          <t>АСУ,А и ТМ (КЦ № 6)</t>
        </is>
      </c>
      <c r="K61" s="15" t="n">
        <v>2012</v>
      </c>
      <c r="L61" s="15" t="n">
        <v>24</v>
      </c>
      <c r="M61" s="3" t="inlineStr">
        <is>
          <t>3К26</t>
        </is>
      </c>
      <c r="N61" s="70" t="inlineStr">
        <is>
          <t>К</t>
        </is>
      </c>
    </row>
    <row r="62">
      <c r="A62" s="15">
        <f>IF(B62&lt;&gt;"", COUNTA($B$2:B62), "")</f>
        <v/>
      </c>
      <c r="B62" s="280" t="inlineStr">
        <is>
          <t>Манометр технический</t>
        </is>
      </c>
      <c r="C62" s="10" t="inlineStr">
        <is>
          <t>МП4-УУ2</t>
        </is>
      </c>
      <c r="D62" s="10" t="n">
        <v>15517</v>
      </c>
      <c r="E62" s="10" t="n">
        <v>2010</v>
      </c>
      <c r="F62" s="10" t="inlineStr">
        <is>
          <t>0…160 кгс/см2</t>
        </is>
      </c>
      <c r="G62" s="10" t="n">
        <v>1.5</v>
      </c>
      <c r="H62" s="26" t="inlineStr">
        <is>
          <t>Р газа на входе АВО</t>
        </is>
      </c>
      <c r="I62" s="8" t="inlineStr">
        <is>
          <t>ГПА 63 АВОГ</t>
        </is>
      </c>
      <c r="J62" s="15" t="inlineStr">
        <is>
          <t>АСУ,А и ТМ (КЦ № 6)</t>
        </is>
      </c>
      <c r="K62" s="15" t="n">
        <v>2012</v>
      </c>
      <c r="L62" s="15" t="n">
        <v>12</v>
      </c>
      <c r="M62" s="3" t="inlineStr">
        <is>
          <t>1К26</t>
        </is>
      </c>
      <c r="N62" s="70" t="inlineStr">
        <is>
          <t>К</t>
        </is>
      </c>
      <c r="O62" t="n">
        <v>15557</v>
      </c>
    </row>
    <row r="63">
      <c r="A63" s="15">
        <f>IF(B63&lt;&gt;"", COUNTA($B$2:B63), "")</f>
        <v/>
      </c>
      <c r="B63" s="280" t="inlineStr">
        <is>
          <t>Манометр технический</t>
        </is>
      </c>
      <c r="C63" s="10" t="inlineStr">
        <is>
          <t>МП4-УУ2</t>
        </is>
      </c>
      <c r="D63" s="10" t="n">
        <v>15175</v>
      </c>
      <c r="E63" s="10" t="n">
        <v>2010</v>
      </c>
      <c r="F63" s="10" t="inlineStr">
        <is>
          <t>0…160 кгс/см3</t>
        </is>
      </c>
      <c r="G63" s="10" t="n">
        <v>1.5</v>
      </c>
      <c r="H63" s="26" t="inlineStr">
        <is>
          <t>Р газа на выходе АВО</t>
        </is>
      </c>
      <c r="I63" s="8" t="inlineStr">
        <is>
          <t>ГПА 63 АВОГ</t>
        </is>
      </c>
      <c r="J63" s="15" t="inlineStr">
        <is>
          <t>АСУ,А и ТМ (КЦ № 6)</t>
        </is>
      </c>
      <c r="K63" s="15" t="n">
        <v>2012</v>
      </c>
      <c r="L63" s="15" t="n">
        <v>12</v>
      </c>
      <c r="M63" s="3" t="inlineStr">
        <is>
          <t>1К26</t>
        </is>
      </c>
      <c r="N63" s="70" t="inlineStr">
        <is>
          <t>К</t>
        </is>
      </c>
    </row>
    <row r="64">
      <c r="A64" s="15">
        <f>IF(B64&lt;&gt;"", COUNTA($B$2:B64), "")</f>
        <v/>
      </c>
      <c r="B64" s="280" t="inlineStr">
        <is>
          <t>Манометр технический</t>
        </is>
      </c>
      <c r="C64" s="10" t="inlineStr">
        <is>
          <t>МП4-УУ2</t>
        </is>
      </c>
      <c r="D64" s="10" t="n">
        <v>6303</v>
      </c>
      <c r="E64" s="10" t="n">
        <v>2010</v>
      </c>
      <c r="F64" s="26" t="inlineStr">
        <is>
          <t>0…16 кгс/см2</t>
        </is>
      </c>
      <c r="G64" s="10" t="n">
        <v>1.5</v>
      </c>
      <c r="H64" s="26" t="inlineStr">
        <is>
          <t>Р имп. воздуха кр. 6к</t>
        </is>
      </c>
      <c r="I64" s="8" t="inlineStr">
        <is>
          <t>ГПА 63 АВОГ</t>
        </is>
      </c>
      <c r="J64" s="15" t="inlineStr">
        <is>
          <t>АСУ,А и ТМ (КЦ № 6)</t>
        </is>
      </c>
      <c r="K64" s="15" t="n">
        <v>2012</v>
      </c>
      <c r="L64" s="15" t="n">
        <v>12</v>
      </c>
      <c r="M64" s="3" t="inlineStr">
        <is>
          <t>1К26</t>
        </is>
      </c>
      <c r="N64" s="70" t="inlineStr">
        <is>
          <t>К</t>
        </is>
      </c>
    </row>
    <row r="65" ht="22.5" customHeight="1" s="151">
      <c r="A65" s="15">
        <f>IF(B65&lt;&gt;"", COUNTA($B$2:B65), "")</f>
        <v/>
      </c>
      <c r="B65" s="16" t="inlineStr">
        <is>
          <t>Термометр сопротивления</t>
        </is>
      </c>
      <c r="C65" s="17" t="inlineStr">
        <is>
          <t>ТСП 012.56ОВ 100П/А/4</t>
        </is>
      </c>
      <c r="D65" s="3" t="inlineStr">
        <is>
          <t>7</t>
        </is>
      </c>
      <c r="E65" s="15" t="n">
        <v>2011</v>
      </c>
      <c r="F65" s="17" t="inlineStr">
        <is>
          <t>-60…200 °С</t>
        </is>
      </c>
      <c r="G65" s="17" t="inlineStr">
        <is>
          <t>B</t>
        </is>
      </c>
      <c r="H65" s="3" t="inlineStr">
        <is>
          <t>Температура газа на выходе АВО перед краном 6к</t>
        </is>
      </c>
      <c r="I65" s="8" t="inlineStr">
        <is>
          <t>ГПА 63 АВОГ</t>
        </is>
      </c>
      <c r="J65" s="15" t="inlineStr">
        <is>
          <t>АСУ,А и ТМ (КЦ № 6)</t>
        </is>
      </c>
      <c r="K65" s="15" t="n">
        <v>2012</v>
      </c>
      <c r="L65" s="14" t="n">
        <v>36</v>
      </c>
      <c r="M65" s="3" t="n"/>
      <c r="N65" s="70" t="n"/>
    </row>
    <row r="66" ht="22.5" customHeight="1" s="151">
      <c r="A66" s="15">
        <f>IF(B66&lt;&gt;"", COUNTA($B$2:B66), "")</f>
        <v/>
      </c>
      <c r="B66" s="16" t="inlineStr">
        <is>
          <t>Термометр сопротивления</t>
        </is>
      </c>
      <c r="C66" s="17" t="inlineStr">
        <is>
          <t>ТСП 012.56ОВ 100П/А/4</t>
        </is>
      </c>
      <c r="D66" s="10" t="inlineStr">
        <is>
          <t>4</t>
        </is>
      </c>
      <c r="E66" s="15" t="n">
        <v>2011</v>
      </c>
      <c r="F66" s="17" t="inlineStr">
        <is>
          <t>-60…200 °С</t>
        </is>
      </c>
      <c r="G66" s="17" t="inlineStr">
        <is>
          <t>B по ГОСТ Р 8.625</t>
        </is>
      </c>
      <c r="H66" s="3" t="inlineStr">
        <is>
          <t>Температура газа на выходе АВО перед краном 2</t>
        </is>
      </c>
      <c r="I66" s="8" t="inlineStr">
        <is>
          <t>ГПА 63 АВОГ</t>
        </is>
      </c>
      <c r="J66" s="15" t="inlineStr">
        <is>
          <t>АСУ,А и ТМ (КЦ № 6)</t>
        </is>
      </c>
      <c r="K66" s="15" t="n">
        <v>2012</v>
      </c>
      <c r="L66" s="14" t="n">
        <v>36</v>
      </c>
      <c r="M66" s="3" t="n"/>
      <c r="N66" s="70" t="n"/>
    </row>
    <row r="67" ht="22.5" customHeight="1" s="151">
      <c r="A67" s="15">
        <f>IF(B67&lt;&gt;"", COUNTA($B$2:B67), "")</f>
        <v/>
      </c>
      <c r="B67" s="73" t="inlineStr">
        <is>
          <t>Преобразователь избыточного давления</t>
        </is>
      </c>
      <c r="C67" s="14" t="inlineStr">
        <is>
          <t>YOKOGAVA EJX110А-EНS5J-B19DM/KF21/QR</t>
        </is>
      </c>
      <c r="D67" s="15" t="inlineStr">
        <is>
          <t>91M439695.217</t>
        </is>
      </c>
      <c r="E67" s="14" t="n">
        <v>2012</v>
      </c>
      <c r="F67" s="14" t="inlineStr">
        <is>
          <t xml:space="preserve">0…160 кПa </t>
        </is>
      </c>
      <c r="G67" s="20" t="n">
        <v>0.0004</v>
      </c>
      <c r="H67" s="15" t="inlineStr">
        <is>
          <t>Перепад давления на АВО газа</t>
        </is>
      </c>
      <c r="I67" s="8" t="inlineStr">
        <is>
          <t>ГПА 63 АВОГ</t>
        </is>
      </c>
      <c r="J67" s="15" t="inlineStr">
        <is>
          <t>АСУ,А и ТМ (КЦ № 6)</t>
        </is>
      </c>
      <c r="K67" s="15" t="n">
        <v>2012</v>
      </c>
      <c r="L67" s="14" t="n">
        <v>60</v>
      </c>
      <c r="M67" s="3" t="n"/>
      <c r="N67" s="70" t="n"/>
    </row>
    <row r="68" ht="22.5" customHeight="1" s="151">
      <c r="A68" s="15">
        <f>IF(B68&lt;&gt;"", COUNTA($B$2:B68), "")</f>
        <v/>
      </c>
      <c r="B68" s="73" t="inlineStr">
        <is>
          <t>Преобразователь избыточного давления</t>
        </is>
      </c>
      <c r="C68" s="14" t="inlineStr">
        <is>
          <t>YOKOGAVA EJX530А-EDS9N-019DL/KF21/QR</t>
        </is>
      </c>
      <c r="D68" s="15" t="inlineStr">
        <is>
          <t>91M439737.217</t>
        </is>
      </c>
      <c r="E68" s="14" t="n">
        <v>2012</v>
      </c>
      <c r="F68" s="14" t="inlineStr">
        <is>
          <t>0…16 МПа</t>
        </is>
      </c>
      <c r="G68" s="20" t="n">
        <v>0.001</v>
      </c>
      <c r="H68" s="15" t="inlineStr">
        <is>
          <t>Давление газа на выходе АВО (до крана №2)</t>
        </is>
      </c>
      <c r="I68" s="8" t="inlineStr">
        <is>
          <t>ГПА 63 АВОГ</t>
        </is>
      </c>
      <c r="J68" s="15" t="inlineStr">
        <is>
          <t>АСУ,А и ТМ (КЦ № 6)</t>
        </is>
      </c>
      <c r="K68" s="15" t="n">
        <v>2012</v>
      </c>
      <c r="L68" s="14" t="n">
        <v>60</v>
      </c>
      <c r="M68" s="3" t="n"/>
      <c r="N68" s="70" t="n"/>
    </row>
    <row r="69">
      <c r="A69" s="15">
        <f>IF(B69&lt;&gt;"", COUNTA($B$2:B69), "")</f>
        <v/>
      </c>
      <c r="B69" s="16" t="inlineStr">
        <is>
          <t>Термометр сопротивления</t>
        </is>
      </c>
      <c r="C69" s="17" t="inlineStr">
        <is>
          <t>Метран 256-04 100П/В/3</t>
        </is>
      </c>
      <c r="D69" s="3" t="inlineStr">
        <is>
          <t>2023521</t>
        </is>
      </c>
      <c r="E69" s="17" t="inlineStr">
        <is>
          <t>2012</t>
        </is>
      </c>
      <c r="F69" s="17" t="inlineStr">
        <is>
          <t>-50…130 °С</t>
        </is>
      </c>
      <c r="G69" s="17" t="inlineStr">
        <is>
          <t>B</t>
        </is>
      </c>
      <c r="H69" s="3" t="inlineStr">
        <is>
          <t>Температура масла на выходе МОД</t>
        </is>
      </c>
      <c r="I69" s="15" t="inlineStr">
        <is>
          <t>ГПА 63</t>
        </is>
      </c>
      <c r="J69" s="15" t="inlineStr">
        <is>
          <t>АСУ,А и ТМ (КЦ № 6)</t>
        </is>
      </c>
      <c r="K69" s="15" t="n"/>
      <c r="L69" s="26" t="n"/>
      <c r="M69" s="3" t="n"/>
      <c r="N69" s="70" t="n"/>
    </row>
    <row r="70">
      <c r="A70" s="15">
        <f>IF(B70&lt;&gt;"", COUNTA($B$2:B70), "")</f>
        <v/>
      </c>
      <c r="B70" s="16" t="inlineStr">
        <is>
          <t>Термометр сопротивления</t>
        </is>
      </c>
      <c r="C70" s="17" t="inlineStr">
        <is>
          <t>Метран 256-04 100П/В/3</t>
        </is>
      </c>
      <c r="D70" s="3" t="inlineStr">
        <is>
          <t>2023511</t>
        </is>
      </c>
      <c r="E70" s="14" t="inlineStr">
        <is>
          <t>2012</t>
        </is>
      </c>
      <c r="F70" s="17" t="inlineStr">
        <is>
          <t>-50…200 °С</t>
        </is>
      </c>
      <c r="G70" s="17" t="inlineStr">
        <is>
          <t>B</t>
        </is>
      </c>
      <c r="H70" s="3" t="inlineStr">
        <is>
          <t>Температура масла на входе в МОД</t>
        </is>
      </c>
      <c r="I70" s="15" t="inlineStr">
        <is>
          <t>ГПА 63</t>
        </is>
      </c>
      <c r="J70" s="15" t="inlineStr">
        <is>
          <t>АСУ,А и ТМ (КЦ № 6)</t>
        </is>
      </c>
      <c r="K70" s="15" t="n">
        <v>2012</v>
      </c>
      <c r="L70" s="14" t="n">
        <v>24</v>
      </c>
      <c r="M70" s="3" t="n"/>
      <c r="N70" s="70" t="n"/>
    </row>
    <row r="71">
      <c r="A71" s="15">
        <f>IF(B71&lt;&gt;"", COUNTA($B$2:B71), "")</f>
        <v/>
      </c>
      <c r="B71" s="16" t="inlineStr">
        <is>
          <t>Термометр сопротивления</t>
        </is>
      </c>
      <c r="C71" s="17" t="inlineStr">
        <is>
          <t>ТСП 011.101</t>
        </is>
      </c>
      <c r="D71" s="15" t="n">
        <v>18</v>
      </c>
      <c r="E71" s="15" t="n">
        <v>2011</v>
      </c>
      <c r="F71" s="17" t="inlineStr">
        <is>
          <t>-50…130 °С</t>
        </is>
      </c>
      <c r="G71" s="17" t="inlineStr">
        <is>
          <t>B</t>
        </is>
      </c>
      <c r="H71" s="3" t="inlineStr">
        <is>
          <t>Температура секции МОД</t>
        </is>
      </c>
      <c r="I71" s="15" t="inlineStr">
        <is>
          <t>ГПА 63</t>
        </is>
      </c>
      <c r="J71" s="15" t="inlineStr">
        <is>
          <t>АСУ,А и ТМ (КЦ № 6)</t>
        </is>
      </c>
      <c r="K71" s="15" t="n">
        <v>2012</v>
      </c>
      <c r="L71" s="14" t="n">
        <v>36</v>
      </c>
      <c r="M71" s="3" t="n"/>
      <c r="N71" s="70" t="n"/>
    </row>
    <row r="72" ht="22.5" customHeight="1" s="151">
      <c r="A72" s="15">
        <f>IF(B72&lt;&gt;"", COUNTA($B$2:B72), "")</f>
        <v/>
      </c>
      <c r="B72" s="16" t="inlineStr">
        <is>
          <t>Термометр сопротивления</t>
        </is>
      </c>
      <c r="C72" s="17" t="inlineStr">
        <is>
          <t>ТСП 012П 100П/В/4</t>
        </is>
      </c>
      <c r="D72" s="15" t="n">
        <v>9</v>
      </c>
      <c r="E72" s="15" t="n">
        <v>2013</v>
      </c>
      <c r="F72" s="17" t="inlineStr">
        <is>
          <t>-50…200 °С</t>
        </is>
      </c>
      <c r="G72" s="17" t="inlineStr">
        <is>
          <t>B</t>
        </is>
      </c>
      <c r="H72" s="17" t="inlineStr">
        <is>
          <t>Температура поверхности электронагревателей МОД</t>
        </is>
      </c>
      <c r="I72" s="15" t="inlineStr">
        <is>
          <t>ГПА 63</t>
        </is>
      </c>
      <c r="J72" s="15" t="inlineStr">
        <is>
          <t>АСУ,А и ТМ (КЦ № 6)</t>
        </is>
      </c>
      <c r="K72" s="15" t="n">
        <v>2012</v>
      </c>
      <c r="L72" s="14" t="n">
        <v>24</v>
      </c>
      <c r="M72" s="3" t="n"/>
      <c r="N72" s="70" t="n"/>
    </row>
    <row r="73" ht="22.5" customHeight="1" s="151">
      <c r="A73" s="15">
        <f>IF(B73&lt;&gt;"", COUNTA($B$2:B73), "")</f>
        <v/>
      </c>
      <c r="B73" s="280" t="inlineStr">
        <is>
          <t>Выключатель давления</t>
        </is>
      </c>
      <c r="C73" s="10" t="inlineStr">
        <is>
          <t>Садко 44 ТЖИУ 406422.004</t>
        </is>
      </c>
      <c r="D73" s="71" t="n"/>
      <c r="E73" s="10" t="n">
        <v>2011</v>
      </c>
      <c r="F73" s="14" t="inlineStr">
        <is>
          <t>0,04…0,15 МПа</t>
        </is>
      </c>
      <c r="G73" s="10" t="n"/>
      <c r="H73" s="15" t="inlineStr">
        <is>
          <t>Перепад давления масла на фильтрах смазки после МОД</t>
        </is>
      </c>
      <c r="I73" s="15" t="inlineStr">
        <is>
          <t>ГПА 63</t>
        </is>
      </c>
      <c r="J73" s="15" t="inlineStr">
        <is>
          <t>АСУ,А и ТМ (КЦ № 6)</t>
        </is>
      </c>
      <c r="K73" s="15" t="n">
        <v>2012</v>
      </c>
      <c r="L73" s="15" t="n"/>
      <c r="M73" s="3" t="n"/>
      <c r="N73" s="70" t="n"/>
    </row>
    <row r="74" ht="22.5" customHeight="1" s="151">
      <c r="A74" s="15">
        <f>IF(B74&lt;&gt;"", COUNTA($B$2:B74), "")</f>
        <v/>
      </c>
      <c r="B74" s="280" t="inlineStr">
        <is>
          <t>Выключатель давления</t>
        </is>
      </c>
      <c r="C74" s="10" t="inlineStr">
        <is>
          <t>Садко 44 ТЖИУ 406422.004</t>
        </is>
      </c>
      <c r="D74" s="71" t="n">
        <v>124781</v>
      </c>
      <c r="E74" s="10" t="n">
        <v>2011</v>
      </c>
      <c r="F74" s="14" t="inlineStr">
        <is>
          <t>0,01…0,04 МПа</t>
        </is>
      </c>
      <c r="G74" s="10" t="n"/>
      <c r="H74" s="15" t="inlineStr">
        <is>
          <t>Перепад давления масла на фильтрах двигателя</t>
        </is>
      </c>
      <c r="I74" s="15" t="inlineStr">
        <is>
          <t>ГПА 63</t>
        </is>
      </c>
      <c r="J74" s="15" t="inlineStr">
        <is>
          <t>АСУ,А и ТМ (КЦ № 6)</t>
        </is>
      </c>
      <c r="K74" s="15" t="n">
        <v>2012</v>
      </c>
      <c r="L74" s="15" t="n"/>
      <c r="M74" s="3" t="n"/>
      <c r="N74" s="70" t="n"/>
    </row>
    <row r="75" ht="22.5" customHeight="1" s="151">
      <c r="A75" s="15">
        <f>IF(B75&lt;&gt;"", COUNTA($B$2:B75), "")</f>
        <v/>
      </c>
      <c r="B75" s="280" t="inlineStr">
        <is>
          <t>Выключатель давления</t>
        </is>
      </c>
      <c r="C75" s="10" t="inlineStr">
        <is>
          <t>Садко 107 ТЖИУ.406423.004</t>
        </is>
      </c>
      <c r="D75" s="71" t="n">
        <v>125027</v>
      </c>
      <c r="E75" s="10" t="n">
        <v>2011</v>
      </c>
      <c r="F75" s="14" t="inlineStr">
        <is>
          <t>0,09…0,5 МПа</t>
        </is>
      </c>
      <c r="G75" s="10" t="n"/>
      <c r="H75" s="15" t="inlineStr">
        <is>
          <t>Давление масла на входе в фильтр  маслобака</t>
        </is>
      </c>
      <c r="I75" s="15" t="inlineStr">
        <is>
          <t>ГПА 63</t>
        </is>
      </c>
      <c r="J75" s="15" t="inlineStr">
        <is>
          <t>АСУ,А и ТМ (КЦ № 6)</t>
        </is>
      </c>
      <c r="K75" s="15" t="n">
        <v>2012</v>
      </c>
      <c r="L75" s="15" t="n"/>
      <c r="M75" s="3" t="n"/>
      <c r="N75" s="70" t="n"/>
    </row>
    <row r="76" ht="22.5" customHeight="1" s="151">
      <c r="A76" s="15">
        <f>IF(B76&lt;&gt;"", COUNTA($B$2:B76), "")</f>
        <v/>
      </c>
      <c r="B76" s="280" t="inlineStr">
        <is>
          <t>Выключатель давления</t>
        </is>
      </c>
      <c r="C76" s="10" t="inlineStr">
        <is>
          <t>Садко 44 ТЖИУ 406422.004</t>
        </is>
      </c>
      <c r="D76" s="14" t="inlineStr">
        <is>
          <t>отсутствует шильда</t>
        </is>
      </c>
      <c r="E76" s="10" t="n">
        <v>2011</v>
      </c>
      <c r="F76" s="14" t="inlineStr">
        <is>
          <t>0,04…0,15 МПа</t>
        </is>
      </c>
      <c r="G76" s="10" t="n"/>
      <c r="H76" s="15" t="inlineStr">
        <is>
          <t>Перепад давления запирающего воздуха на фильтре</t>
        </is>
      </c>
      <c r="I76" s="15" t="inlineStr">
        <is>
          <t>ГПА 63</t>
        </is>
      </c>
      <c r="J76" s="15" t="inlineStr">
        <is>
          <t>АСУ,А и ТМ (КЦ № 6)</t>
        </is>
      </c>
      <c r="K76" s="15" t="n">
        <v>2012</v>
      </c>
      <c r="L76" s="15" t="n"/>
      <c r="M76" s="3" t="n"/>
      <c r="N76" s="70" t="n"/>
    </row>
    <row r="77">
      <c r="A77" s="15">
        <f>IF(B77&lt;&gt;"", COUNTA($B$2:B77), "")</f>
        <v/>
      </c>
      <c r="B77" s="280" t="inlineStr">
        <is>
          <t>Выключатель давления</t>
        </is>
      </c>
      <c r="C77" s="10" t="inlineStr">
        <is>
          <t>Садко 107 ТЖИУ.406423.004</t>
        </is>
      </c>
      <c r="D77" s="71" t="n">
        <v>122939</v>
      </c>
      <c r="E77" s="10" t="n">
        <v>2011</v>
      </c>
      <c r="F77" s="14" t="inlineStr">
        <is>
          <t>3…6 МПа</t>
        </is>
      </c>
      <c r="G77" s="10" t="n"/>
      <c r="H77" s="15" t="inlineStr">
        <is>
          <t>Сигнализатор обрыва металлорукава</t>
        </is>
      </c>
      <c r="I77" s="15" t="inlineStr">
        <is>
          <t>ГПА 63</t>
        </is>
      </c>
      <c r="J77" s="15" t="inlineStr">
        <is>
          <t>АСУ,А и ТМ (КЦ № 6)</t>
        </is>
      </c>
      <c r="K77" s="15" t="n">
        <v>2012</v>
      </c>
      <c r="L77" s="15" t="n"/>
      <c r="M77" s="3" t="n"/>
      <c r="N77" s="70" t="n"/>
    </row>
    <row r="78" ht="33.75" customHeight="1" s="151">
      <c r="A78" s="15">
        <f>IF(B78&lt;&gt;"", COUNTA($B$2:B78), "")</f>
        <v/>
      </c>
      <c r="B78" s="16" t="inlineStr">
        <is>
          <t>Термометр сопротивления</t>
        </is>
      </c>
      <c r="C78" s="17" t="inlineStr">
        <is>
          <t>ТСП 012.60 Pt100/В/3</t>
        </is>
      </c>
      <c r="D78" s="3" t="inlineStr">
        <is>
          <t>318</t>
        </is>
      </c>
      <c r="E78" s="15" t="n">
        <v>2011</v>
      </c>
      <c r="F78" s="17" t="inlineStr">
        <is>
          <t>-60…200 °С</t>
        </is>
      </c>
      <c r="G78" s="17" t="inlineStr">
        <is>
          <t>B</t>
        </is>
      </c>
      <c r="H78" s="3" t="inlineStr">
        <is>
          <t>Температура защитного воздуха на выходе оболочки опорно-упорного подшипника (задний)</t>
        </is>
      </c>
      <c r="I78" s="15" t="inlineStr">
        <is>
          <t>ГПА 63</t>
        </is>
      </c>
      <c r="J78" s="15" t="inlineStr">
        <is>
          <t>АСУ,А и ТМ (КЦ № 6)</t>
        </is>
      </c>
      <c r="K78" s="15" t="n">
        <v>2012</v>
      </c>
      <c r="L78" s="14" t="n">
        <v>36</v>
      </c>
      <c r="M78" s="3" t="n"/>
      <c r="N78" s="70" t="n"/>
    </row>
    <row r="79">
      <c r="A79" s="15">
        <f>IF(B79&lt;&gt;"", COUNTA($B$2:B79), "")</f>
        <v/>
      </c>
      <c r="B79" s="3" t="inlineStr">
        <is>
          <t xml:space="preserve">Расходомер                 </t>
        </is>
      </c>
      <c r="C79" s="15" t="inlineStr">
        <is>
          <t xml:space="preserve">СУРГ 1.000 </t>
        </is>
      </c>
      <c r="D79" s="15" t="inlineStr">
        <is>
          <t>01.1363</t>
        </is>
      </c>
      <c r="E79" s="15" t="n">
        <v>2011</v>
      </c>
      <c r="F79" s="14" t="inlineStr">
        <is>
          <t xml:space="preserve">0…100000 кг/час </t>
        </is>
      </c>
      <c r="G79" s="18" t="n">
        <v>0.03</v>
      </c>
      <c r="H79" s="15" t="inlineStr">
        <is>
          <t xml:space="preserve"> (Наддув) под кожухом двигателя</t>
        </is>
      </c>
      <c r="I79" s="15" t="inlineStr">
        <is>
          <t>ГПА 63</t>
        </is>
      </c>
      <c r="J79" s="15" t="inlineStr">
        <is>
          <t>АСУ,А и ТМ (КЦ № 6)</t>
        </is>
      </c>
      <c r="K79" s="15" t="n">
        <v>2012</v>
      </c>
      <c r="L79" s="14" t="n">
        <v>36</v>
      </c>
      <c r="M79" s="3" t="n"/>
      <c r="N79" s="70" t="n"/>
    </row>
    <row r="80" ht="22.5" customHeight="1" s="151">
      <c r="A80" s="15">
        <f>IF(B80&lt;&gt;"", COUNTA($B$2:B80), "")</f>
        <v/>
      </c>
      <c r="B80" s="73" t="inlineStr">
        <is>
          <t>Преобразователь избыточного давления</t>
        </is>
      </c>
      <c r="C80" s="15" t="inlineStr">
        <is>
          <t>Метран 150 TG2</t>
        </is>
      </c>
      <c r="D80" s="15" t="n">
        <v>1158870</v>
      </c>
      <c r="E80" s="15" t="n">
        <v>2011</v>
      </c>
      <c r="F80" s="14" t="inlineStr">
        <is>
          <t xml:space="preserve">0…600 кПa </t>
        </is>
      </c>
      <c r="G80" s="20" t="n">
        <v>0.002</v>
      </c>
      <c r="H80" s="15" t="inlineStr">
        <is>
          <t>Давление газа на выходе 1-ой ступени ТУ ПКВ</t>
        </is>
      </c>
      <c r="I80" s="15" t="inlineStr">
        <is>
          <t>ГПА 63</t>
        </is>
      </c>
      <c r="J80" s="15" t="inlineStr">
        <is>
          <t>АСУ,А и ТМ (КЦ № 6)</t>
        </is>
      </c>
      <c r="K80" s="15" t="n">
        <v>2012</v>
      </c>
      <c r="L80" s="14" t="n">
        <v>48</v>
      </c>
      <c r="M80" s="3" t="n"/>
      <c r="N80" s="70" t="n"/>
    </row>
    <row r="81" ht="22.5" customHeight="1" s="151">
      <c r="A81" s="15">
        <f>IF(B81&lt;&gt;"", COUNTA($B$2:B81), "")</f>
        <v/>
      </c>
      <c r="B81" s="73" t="inlineStr">
        <is>
          <t>Преобразователь избыточного давления</t>
        </is>
      </c>
      <c r="C81" s="15" t="inlineStr">
        <is>
          <t>Метран 150 TG2</t>
        </is>
      </c>
      <c r="D81" s="15" t="n">
        <v>1046019</v>
      </c>
      <c r="E81" s="15" t="n">
        <v>2011</v>
      </c>
      <c r="F81" s="14" t="inlineStr">
        <is>
          <t xml:space="preserve">0…600 кПa </t>
        </is>
      </c>
      <c r="G81" s="20" t="n">
        <v>0.002</v>
      </c>
      <c r="H81" s="15" t="inlineStr">
        <is>
          <t>Давление газа на выходе 1-ой ступени ТУ ЗКВ</t>
        </is>
      </c>
      <c r="I81" s="15" t="inlineStr">
        <is>
          <t>ГПА 63</t>
        </is>
      </c>
      <c r="J81" s="15" t="inlineStr">
        <is>
          <t>АСУ,А и ТМ (КЦ № 6)</t>
        </is>
      </c>
      <c r="K81" s="15" t="n">
        <v>2012</v>
      </c>
      <c r="L81" s="14" t="n">
        <v>48</v>
      </c>
      <c r="M81" s="3" t="n"/>
      <c r="N81" s="70" t="n"/>
    </row>
    <row r="82" ht="22.5" customHeight="1" s="151">
      <c r="A82" s="15">
        <f>IF(B82&lt;&gt;"", COUNTA($B$2:B82), "")</f>
        <v/>
      </c>
      <c r="B82" s="73" t="inlineStr">
        <is>
          <t>Преобразователь избыточного давления</t>
        </is>
      </c>
      <c r="C82" s="14" t="inlineStr">
        <is>
          <t>Метран 150 TG4</t>
        </is>
      </c>
      <c r="D82" s="14" t="n">
        <v>6112275</v>
      </c>
      <c r="E82" s="14" t="n">
        <v>2019</v>
      </c>
      <c r="F82" s="14" t="inlineStr">
        <is>
          <t>0…16 МПа</t>
        </is>
      </c>
      <c r="G82" s="17" t="inlineStr">
        <is>
          <t>0,075%</t>
        </is>
      </c>
      <c r="H82" s="14" t="inlineStr">
        <is>
          <t>Давление газа на выходе бустерной компрессорной установки</t>
        </is>
      </c>
      <c r="I82" s="15" t="inlineStr">
        <is>
          <t>ГПА 63</t>
        </is>
      </c>
      <c r="J82" s="15" t="inlineStr">
        <is>
          <t>АСУ,А и ТМ (КЦ № 6)</t>
        </is>
      </c>
      <c r="K82" s="15" t="n">
        <v>2019</v>
      </c>
      <c r="L82" s="14" t="n"/>
      <c r="M82" s="3" t="n"/>
      <c r="N82" s="70" t="n"/>
    </row>
    <row r="83" ht="22.5" customHeight="1" s="151">
      <c r="A83" s="15">
        <f>IF(B83&lt;&gt;"", COUNTA($B$2:B83), "")</f>
        <v/>
      </c>
      <c r="B83" s="73" t="inlineStr">
        <is>
          <t>Преобразователь избыточного давления</t>
        </is>
      </c>
      <c r="C83" s="14" t="inlineStr">
        <is>
          <t>Метран 150 CD4</t>
        </is>
      </c>
      <c r="D83" s="14" t="n">
        <v>6112271</v>
      </c>
      <c r="E83" s="14" t="n">
        <v>2019</v>
      </c>
      <c r="F83" s="14" t="inlineStr">
        <is>
          <t>0…500 кПа</t>
        </is>
      </c>
      <c r="G83" s="17" t="inlineStr">
        <is>
          <t>0,075%</t>
        </is>
      </c>
      <c r="H83" s="14" t="inlineStr">
        <is>
          <t>Перепад давления газа на фильтре бустерной компрессорной установки</t>
        </is>
      </c>
      <c r="I83" s="15" t="inlineStr">
        <is>
          <t>ГПА 63</t>
        </is>
      </c>
      <c r="J83" s="15" t="inlineStr">
        <is>
          <t>АСУ,А и ТМ (КЦ № 6)</t>
        </is>
      </c>
      <c r="K83" s="15" t="n">
        <v>2019</v>
      </c>
      <c r="L83" s="14" t="n"/>
      <c r="M83" s="3" t="n"/>
      <c r="N83" s="70" t="n"/>
    </row>
    <row r="84" ht="22.5" customHeight="1" s="151">
      <c r="A84" s="15">
        <f>IF(B84&lt;&gt;"", COUNTA($B$2:B84), "")</f>
        <v/>
      </c>
      <c r="B84" s="73" t="inlineStr">
        <is>
          <t>Преобразователь избыточного давления</t>
        </is>
      </c>
      <c r="C84" s="15" t="inlineStr">
        <is>
          <t>Метран 150 CD2</t>
        </is>
      </c>
      <c r="D84" s="15" t="n">
        <v>1372837</v>
      </c>
      <c r="E84" s="15" t="n">
        <v>2011</v>
      </c>
      <c r="F84" s="14" t="inlineStr">
        <is>
          <t>0…25 кПa</t>
        </is>
      </c>
      <c r="G84" s="282" t="n">
        <v>0.00075</v>
      </c>
      <c r="H84" s="15" t="inlineStr">
        <is>
          <t>Перепад давления газ-газ</t>
        </is>
      </c>
      <c r="I84" s="15" t="inlineStr">
        <is>
          <t>ГПА 63</t>
        </is>
      </c>
      <c r="J84" s="15" t="inlineStr">
        <is>
          <t>АСУ,А и ТМ (КЦ № 6)</t>
        </is>
      </c>
      <c r="K84" s="15" t="n">
        <v>2012</v>
      </c>
      <c r="L84" s="14" t="n">
        <v>60</v>
      </c>
      <c r="M84" s="3" t="n"/>
      <c r="N84" s="70" t="n"/>
    </row>
    <row r="85" ht="22.5" customHeight="1" s="151">
      <c r="A85" s="15">
        <f>IF(B85&lt;&gt;"", COUNTA($B$2:B85), "")</f>
        <v/>
      </c>
      <c r="B85" s="73" t="inlineStr">
        <is>
          <t>Преобразователь избыточного давления</t>
        </is>
      </c>
      <c r="C85" s="15" t="inlineStr">
        <is>
          <t>Метран 150 CD3</t>
        </is>
      </c>
      <c r="D85" s="15" t="n">
        <v>1011863</v>
      </c>
      <c r="E85" s="15" t="n">
        <v>2011</v>
      </c>
      <c r="F85" s="14" t="inlineStr">
        <is>
          <t>0…250 кПа</t>
        </is>
      </c>
      <c r="G85" s="20" t="n">
        <v>0.002</v>
      </c>
      <c r="H85" s="15" t="inlineStr">
        <is>
          <t>Перепад давления газа на фильтрах панели ТГДУ</t>
        </is>
      </c>
      <c r="I85" s="15" t="inlineStr">
        <is>
          <t>ГПА 63</t>
        </is>
      </c>
      <c r="J85" s="15" t="inlineStr">
        <is>
          <t>АСУ,А и ТМ (КЦ № 6)</t>
        </is>
      </c>
      <c r="K85" s="15" t="n">
        <v>2012</v>
      </c>
      <c r="L85" s="14" t="n">
        <v>48</v>
      </c>
      <c r="M85" s="3" t="n"/>
      <c r="N85" s="70" t="n"/>
    </row>
    <row r="86" ht="22.5" customHeight="1" s="151">
      <c r="A86" s="15">
        <f>IF(B86&lt;&gt;"", COUNTA($B$2:B86), "")</f>
        <v/>
      </c>
      <c r="B86" s="73" t="inlineStr">
        <is>
          <t>Преобразователь избыточного давления</t>
        </is>
      </c>
      <c r="C86" s="15" t="inlineStr">
        <is>
          <t>Honeywell STD-924</t>
        </is>
      </c>
      <c r="D86" s="15" t="inlineStr">
        <is>
          <t>11W17C3313690001025</t>
        </is>
      </c>
      <c r="E86" s="15" t="n">
        <v>2011</v>
      </c>
      <c r="F86" s="14" t="inlineStr">
        <is>
          <t>0…0,63 кПа</t>
        </is>
      </c>
      <c r="G86" s="282" t="n">
        <v>0.00075</v>
      </c>
      <c r="H86" s="15" t="inlineStr">
        <is>
          <t>Перепад давления воздуха на мультициклонных блоках (фильтрах)</t>
        </is>
      </c>
      <c r="I86" s="15" t="inlineStr">
        <is>
          <t>ГПА 63</t>
        </is>
      </c>
      <c r="J86" s="15" t="inlineStr">
        <is>
          <t>АСУ,А и ТМ (КЦ № 6)</t>
        </is>
      </c>
      <c r="K86" s="15" t="n">
        <v>2012</v>
      </c>
      <c r="L86" s="14" t="n">
        <v>36</v>
      </c>
      <c r="M86" s="3" t="n"/>
      <c r="N86" s="70" t="n"/>
    </row>
    <row r="87" ht="22.5" customHeight="1" s="151">
      <c r="A87" s="15">
        <f>IF(B87&lt;&gt;"", COUNTA($B$2:B87), "")</f>
        <v/>
      </c>
      <c r="B87" s="73" t="inlineStr">
        <is>
          <t>Преобразователь избыточного давления</t>
        </is>
      </c>
      <c r="C87" s="15" t="inlineStr">
        <is>
          <t xml:space="preserve">Метран 150 CD1 </t>
        </is>
      </c>
      <c r="D87" s="15" t="n">
        <v>1372834</v>
      </c>
      <c r="E87" s="15" t="n">
        <v>2011</v>
      </c>
      <c r="F87" s="14" t="inlineStr">
        <is>
          <t>0…1,6 кПа</t>
        </is>
      </c>
      <c r="G87" s="20" t="n">
        <v>0.001</v>
      </c>
      <c r="H87" s="15" t="inlineStr">
        <is>
          <t>Перепад давления воздуха на кассетных фильтрах</t>
        </is>
      </c>
      <c r="I87" s="15" t="inlineStr">
        <is>
          <t>ГПА 63</t>
        </is>
      </c>
      <c r="J87" s="15" t="inlineStr">
        <is>
          <t>АСУ,А и ТМ (КЦ № 6)</t>
        </is>
      </c>
      <c r="K87" s="15" t="n">
        <v>2012</v>
      </c>
      <c r="L87" s="14" t="n">
        <v>60</v>
      </c>
      <c r="M87" s="3" t="n"/>
      <c r="N87" s="70" t="n"/>
    </row>
    <row r="88" ht="22.5" customHeight="1" s="151">
      <c r="A88" s="15">
        <f>IF(B88&lt;&gt;"", COUNTA($B$2:B88), "")</f>
        <v/>
      </c>
      <c r="B88" s="73" t="inlineStr">
        <is>
          <t>Преобразователь избыточного давления</t>
        </is>
      </c>
      <c r="C88" s="14" t="inlineStr">
        <is>
          <t>YOKOGAVA EJX530А-EDS9N-019DL/KF21/QR</t>
        </is>
      </c>
      <c r="D88" s="15" t="inlineStr">
        <is>
          <t>91M439735.217</t>
        </is>
      </c>
      <c r="E88" s="14" t="n">
        <v>2012</v>
      </c>
      <c r="F88" s="14" t="inlineStr">
        <is>
          <t>0…16 МПа</t>
        </is>
      </c>
      <c r="G88" s="20" t="n">
        <v>0.001</v>
      </c>
      <c r="H88" s="15" t="inlineStr">
        <is>
          <t>Давление газа на выходе АВО (после крана №2)</t>
        </is>
      </c>
      <c r="I88" s="15" t="inlineStr">
        <is>
          <t>ГПА 63</t>
        </is>
      </c>
      <c r="J88" s="15" t="inlineStr">
        <is>
          <t>АСУ,А и ТМ (КЦ № 6)</t>
        </is>
      </c>
      <c r="K88" s="15" t="n">
        <v>2012</v>
      </c>
      <c r="L88" s="14" t="n">
        <v>60</v>
      </c>
      <c r="M88" s="3" t="n"/>
      <c r="N88" s="70" t="n"/>
    </row>
    <row r="89" ht="22.5" customHeight="1" s="151">
      <c r="A89" s="15">
        <f>IF(B89&lt;&gt;"", COUNTA($B$2:B89), "")</f>
        <v/>
      </c>
      <c r="B89" s="73" t="inlineStr">
        <is>
          <t>Преобразователь избыточного давления</t>
        </is>
      </c>
      <c r="C89" s="14" t="inlineStr">
        <is>
          <t>YOKOGAVA EJX110А-EНS5J-B19DM/KF21/QR</t>
        </is>
      </c>
      <c r="D89" s="15" t="inlineStr">
        <is>
          <t>91M439694.217</t>
        </is>
      </c>
      <c r="E89" s="14" t="n">
        <v>2012</v>
      </c>
      <c r="F89" s="14" t="inlineStr">
        <is>
          <t>0…0,16 МПа</t>
        </is>
      </c>
      <c r="G89" s="20" t="n">
        <v>0.0004</v>
      </c>
      <c r="H89" s="15" t="inlineStr">
        <is>
          <t>Перепад давлений газа на сетке перед компрессором (защитная решетка)</t>
        </is>
      </c>
      <c r="I89" s="15" t="inlineStr">
        <is>
          <t>ГПА 63</t>
        </is>
      </c>
      <c r="J89" s="15" t="inlineStr">
        <is>
          <t>АСУ,А и ТМ (КЦ № 6)</t>
        </is>
      </c>
      <c r="K89" s="15" t="n">
        <v>2012</v>
      </c>
      <c r="L89" s="14" t="n">
        <v>60</v>
      </c>
      <c r="M89" s="3" t="n"/>
      <c r="N89" s="70" t="n"/>
    </row>
    <row r="90" ht="22.5" customHeight="1" s="151">
      <c r="A90" s="15">
        <f>IF(B90&lt;&gt;"", COUNTA($B$2:B90), "")</f>
        <v/>
      </c>
      <c r="B90" s="73" t="inlineStr">
        <is>
          <t>Преобразователь избыточного давления</t>
        </is>
      </c>
      <c r="C90" s="14" t="inlineStr">
        <is>
          <t>YOKOGAVA EJX110А-EНS5J-B19DM/KF21/QR</t>
        </is>
      </c>
      <c r="D90" s="15" t="inlineStr">
        <is>
          <t>91M439687.217</t>
        </is>
      </c>
      <c r="E90" s="14" t="n">
        <v>2012</v>
      </c>
      <c r="F90" s="14" t="inlineStr">
        <is>
          <t>0…400 кПа</t>
        </is>
      </c>
      <c r="G90" s="20" t="n">
        <v>0.0004</v>
      </c>
      <c r="H90" s="15" t="inlineStr">
        <is>
          <t>Перепад давления газа на кране №1</t>
        </is>
      </c>
      <c r="I90" s="15" t="inlineStr">
        <is>
          <t>ГПА 63</t>
        </is>
      </c>
      <c r="J90" s="15" t="inlineStr">
        <is>
          <t>АСУ,А и ТМ (КЦ № 6)</t>
        </is>
      </c>
      <c r="K90" s="15" t="n">
        <v>2012</v>
      </c>
      <c r="L90" s="14" t="n">
        <v>60</v>
      </c>
      <c r="M90" s="3" t="n"/>
      <c r="N90" s="70" t="n"/>
    </row>
    <row r="91" ht="22.5" customHeight="1" s="151">
      <c r="A91" s="15">
        <f>IF(B91&lt;&gt;"", COUNTA($B$2:B91), "")</f>
        <v/>
      </c>
      <c r="B91" s="73" t="inlineStr">
        <is>
          <t>Преобразователь избыточного давления</t>
        </is>
      </c>
      <c r="C91" s="15" t="inlineStr">
        <is>
          <t>Honeywell STG-97L</t>
        </is>
      </c>
      <c r="D91" s="15" t="inlineStr">
        <is>
          <t>11W03 C3287149003049</t>
        </is>
      </c>
      <c r="E91" s="14" t="n">
        <v>2010</v>
      </c>
      <c r="F91" s="14" t="inlineStr">
        <is>
          <t>0…4 МПа</t>
        </is>
      </c>
      <c r="G91" s="14" t="n">
        <v>0.075</v>
      </c>
      <c r="H91" s="15" t="inlineStr">
        <is>
          <t>Давление воздуха за КВД</t>
        </is>
      </c>
      <c r="I91" s="15" t="inlineStr">
        <is>
          <t>ГПА 63</t>
        </is>
      </c>
      <c r="J91" s="15" t="inlineStr">
        <is>
          <t>АСУ,А и ТМ (КЦ № 6)</t>
        </is>
      </c>
      <c r="K91" s="15" t="n">
        <v>2012</v>
      </c>
      <c r="L91" s="14" t="n">
        <v>36</v>
      </c>
      <c r="M91" s="3" t="n"/>
      <c r="N91" s="70" t="n"/>
    </row>
    <row r="92" ht="22.5" customHeight="1" s="151">
      <c r="A92" s="15">
        <f>IF(B92&lt;&gt;"", COUNTA($B$2:B92), "")</f>
        <v/>
      </c>
      <c r="B92" s="73" t="inlineStr">
        <is>
          <t>Преобразователь избыточного давления</t>
        </is>
      </c>
      <c r="C92" s="15" t="inlineStr">
        <is>
          <t>Honeywell STG-97L</t>
        </is>
      </c>
      <c r="D92" s="15" t="inlineStr">
        <is>
          <t>11W03 C3287149003028</t>
        </is>
      </c>
      <c r="E92" s="15" t="n">
        <v>2011</v>
      </c>
      <c r="F92" s="14" t="inlineStr">
        <is>
          <t>0…10 МПа</t>
        </is>
      </c>
      <c r="G92" s="14" t="n">
        <v>0.075</v>
      </c>
      <c r="H92" s="15" t="inlineStr">
        <is>
          <t>Давление газа на входе компрессора</t>
        </is>
      </c>
      <c r="I92" s="15" t="inlineStr">
        <is>
          <t>ГПА 63</t>
        </is>
      </c>
      <c r="J92" s="15" t="inlineStr">
        <is>
          <t>АСУ,А и ТМ (КЦ № 6)</t>
        </is>
      </c>
      <c r="K92" s="15" t="n">
        <v>2012</v>
      </c>
      <c r="L92" s="14" t="n">
        <v>36</v>
      </c>
      <c r="M92" s="3" t="n"/>
      <c r="N92" s="70" t="n"/>
    </row>
    <row r="93" ht="22.5" customHeight="1" s="151">
      <c r="A93" s="15">
        <f>IF(B93&lt;&gt;"", COUNTA($B$2:B93), "")</f>
        <v/>
      </c>
      <c r="B93" s="73" t="inlineStr">
        <is>
          <t>Преобразователь избыточного давления</t>
        </is>
      </c>
      <c r="C93" s="15" t="inlineStr">
        <is>
          <t>Honeywell STG-97L</t>
        </is>
      </c>
      <c r="D93" s="15" t="inlineStr">
        <is>
          <t>10W20 C3296732009001</t>
        </is>
      </c>
      <c r="E93" s="15" t="n">
        <v>2011</v>
      </c>
      <c r="F93" s="14" t="inlineStr">
        <is>
          <t>0…16 МПа</t>
        </is>
      </c>
      <c r="G93" s="14" t="n">
        <v>0.075</v>
      </c>
      <c r="H93" s="15" t="inlineStr">
        <is>
          <t>Давление газа на выходе компрессора</t>
        </is>
      </c>
      <c r="I93" s="15" t="inlineStr">
        <is>
          <t>ГПА 63</t>
        </is>
      </c>
      <c r="J93" s="15" t="inlineStr">
        <is>
          <t>АСУ,А и ТМ (КЦ № 6)</t>
        </is>
      </c>
      <c r="K93" s="15" t="n">
        <v>2012</v>
      </c>
      <c r="L93" s="14" t="n">
        <v>36</v>
      </c>
      <c r="M93" s="3" t="n"/>
      <c r="N93" s="70" t="n"/>
    </row>
    <row r="94" ht="22.5" customHeight="1" s="151">
      <c r="A94" s="15">
        <f>IF(B94&lt;&gt;"", COUNTA($B$2:B94), "")</f>
        <v/>
      </c>
      <c r="B94" s="73" t="inlineStr">
        <is>
          <t>Преобразователь избыточного давления</t>
        </is>
      </c>
      <c r="C94" s="15" t="inlineStr">
        <is>
          <t>Honeywell STG-97L</t>
        </is>
      </c>
      <c r="D94" s="15" t="inlineStr">
        <is>
          <t>11W44С3279987003067</t>
        </is>
      </c>
      <c r="E94" s="14" t="n">
        <v>2010</v>
      </c>
      <c r="F94" s="3" t="inlineStr">
        <is>
          <t>0…10 МПа</t>
        </is>
      </c>
      <c r="G94" s="14" t="n">
        <v>0.075</v>
      </c>
      <c r="H94" s="15" t="inlineStr">
        <is>
          <t>Давление топливного газа после отсечного клапана</t>
        </is>
      </c>
      <c r="I94" s="15" t="inlineStr">
        <is>
          <t>ГПА 63</t>
        </is>
      </c>
      <c r="J94" s="15" t="inlineStr">
        <is>
          <t>АСУ,А и ТМ (КЦ № 6)</t>
        </is>
      </c>
      <c r="K94" s="15" t="n">
        <v>2012</v>
      </c>
      <c r="L94" s="14" t="n">
        <v>36</v>
      </c>
      <c r="M94" s="3" t="n"/>
      <c r="N94" s="70" t="n"/>
    </row>
    <row r="95" ht="22.5" customHeight="1" s="151">
      <c r="A95" s="15">
        <f>IF(B95&lt;&gt;"", COUNTA($B$2:B95), "")</f>
        <v/>
      </c>
      <c r="B95" s="73" t="inlineStr">
        <is>
          <t>Преобразователь избыточного давления</t>
        </is>
      </c>
      <c r="C95" s="15" t="inlineStr">
        <is>
          <t>Honeywell STG-97L</t>
        </is>
      </c>
      <c r="D95" s="15" t="inlineStr">
        <is>
          <t>11W18 C3313690003014</t>
        </is>
      </c>
      <c r="E95" s="15" t="n">
        <v>2011</v>
      </c>
      <c r="F95" s="3" t="inlineStr">
        <is>
          <t>0…10 МПа</t>
        </is>
      </c>
      <c r="G95" s="14" t="n">
        <v>0.075</v>
      </c>
      <c r="H95" s="15" t="inlineStr">
        <is>
          <t>Давление топливного газа перед расходомерным устройством</t>
        </is>
      </c>
      <c r="I95" s="15" t="inlineStr">
        <is>
          <t>ГПА 63</t>
        </is>
      </c>
      <c r="J95" s="15" t="inlineStr">
        <is>
          <t>АСУ,А и ТМ (КЦ № 6)</t>
        </is>
      </c>
      <c r="K95" s="15" t="n">
        <v>2012</v>
      </c>
      <c r="L95" s="14" t="n">
        <v>36</v>
      </c>
      <c r="M95" s="3" t="n"/>
      <c r="N95" s="70" t="n"/>
    </row>
    <row r="96" ht="33.75" customHeight="1" s="151">
      <c r="A96" s="15">
        <f>IF(B96&lt;&gt;"", COUNTA($B$2:B96), "")</f>
        <v/>
      </c>
      <c r="B96" s="73" t="inlineStr">
        <is>
          <t>Преобразователь избыточного давления</t>
        </is>
      </c>
      <c r="C96" s="15" t="inlineStr">
        <is>
          <t>Honeywell STG-97L</t>
        </is>
      </c>
      <c r="D96" s="15" t="inlineStr">
        <is>
          <t>10W03С3287149003029</t>
        </is>
      </c>
      <c r="E96" s="15" t="n">
        <v>2011</v>
      </c>
      <c r="F96" s="3" t="inlineStr">
        <is>
          <t>0…10 МПа</t>
        </is>
      </c>
      <c r="G96" s="14" t="n">
        <v>0.075</v>
      </c>
      <c r="H96" s="15" t="inlineStr">
        <is>
          <t>Давление топливного газа перед форсунками камеры сгорания (после СК)</t>
        </is>
      </c>
      <c r="I96" s="15" t="inlineStr">
        <is>
          <t>ГПА 63</t>
        </is>
      </c>
      <c r="J96" s="15" t="inlineStr">
        <is>
          <t>АСУ,А и ТМ (КЦ № 6)</t>
        </is>
      </c>
      <c r="K96" s="15" t="n">
        <v>2012</v>
      </c>
      <c r="L96" s="14" t="n">
        <v>36</v>
      </c>
      <c r="M96" s="3" t="n"/>
      <c r="N96" s="70" t="n"/>
    </row>
    <row r="97" ht="22.5" customHeight="1" s="151">
      <c r="A97" s="15">
        <f>IF(B97&lt;&gt;"", COUNTA($B$2:B97), "")</f>
        <v/>
      </c>
      <c r="B97" s="73" t="inlineStr">
        <is>
          <t>Преобразователь избыточного давления</t>
        </is>
      </c>
      <c r="C97" s="15" t="inlineStr">
        <is>
          <t>Honeywell STG-97L</t>
        </is>
      </c>
      <c r="D97" s="15" t="inlineStr">
        <is>
          <t>11W03 C3287149003070</t>
        </is>
      </c>
      <c r="E97" s="14" t="n">
        <v>2010</v>
      </c>
      <c r="F97" s="3" t="inlineStr">
        <is>
          <t>0…2 МПа</t>
        </is>
      </c>
      <c r="G97" s="14" t="n">
        <v>0.075</v>
      </c>
      <c r="H97" s="15" t="inlineStr">
        <is>
          <t>Давление воздуха в разгрузочной полости</t>
        </is>
      </c>
      <c r="I97" s="15" t="inlineStr">
        <is>
          <t>ГПА 63</t>
        </is>
      </c>
      <c r="J97" s="15" t="inlineStr">
        <is>
          <t>АСУ,А и ТМ (КЦ № 6)</t>
        </is>
      </c>
      <c r="K97" s="15" t="n">
        <v>2012</v>
      </c>
      <c r="L97" s="14" t="n">
        <v>36</v>
      </c>
      <c r="M97" s="3" t="n"/>
      <c r="N97" s="70" t="n"/>
    </row>
    <row r="98" ht="22.5" customHeight="1" s="151">
      <c r="A98" s="15">
        <f>IF(B98&lt;&gt;"", COUNTA($B$2:B98), "")</f>
        <v/>
      </c>
      <c r="B98" s="73" t="inlineStr">
        <is>
          <t>Преобразователь избыточного давления</t>
        </is>
      </c>
      <c r="C98" s="15" t="inlineStr">
        <is>
          <t>Honeywell STG-94L</t>
        </is>
      </c>
      <c r="D98" s="15" t="inlineStr">
        <is>
          <t>11W18 C3313690002033</t>
        </is>
      </c>
      <c r="E98" s="15" t="n">
        <v>2011</v>
      </c>
      <c r="F98" s="14" t="inlineStr">
        <is>
          <t>0…0,63 МПа</t>
        </is>
      </c>
      <c r="G98" s="14" t="n">
        <v>0.075</v>
      </c>
      <c r="H98" s="15" t="inlineStr">
        <is>
          <t>Давление масла на выходе из двигателя</t>
        </is>
      </c>
      <c r="I98" s="15" t="inlineStr">
        <is>
          <t>ГПА 63</t>
        </is>
      </c>
      <c r="J98" s="15" t="inlineStr">
        <is>
          <t>АСУ,А и ТМ (КЦ № 6)</t>
        </is>
      </c>
      <c r="K98" s="15" t="n">
        <v>2012</v>
      </c>
      <c r="L98" s="14" t="n">
        <v>36</v>
      </c>
      <c r="M98" s="3" t="n"/>
      <c r="N98" s="70" t="n"/>
    </row>
    <row r="99" ht="22.5" customHeight="1" s="151">
      <c r="A99" s="15">
        <f>IF(B99&lt;&gt;"", COUNTA($B$2:B99), "")</f>
        <v/>
      </c>
      <c r="B99" s="73" t="inlineStr">
        <is>
          <t>Преобразователь избыточного давления</t>
        </is>
      </c>
      <c r="C99" s="15" t="inlineStr">
        <is>
          <t>Honeywell STG-94L</t>
        </is>
      </c>
      <c r="D99" s="15" t="inlineStr">
        <is>
          <t>11W13 C3303059004024</t>
        </is>
      </c>
      <c r="E99" s="15" t="n">
        <v>2011</v>
      </c>
      <c r="F99" s="14" t="inlineStr">
        <is>
          <t>0…0,63 МПа</t>
        </is>
      </c>
      <c r="G99" s="14" t="n">
        <v>0.075</v>
      </c>
      <c r="H99" s="15" t="inlineStr">
        <is>
          <t>Давление масла на входе двигателя</t>
        </is>
      </c>
      <c r="I99" s="15" t="inlineStr">
        <is>
          <t>ГПА 63</t>
        </is>
      </c>
      <c r="J99" s="15" t="inlineStr">
        <is>
          <t>АСУ,А и ТМ (КЦ № 6)</t>
        </is>
      </c>
      <c r="K99" s="15" t="n">
        <v>2012</v>
      </c>
      <c r="L99" s="14" t="n">
        <v>36</v>
      </c>
      <c r="M99" s="3" t="n"/>
      <c r="N99" s="70" t="n"/>
    </row>
    <row r="100" ht="22.5" customHeight="1" s="151">
      <c r="A100" s="15">
        <f>IF(B100&lt;&gt;"", COUNTA($B$2:B100), "")</f>
        <v/>
      </c>
      <c r="B100" s="73" t="inlineStr">
        <is>
          <t>Преобразователь избыточного давления</t>
        </is>
      </c>
      <c r="C100" s="15" t="inlineStr">
        <is>
          <t>Honeywell STG-94L</t>
        </is>
      </c>
      <c r="D100" s="15" t="inlineStr">
        <is>
          <t>11W17 C3313690002011</t>
        </is>
      </c>
      <c r="E100" s="15" t="n">
        <v>2011</v>
      </c>
      <c r="F100" s="3" t="inlineStr">
        <is>
          <t>-100…530 кПа</t>
        </is>
      </c>
      <c r="G100" s="14" t="n">
        <v>0.075</v>
      </c>
      <c r="H100" s="15" t="inlineStr">
        <is>
          <t>Давление воздуха в средней опоре</t>
        </is>
      </c>
      <c r="I100" s="15" t="inlineStr">
        <is>
          <t>ГПА 63</t>
        </is>
      </c>
      <c r="J100" s="15" t="inlineStr">
        <is>
          <t>АСУ,А и ТМ (КЦ № 6)</t>
        </is>
      </c>
      <c r="K100" s="15" t="n">
        <v>2012</v>
      </c>
      <c r="L100" s="14" t="n">
        <v>36</v>
      </c>
      <c r="M100" s="3" t="n"/>
      <c r="N100" s="70" t="n"/>
    </row>
    <row r="101" ht="33.75" customHeight="1" s="151">
      <c r="A101" s="15">
        <f>IF(B101&lt;&gt;"", COUNTA($B$2:B101), "")</f>
        <v/>
      </c>
      <c r="B101" s="73" t="inlineStr">
        <is>
          <t>Преобразователь избыточного давления</t>
        </is>
      </c>
      <c r="C101" s="15" t="inlineStr">
        <is>
          <t>Honeywell STG-94L</t>
        </is>
      </c>
      <c r="D101" s="15" t="inlineStr">
        <is>
          <t>11W13 C3303059004021</t>
        </is>
      </c>
      <c r="E101" s="15" t="n">
        <v>2011</v>
      </c>
      <c r="F101" s="14" t="inlineStr">
        <is>
          <t xml:space="preserve">0…1 МПа </t>
        </is>
      </c>
      <c r="G101" s="14" t="n">
        <v>0.075</v>
      </c>
      <c r="H101" s="15" t="inlineStr">
        <is>
          <t>Давление защиного воздуха на выходе ресивера Р1 (после воздушного компрессора)</t>
        </is>
      </c>
      <c r="I101" s="15" t="inlineStr">
        <is>
          <t>ГПА 63</t>
        </is>
      </c>
      <c r="J101" s="15" t="inlineStr">
        <is>
          <t>АСУ,А и ТМ (КЦ № 6)</t>
        </is>
      </c>
      <c r="K101" s="15" t="n">
        <v>2012</v>
      </c>
      <c r="L101" s="14" t="n">
        <v>36</v>
      </c>
      <c r="M101" s="3" t="n"/>
      <c r="N101" s="70" t="n"/>
    </row>
    <row r="102" ht="22.5" customHeight="1" s="151">
      <c r="A102" s="15">
        <f>IF(B102&lt;&gt;"", COUNTA($B$2:B102), "")</f>
        <v/>
      </c>
      <c r="B102" s="73" t="inlineStr">
        <is>
          <t>Преобразователь избыточного давления</t>
        </is>
      </c>
      <c r="C102" s="15" t="inlineStr">
        <is>
          <t>Honeywell STD-930</t>
        </is>
      </c>
      <c r="D102" s="15" t="inlineStr">
        <is>
          <t>11W17 C3313690005001</t>
        </is>
      </c>
      <c r="E102" s="15" t="n">
        <v>2011</v>
      </c>
      <c r="F102" s="3" t="inlineStr">
        <is>
          <t>-34…689 кПа</t>
        </is>
      </c>
      <c r="G102" s="14" t="n">
        <v>0.075</v>
      </c>
      <c r="H102" s="15" t="inlineStr">
        <is>
          <t>Перепад воздуха на шайбе</t>
        </is>
      </c>
      <c r="I102" s="15" t="inlineStr">
        <is>
          <t>ГПА 63</t>
        </is>
      </c>
      <c r="J102" s="15" t="inlineStr">
        <is>
          <t>АСУ,А и ТМ (КЦ № 6)</t>
        </is>
      </c>
      <c r="K102" s="15" t="n">
        <v>2012</v>
      </c>
      <c r="L102" s="14" t="n">
        <v>36</v>
      </c>
      <c r="M102" s="3" t="n"/>
      <c r="N102" s="70" t="n"/>
    </row>
    <row r="103" ht="22.5" customHeight="1" s="151">
      <c r="A103" s="15">
        <f>IF(B103&lt;&gt;"", COUNTA($B$2:B103), "")</f>
        <v/>
      </c>
      <c r="B103" s="73" t="inlineStr">
        <is>
          <t>Преобразователь избыточного давления</t>
        </is>
      </c>
      <c r="C103" s="15" t="inlineStr">
        <is>
          <t>Honeywell STD-924</t>
        </is>
      </c>
      <c r="D103" s="15" t="inlineStr">
        <is>
          <t>10W45 C3273987001091</t>
        </is>
      </c>
      <c r="E103" s="15" t="n">
        <v>2011</v>
      </c>
      <c r="F103" s="3" t="inlineStr">
        <is>
          <t>0…63 кПа</t>
        </is>
      </c>
      <c r="G103" s="14" t="n">
        <v>0.075</v>
      </c>
      <c r="H103" s="15" t="inlineStr">
        <is>
          <t>Перепад давления газа на всасывающем патрубке (конфузоре)</t>
        </is>
      </c>
      <c r="I103" s="15" t="inlineStr">
        <is>
          <t>ГПА 63</t>
        </is>
      </c>
      <c r="J103" s="15" t="inlineStr">
        <is>
          <t>АСУ,А и ТМ (КЦ № 6)</t>
        </is>
      </c>
      <c r="K103" s="15" t="n">
        <v>2012</v>
      </c>
      <c r="L103" s="14" t="n">
        <v>36</v>
      </c>
      <c r="M103" s="3" t="n"/>
      <c r="N103" s="70" t="n"/>
    </row>
    <row r="104" ht="33.75" customHeight="1" s="151">
      <c r="A104" s="15">
        <f>IF(B104&lt;&gt;"", COUNTA($B$2:B104), "")</f>
        <v/>
      </c>
      <c r="B104" s="73" t="inlineStr">
        <is>
          <t>Преобразователь избыточного давления</t>
        </is>
      </c>
      <c r="C104" s="15" t="inlineStr">
        <is>
          <t>Honeywell STD-924</t>
        </is>
      </c>
      <c r="D104" s="15" t="inlineStr">
        <is>
          <t>11W17 C3313690001022</t>
        </is>
      </c>
      <c r="E104" s="15" t="n">
        <v>2011</v>
      </c>
      <c r="F104" s="3" t="inlineStr">
        <is>
          <t>0…4 кПа</t>
        </is>
      </c>
      <c r="G104" s="14" t="n">
        <v>0.075</v>
      </c>
      <c r="H104" s="15" t="inlineStr">
        <is>
          <t>Перепад давления между оболочкой опорного подшипника и 2-ой супенью ТУ</t>
        </is>
      </c>
      <c r="I104" s="15" t="inlineStr">
        <is>
          <t>ГПА 63</t>
        </is>
      </c>
      <c r="J104" s="15" t="inlineStr">
        <is>
          <t>АСУ,А и ТМ (КЦ № 6)</t>
        </is>
      </c>
      <c r="K104" s="15" t="n">
        <v>2012</v>
      </c>
      <c r="L104" s="14" t="n">
        <v>36</v>
      </c>
      <c r="M104" s="3" t="n"/>
      <c r="N104" s="70" t="n"/>
    </row>
    <row r="105" ht="33.75" customHeight="1" s="151">
      <c r="A105" s="15">
        <f>IF(B105&lt;&gt;"", COUNTA($B$2:B105), "")</f>
        <v/>
      </c>
      <c r="B105" s="73" t="inlineStr">
        <is>
          <t>Преобразователь избыточного давления</t>
        </is>
      </c>
      <c r="C105" s="15" t="inlineStr">
        <is>
          <t>Honeywell STD-924</t>
        </is>
      </c>
      <c r="D105" s="15" t="inlineStr">
        <is>
          <t>11W18 C3313690001038</t>
        </is>
      </c>
      <c r="E105" s="15" t="n">
        <v>2011</v>
      </c>
      <c r="F105" s="3" t="inlineStr">
        <is>
          <t>0…4 кПа</t>
        </is>
      </c>
      <c r="G105" s="14" t="n">
        <v>0.075</v>
      </c>
      <c r="H105" s="15" t="inlineStr">
        <is>
          <t>Перепад давления между оболочкой опорно-упорного подшипника и 2-ой супенью ТУ</t>
        </is>
      </c>
      <c r="I105" s="15" t="inlineStr">
        <is>
          <t>ГПА 63</t>
        </is>
      </c>
      <c r="J105" s="15" t="inlineStr">
        <is>
          <t>АСУ,А и ТМ (КЦ № 6)</t>
        </is>
      </c>
      <c r="K105" s="15" t="n">
        <v>2012</v>
      </c>
      <c r="L105" s="14" t="n">
        <v>36</v>
      </c>
      <c r="M105" s="3" t="n"/>
      <c r="N105" s="70" t="n"/>
    </row>
    <row r="106" ht="22.5" customHeight="1" s="151">
      <c r="A106" s="15">
        <f>IF(B106&lt;&gt;"", COUNTA($B$2:B106), "")</f>
        <v/>
      </c>
      <c r="B106" s="73" t="inlineStr">
        <is>
          <t>Преобразователь избыточного давления</t>
        </is>
      </c>
      <c r="C106" s="15" t="inlineStr">
        <is>
          <t>Honeywell STD-924</t>
        </is>
      </c>
      <c r="D106" s="15" t="inlineStr">
        <is>
          <t>11W17 C3313690001003</t>
        </is>
      </c>
      <c r="E106" s="15" t="n">
        <v>2011</v>
      </c>
      <c r="F106" s="3" t="inlineStr">
        <is>
          <t>0…1,6 кПа</t>
        </is>
      </c>
      <c r="G106" s="14" t="n">
        <v>0.075</v>
      </c>
      <c r="H106" s="15" t="inlineStr">
        <is>
          <t>Давление во входном сечении лемнискаты ГТД</t>
        </is>
      </c>
      <c r="I106" s="15" t="inlineStr">
        <is>
          <t>ГПА 63</t>
        </is>
      </c>
      <c r="J106" s="15" t="inlineStr">
        <is>
          <t>АСУ,А и ТМ (КЦ № 6)</t>
        </is>
      </c>
      <c r="K106" s="15" t="n">
        <v>2012</v>
      </c>
      <c r="L106" s="14" t="n">
        <v>36</v>
      </c>
      <c r="M106" s="3" t="n"/>
      <c r="N106" s="70" t="n"/>
    </row>
    <row r="107" ht="22.5" customHeight="1" s="151">
      <c r="A107" s="15">
        <f>IF(B107&lt;&gt;"", COUNTA($B$2:B107), "")</f>
        <v/>
      </c>
      <c r="B107" s="73" t="inlineStr">
        <is>
          <t>Преобразователь избыточного давления</t>
        </is>
      </c>
      <c r="C107" s="15" t="inlineStr">
        <is>
          <t>Honeywell STD-924</t>
        </is>
      </c>
      <c r="D107" s="15" t="inlineStr">
        <is>
          <t>11W17 C3313690001005</t>
        </is>
      </c>
      <c r="E107" s="15" t="n">
        <v>2011</v>
      </c>
      <c r="F107" s="3" t="inlineStr">
        <is>
          <t>-5…100 кПа</t>
        </is>
      </c>
      <c r="G107" s="14" t="n">
        <v>0.075</v>
      </c>
      <c r="H107" s="15" t="inlineStr">
        <is>
          <t>Давление на срезе улитки ГТД</t>
        </is>
      </c>
      <c r="I107" s="15" t="inlineStr">
        <is>
          <t>ГПА 63</t>
        </is>
      </c>
      <c r="J107" s="15" t="inlineStr">
        <is>
          <t>АСУ,А и ТМ (КЦ № 6)</t>
        </is>
      </c>
      <c r="K107" s="15" t="n">
        <v>2012</v>
      </c>
      <c r="L107" s="14" t="n">
        <v>36</v>
      </c>
      <c r="M107" s="3" t="n"/>
      <c r="N107" s="70" t="n"/>
    </row>
    <row r="108" ht="22.5" customHeight="1" s="151">
      <c r="A108" s="15">
        <f>IF(B108&lt;&gt;"", COUNTA($B$2:B108), "")</f>
        <v/>
      </c>
      <c r="B108" s="73" t="inlineStr">
        <is>
          <t>Преобразователь избыточного давления</t>
        </is>
      </c>
      <c r="C108" s="15" t="inlineStr">
        <is>
          <t>Honeywell STD-924</t>
        </is>
      </c>
      <c r="D108" s="15" t="inlineStr">
        <is>
          <t>11W20 C3316711002006</t>
        </is>
      </c>
      <c r="E108" s="15" t="n">
        <v>2011</v>
      </c>
      <c r="F108" s="3" t="inlineStr">
        <is>
          <t>0…1158,4 мм</t>
        </is>
      </c>
      <c r="G108" s="14" t="n">
        <v>0.075</v>
      </c>
      <c r="H108" s="15" t="inlineStr">
        <is>
          <t>Уровень масла в маслобаке двигателя</t>
        </is>
      </c>
      <c r="I108" s="15" t="inlineStr">
        <is>
          <t>ГПА 63</t>
        </is>
      </c>
      <c r="J108" s="15" t="inlineStr">
        <is>
          <t>АСУ,А и ТМ (КЦ № 6)</t>
        </is>
      </c>
      <c r="K108" s="15" t="n">
        <v>2012</v>
      </c>
      <c r="L108" s="14" t="n">
        <v>36</v>
      </c>
      <c r="M108" s="3" t="inlineStr">
        <is>
          <t>17.02.2016</t>
        </is>
      </c>
      <c r="N108" s="70" t="inlineStr">
        <is>
          <t>К</t>
        </is>
      </c>
    </row>
    <row r="109" ht="22.5" customHeight="1" s="151">
      <c r="A109" s="15">
        <f>IF(B109&lt;&gt;"", COUNTA($B$2:B109), "")</f>
        <v/>
      </c>
      <c r="B109" s="73" t="inlineStr">
        <is>
          <t>Преобразователь избыточного давления</t>
        </is>
      </c>
      <c r="C109" s="15" t="inlineStr">
        <is>
          <t>Honeywell STD-924</t>
        </is>
      </c>
      <c r="D109" s="15" t="inlineStr">
        <is>
          <t>11W1113310520005009</t>
        </is>
      </c>
      <c r="E109" s="15" t="n">
        <v>2011</v>
      </c>
      <c r="F109" s="3" t="inlineStr">
        <is>
          <t>0…2000 мм</t>
        </is>
      </c>
      <c r="G109" s="14" t="n">
        <v>0.075</v>
      </c>
      <c r="H109" s="15" t="inlineStr">
        <is>
          <t>Уровеь масла в расходном баке</t>
        </is>
      </c>
      <c r="I109" s="15" t="inlineStr">
        <is>
          <t>ГПА 63</t>
        </is>
      </c>
      <c r="J109" s="15" t="inlineStr">
        <is>
          <t>АСУ,А и ТМ (КЦ № 6)</t>
        </is>
      </c>
      <c r="K109" s="15" t="n">
        <v>2012</v>
      </c>
      <c r="L109" s="14" t="n">
        <v>36</v>
      </c>
      <c r="M109" s="3" t="n"/>
      <c r="N109" s="70" t="n"/>
    </row>
    <row r="110" ht="22.5" customHeight="1" s="151">
      <c r="A110" s="15">
        <f>IF(B110&lt;&gt;"", COUNTA($B$2:B110), "")</f>
        <v/>
      </c>
      <c r="B110" s="73" t="inlineStr">
        <is>
          <t>Преобразователь избыточного давления</t>
        </is>
      </c>
      <c r="C110" s="15" t="inlineStr">
        <is>
          <t>Honeywell STD-924</t>
        </is>
      </c>
      <c r="D110" s="15" t="inlineStr">
        <is>
          <t>11W17 C3313690001026</t>
        </is>
      </c>
      <c r="E110" s="15" t="n">
        <v>2011</v>
      </c>
      <c r="F110" s="3" t="inlineStr">
        <is>
          <t>0…100 кПа</t>
        </is>
      </c>
      <c r="G110" s="14" t="n">
        <v>0.075</v>
      </c>
      <c r="H110" s="15" t="inlineStr">
        <is>
          <t>Перепад давлений между входной и выходной камерами Ф1</t>
        </is>
      </c>
      <c r="I110" s="15" t="inlineStr">
        <is>
          <t>ГПА 63</t>
        </is>
      </c>
      <c r="J110" s="15" t="inlineStr">
        <is>
          <t>АСУ,А и ТМ (КЦ № 6)</t>
        </is>
      </c>
      <c r="K110" s="15" t="n">
        <v>2012</v>
      </c>
      <c r="L110" s="14" t="n">
        <v>36</v>
      </c>
      <c r="M110" s="3" t="n"/>
      <c r="N110" s="70" t="n"/>
    </row>
    <row r="111" ht="22.5" customHeight="1" s="151">
      <c r="A111" s="15">
        <f>IF(B111&lt;&gt;"", COUNTA($B$2:B111), "")</f>
        <v/>
      </c>
      <c r="B111" s="73" t="inlineStr">
        <is>
          <t>Преобразователь избыточного давления</t>
        </is>
      </c>
      <c r="C111" s="15" t="inlineStr">
        <is>
          <t>Honeywell STD-924</t>
        </is>
      </c>
      <c r="D111" s="15" t="inlineStr">
        <is>
          <t>11W16 C3310520005007</t>
        </is>
      </c>
      <c r="E111" s="15" t="n">
        <v>2011</v>
      </c>
      <c r="F111" s="3" t="inlineStr">
        <is>
          <t>0…100 кПа</t>
        </is>
      </c>
      <c r="G111" s="14" t="n">
        <v>0.075</v>
      </c>
      <c r="H111" s="15" t="inlineStr">
        <is>
          <t>Перепад давлений между входной и выходной камерами Ф2</t>
        </is>
      </c>
      <c r="I111" s="15" t="inlineStr">
        <is>
          <t>ГПА 63</t>
        </is>
      </c>
      <c r="J111" s="15" t="inlineStr">
        <is>
          <t>АСУ,А и ТМ (КЦ № 6)</t>
        </is>
      </c>
      <c r="K111" s="15" t="n">
        <v>2012</v>
      </c>
      <c r="L111" s="14" t="n">
        <v>36</v>
      </c>
      <c r="M111" s="3" t="n"/>
      <c r="N111" s="70" t="n"/>
    </row>
    <row r="112" ht="22.5" customHeight="1" s="151">
      <c r="A112" s="15">
        <f>IF(B112&lt;&gt;"", COUNTA($B$2:B112), "")</f>
        <v/>
      </c>
      <c r="B112" s="73" t="inlineStr">
        <is>
          <t>Преобразователь избыточного давления</t>
        </is>
      </c>
      <c r="C112" s="15" t="inlineStr">
        <is>
          <t>Honeywell STD-120</t>
        </is>
      </c>
      <c r="D112" s="15" t="inlineStr">
        <is>
          <t>10W45 C3273987001083</t>
        </is>
      </c>
      <c r="E112" s="14" t="n">
        <v>2010</v>
      </c>
      <c r="F112" s="3" t="inlineStr">
        <is>
          <t>-1000…2500 Па</t>
        </is>
      </c>
      <c r="G112" s="14" t="n">
        <v>0.075</v>
      </c>
      <c r="H112" s="26" t="inlineStr">
        <is>
          <t>Давление инжектируемого потока перед сепаратором С1</t>
        </is>
      </c>
      <c r="I112" s="15" t="inlineStr">
        <is>
          <t>ГПА 63</t>
        </is>
      </c>
      <c r="J112" s="15" t="inlineStr">
        <is>
          <t>АСУ,А и ТМ (КЦ № 6)</t>
        </is>
      </c>
      <c r="K112" s="15" t="n">
        <v>2012</v>
      </c>
      <c r="L112" s="14" t="n">
        <v>36</v>
      </c>
      <c r="M112" s="3" t="n"/>
      <c r="N112" s="70" t="n"/>
    </row>
    <row r="113" ht="22.5" customHeight="1" s="151">
      <c r="A113" s="15">
        <f>IF(B113&lt;&gt;"", COUNTA($B$2:B113), "")</f>
        <v/>
      </c>
      <c r="B113" s="73" t="inlineStr">
        <is>
          <t>Преобразователь избыточного давления</t>
        </is>
      </c>
      <c r="C113" s="15" t="inlineStr">
        <is>
          <t>Honeywell STD-120</t>
        </is>
      </c>
      <c r="D113" s="15" t="inlineStr">
        <is>
          <t>10W45 C3273987001077</t>
        </is>
      </c>
      <c r="E113" s="14" t="n">
        <v>2010</v>
      </c>
      <c r="F113" s="3" t="inlineStr">
        <is>
          <t>0…400 Па</t>
        </is>
      </c>
      <c r="G113" s="14" t="n">
        <v>0.075</v>
      </c>
      <c r="H113" s="15" t="inlineStr">
        <is>
          <t>Избыточное давление воздуха под кожухом двигателя</t>
        </is>
      </c>
      <c r="I113" s="15" t="inlineStr">
        <is>
          <t>ГПА 63</t>
        </is>
      </c>
      <c r="J113" s="15" t="inlineStr">
        <is>
          <t>АСУ,А и ТМ (КЦ № 6)</t>
        </is>
      </c>
      <c r="K113" s="15" t="n">
        <v>2012</v>
      </c>
      <c r="L113" s="14" t="n">
        <v>36</v>
      </c>
      <c r="M113" s="3" t="n"/>
      <c r="N113" s="70" t="n"/>
    </row>
    <row r="114" ht="22.5" customHeight="1" s="151">
      <c r="A114" s="15">
        <f>IF(B114&lt;&gt;"", COUNTA($B$2:B114), "")</f>
        <v/>
      </c>
      <c r="B114" s="73" t="inlineStr">
        <is>
          <t>Преобразователь избыточного давления</t>
        </is>
      </c>
      <c r="C114" s="15" t="inlineStr">
        <is>
          <t>Honeywell STD-120</t>
        </is>
      </c>
      <c r="D114" s="15" t="inlineStr">
        <is>
          <t>11W18С3313690001045</t>
        </is>
      </c>
      <c r="E114" s="14" t="n">
        <v>2010</v>
      </c>
      <c r="F114" s="3" t="inlineStr">
        <is>
          <t>0…10 кПа</t>
        </is>
      </c>
      <c r="G114" s="14" t="n">
        <v>0.075</v>
      </c>
      <c r="H114" s="15" t="inlineStr">
        <is>
          <t>Давление защитного воздуха на входе опорного подшипника</t>
        </is>
      </c>
      <c r="I114" s="15" t="inlineStr">
        <is>
          <t>ГПА 63</t>
        </is>
      </c>
      <c r="J114" s="15" t="inlineStr">
        <is>
          <t>АСУ,А и ТМ (КЦ № 6)</t>
        </is>
      </c>
      <c r="K114" s="15" t="n">
        <v>2012</v>
      </c>
      <c r="L114" s="14" t="n">
        <v>36</v>
      </c>
      <c r="M114" s="3" t="n"/>
      <c r="N114" s="70" t="n"/>
    </row>
    <row r="115" ht="22.5" customHeight="1" s="151">
      <c r="A115" s="15">
        <f>IF(B115&lt;&gt;"", COUNTA($B$2:B115), "")</f>
        <v/>
      </c>
      <c r="B115" s="73" t="inlineStr">
        <is>
          <t>Преобразователь избыточного давления</t>
        </is>
      </c>
      <c r="C115" s="15" t="inlineStr">
        <is>
          <t>Honeywell STD-120</t>
        </is>
      </c>
      <c r="D115" s="15" t="inlineStr">
        <is>
          <t>11W03С3287149001029</t>
        </is>
      </c>
      <c r="E115" s="15" t="n">
        <v>2011</v>
      </c>
      <c r="F115" s="3" t="inlineStr">
        <is>
          <t>0…4 кПа</t>
        </is>
      </c>
      <c r="G115" s="14" t="n">
        <v>0.075</v>
      </c>
      <c r="H115" s="15" t="inlineStr">
        <is>
          <t>Давление защитного воздуха на входе опорно-упорного подшипника</t>
        </is>
      </c>
      <c r="I115" s="15" t="inlineStr">
        <is>
          <t>ГПА 63</t>
        </is>
      </c>
      <c r="J115" s="15" t="inlineStr">
        <is>
          <t>АСУ,А и ТМ (КЦ № 6)</t>
        </is>
      </c>
      <c r="K115" s="15" t="n">
        <v>2012</v>
      </c>
      <c r="L115" s="14" t="n">
        <v>36</v>
      </c>
      <c r="M115" s="3" t="n"/>
      <c r="N115" s="70" t="n"/>
    </row>
    <row r="116" ht="33.75" customHeight="1" s="151">
      <c r="A116" s="15">
        <f>IF(B116&lt;&gt;"", COUNTA($B$2:B116), "")</f>
        <v/>
      </c>
      <c r="B116" s="73" t="inlineStr">
        <is>
          <t>Преобразователь избыточного давления</t>
        </is>
      </c>
      <c r="C116" s="15" t="inlineStr">
        <is>
          <t>Honeywell STD-120</t>
        </is>
      </c>
      <c r="D116" s="15" t="inlineStr">
        <is>
          <t>10W45 C3273987001075</t>
        </is>
      </c>
      <c r="E116" s="14" t="n">
        <v>2010</v>
      </c>
      <c r="F116" s="3" t="inlineStr">
        <is>
          <t>0…10 кПа</t>
        </is>
      </c>
      <c r="G116" s="14" t="n">
        <v>0.075</v>
      </c>
      <c r="H116" s="15" t="inlineStr">
        <is>
          <t>Давление защитного воздуха на выходе оболочки опорного подшипника</t>
        </is>
      </c>
      <c r="I116" s="15" t="inlineStr">
        <is>
          <t>ГПА 63</t>
        </is>
      </c>
      <c r="J116" s="15" t="inlineStr">
        <is>
          <t>АСУ,А и ТМ (КЦ № 6)</t>
        </is>
      </c>
      <c r="K116" s="15" t="n">
        <v>2012</v>
      </c>
      <c r="L116" s="14" t="n">
        <v>36</v>
      </c>
      <c r="M116" s="3" t="n"/>
      <c r="N116" s="70" t="n"/>
    </row>
    <row r="117" ht="33.75" customHeight="1" s="151">
      <c r="A117" s="15">
        <f>IF(B117&lt;&gt;"", COUNTA($B$2:B117), "")</f>
        <v/>
      </c>
      <c r="B117" s="73" t="inlineStr">
        <is>
          <t>Преобразователь избыточного давления</t>
        </is>
      </c>
      <c r="C117" s="15" t="inlineStr">
        <is>
          <t>Honeywell STD-120</t>
        </is>
      </c>
      <c r="D117" s="15" t="inlineStr">
        <is>
          <t>10W45 C3273987001055</t>
        </is>
      </c>
      <c r="E117" s="14" t="n">
        <v>2010</v>
      </c>
      <c r="F117" s="3" t="inlineStr">
        <is>
          <t>0…4 кПа</t>
        </is>
      </c>
      <c r="G117" s="14" t="n">
        <v>0.075</v>
      </c>
      <c r="H117" s="15" t="inlineStr">
        <is>
          <t>Давление защитного воздуха на выходе оболочки опорно-упорного подшипника</t>
        </is>
      </c>
      <c r="I117" s="15" t="inlineStr">
        <is>
          <t>ГПА 63</t>
        </is>
      </c>
      <c r="J117" s="15" t="inlineStr">
        <is>
          <t>АСУ,А и ТМ (КЦ № 6)</t>
        </is>
      </c>
      <c r="K117" s="15" t="n">
        <v>2012</v>
      </c>
      <c r="L117" s="14" t="n">
        <v>36</v>
      </c>
      <c r="M117" s="3" t="n"/>
      <c r="N117" s="70" t="n"/>
    </row>
    <row r="118" ht="22.5" customHeight="1" s="151">
      <c r="A118" s="15">
        <f>IF(B118&lt;&gt;"", COUNTA($B$2:B118), "")</f>
        <v/>
      </c>
      <c r="B118" s="73" t="inlineStr">
        <is>
          <t>Преобразователь избыточного давления</t>
        </is>
      </c>
      <c r="C118" s="15" t="inlineStr">
        <is>
          <t>Honeywell STD-120</t>
        </is>
      </c>
      <c r="D118" s="15" t="inlineStr">
        <is>
          <t>10W25 C3239044008013</t>
        </is>
      </c>
      <c r="E118" s="14" t="n">
        <v>2010</v>
      </c>
      <c r="F118" s="3" t="inlineStr">
        <is>
          <t>0…1 кПа</t>
        </is>
      </c>
      <c r="G118" s="14" t="n">
        <v>0.075</v>
      </c>
      <c r="H118" s="15" t="inlineStr">
        <is>
          <t>Давление воздуха на входе Д (разрежение во всас. камере)</t>
        </is>
      </c>
      <c r="I118" s="15" t="inlineStr">
        <is>
          <t>ГПА 63</t>
        </is>
      </c>
      <c r="J118" s="15" t="inlineStr">
        <is>
          <t>АСУ,А и ТМ (КЦ № 6)</t>
        </is>
      </c>
      <c r="K118" s="15" t="n">
        <v>2012</v>
      </c>
      <c r="L118" s="14" t="n">
        <v>36</v>
      </c>
      <c r="M118" s="3" t="n"/>
      <c r="N118" s="70" t="n"/>
    </row>
    <row r="119" ht="22.5" customHeight="1" s="151">
      <c r="A119" s="15">
        <f>IF(B119&lt;&gt;"", COUNTA($B$2:B119), "")</f>
        <v/>
      </c>
      <c r="B119" s="3" t="inlineStr">
        <is>
          <t xml:space="preserve">Расходомер                 </t>
        </is>
      </c>
      <c r="C119" s="17" t="inlineStr">
        <is>
          <t>KROHNE OPTISWIRL 4070/C</t>
        </is>
      </c>
      <c r="D119" s="3" t="inlineStr">
        <is>
          <t>D110000000199393</t>
        </is>
      </c>
      <c r="E119" s="15" t="n">
        <v>2011</v>
      </c>
      <c r="F119" s="17" t="inlineStr">
        <is>
          <t>1,5…15 Нм3/мин</t>
        </is>
      </c>
      <c r="G119" s="17" t="inlineStr">
        <is>
          <t>1</t>
        </is>
      </c>
      <c r="H119" s="3" t="inlineStr">
        <is>
          <t>Расход воздуха на выходе из оболочки опорно-упорного подшипника</t>
        </is>
      </c>
      <c r="I119" s="15" t="inlineStr">
        <is>
          <t>ГПА 63</t>
        </is>
      </c>
      <c r="J119" s="15" t="inlineStr">
        <is>
          <t>АСУ,А и ТМ (КЦ № 6)</t>
        </is>
      </c>
      <c r="K119" s="15" t="n">
        <v>2012</v>
      </c>
      <c r="L119" s="14" t="n">
        <v>36</v>
      </c>
      <c r="M119" s="3" t="n"/>
      <c r="N119" s="70" t="n"/>
    </row>
    <row r="120" ht="22.5" customHeight="1" s="151">
      <c r="A120" s="15">
        <f>IF(B120&lt;&gt;"", COUNTA($B$2:B120), "")</f>
        <v/>
      </c>
      <c r="B120" s="3" t="inlineStr">
        <is>
          <t xml:space="preserve">Расходомер                 </t>
        </is>
      </c>
      <c r="C120" s="17" t="inlineStr">
        <is>
          <t>KROHNE OPTISWIRL 4070/C</t>
        </is>
      </c>
      <c r="D120" s="3" t="inlineStr">
        <is>
          <t>D110000000199391</t>
        </is>
      </c>
      <c r="E120" s="15" t="n">
        <v>2011</v>
      </c>
      <c r="F120" s="17" t="inlineStr">
        <is>
          <t>1,5…15 Нм3/мин</t>
        </is>
      </c>
      <c r="G120" s="17" t="inlineStr">
        <is>
          <t>1</t>
        </is>
      </c>
      <c r="H120" s="3" t="inlineStr">
        <is>
          <t>Расход воздуха на выходе из оболочки опорного подшипника</t>
        </is>
      </c>
      <c r="I120" s="15" t="inlineStr">
        <is>
          <t>ГПА 63</t>
        </is>
      </c>
      <c r="J120" s="15" t="inlineStr">
        <is>
          <t>АСУ,А и ТМ (КЦ № 6)</t>
        </is>
      </c>
      <c r="K120" s="15" t="n">
        <v>2012</v>
      </c>
      <c r="L120" s="14" t="n">
        <v>36</v>
      </c>
      <c r="M120" s="3" t="n"/>
      <c r="N120" s="70" t="n"/>
    </row>
    <row r="121" ht="22.5" customHeight="1" s="151">
      <c r="A121" s="15">
        <f>IF(B121&lt;&gt;"", COUNTA($B$2:B121), "")</f>
        <v/>
      </c>
      <c r="B121" s="3" t="inlineStr">
        <is>
          <t xml:space="preserve">Расходомер                 </t>
        </is>
      </c>
      <c r="C121" s="3" t="inlineStr">
        <is>
          <t>KROHNE/H250</t>
        </is>
      </c>
      <c r="D121" s="3" t="inlineStr">
        <is>
          <t>D110000000182274</t>
        </is>
      </c>
      <c r="E121" s="15" t="n">
        <v>2011</v>
      </c>
      <c r="F121" s="17" t="inlineStr">
        <is>
          <t>6…60 Нм3/час</t>
        </is>
      </c>
      <c r="G121" s="17" t="inlineStr">
        <is>
          <t>1,6</t>
        </is>
      </c>
      <c r="H121" s="3" t="inlineStr">
        <is>
          <t>Расход газа на выходе первой ступени ЗКВ</t>
        </is>
      </c>
      <c r="I121" s="15" t="inlineStr">
        <is>
          <t>ГПА 63</t>
        </is>
      </c>
      <c r="J121" s="15" t="inlineStr">
        <is>
          <t>АСУ,А и ТМ (КЦ № 6)</t>
        </is>
      </c>
      <c r="K121" s="15" t="n">
        <v>2012</v>
      </c>
      <c r="L121" s="14" t="n">
        <v>36</v>
      </c>
      <c r="M121" s="3" t="n"/>
      <c r="N121" s="70" t="n"/>
    </row>
    <row r="122" ht="22.5" customHeight="1" s="151">
      <c r="A122" s="15">
        <f>IF(B122&lt;&gt;"", COUNTA($B$2:B122), "")</f>
        <v/>
      </c>
      <c r="B122" s="3" t="inlineStr">
        <is>
          <t xml:space="preserve">Расходомер                 </t>
        </is>
      </c>
      <c r="C122" s="3" t="inlineStr">
        <is>
          <t>KROHNE/H250</t>
        </is>
      </c>
      <c r="D122" s="3" t="inlineStr">
        <is>
          <t>D110000000182270</t>
        </is>
      </c>
      <c r="E122" s="15" t="n">
        <v>2011</v>
      </c>
      <c r="F122" s="17" t="inlineStr">
        <is>
          <t>6…60 Нм3/час</t>
        </is>
      </c>
      <c r="G122" s="14" t="n">
        <v>1.6</v>
      </c>
      <c r="H122" s="3" t="inlineStr">
        <is>
          <t>Расход газа на выходе первой ступени ПКВ</t>
        </is>
      </c>
      <c r="I122" s="15" t="inlineStr">
        <is>
          <t>ГПА 63</t>
        </is>
      </c>
      <c r="J122" s="15" t="inlineStr">
        <is>
          <t>АСУ,А и ТМ (КЦ № 6)</t>
        </is>
      </c>
      <c r="K122" s="15" t="n">
        <v>2012</v>
      </c>
      <c r="L122" s="14" t="n">
        <v>36</v>
      </c>
      <c r="M122" s="3" t="n"/>
      <c r="N122" s="70" t="n"/>
    </row>
    <row r="123" ht="22.5" customHeight="1" s="151">
      <c r="A123" s="15">
        <f>IF(B123&lt;&gt;"", COUNTA($B$2:B123), "")</f>
        <v/>
      </c>
      <c r="B123" s="15" t="inlineStr">
        <is>
          <t>Уравнемер</t>
        </is>
      </c>
      <c r="C123" s="14" t="inlineStr">
        <is>
          <t>KROHNE BM-26A</t>
        </is>
      </c>
      <c r="D123" s="14" t="inlineStr">
        <is>
          <t>447006647/10.02</t>
        </is>
      </c>
      <c r="E123" s="15" t="n">
        <v>2011</v>
      </c>
      <c r="F123" s="14" t="inlineStr">
        <is>
          <t>0…100 %</t>
        </is>
      </c>
      <c r="G123" s="14" t="inlineStr">
        <is>
          <t>±10 мм</t>
        </is>
      </c>
      <c r="H123" s="14" t="inlineStr">
        <is>
          <t>Уровень жидкости во входной камере Ф1/1</t>
        </is>
      </c>
      <c r="I123" s="15" t="inlineStr">
        <is>
          <t>ГПА 63</t>
        </is>
      </c>
      <c r="J123" s="15" t="inlineStr">
        <is>
          <t>АСУ,А и ТМ (КЦ № 6)</t>
        </is>
      </c>
      <c r="K123" s="15" t="n">
        <v>2012</v>
      </c>
      <c r="L123" s="14" t="n">
        <v>48</v>
      </c>
      <c r="M123" s="3" t="n"/>
      <c r="N123" s="70" t="n"/>
    </row>
    <row r="124">
      <c r="A124" s="15">
        <f>IF(B124&lt;&gt;"", COUNTA($B$2:B124), "")</f>
        <v/>
      </c>
      <c r="B124" s="15" t="inlineStr">
        <is>
          <t>Уравнемер</t>
        </is>
      </c>
      <c r="C124" s="14" t="inlineStr">
        <is>
          <t>KROHNE MS15</t>
        </is>
      </c>
      <c r="D124" s="14" t="inlineStr">
        <is>
          <t>447006647.10.15</t>
        </is>
      </c>
      <c r="E124" s="15" t="n">
        <v>2011</v>
      </c>
      <c r="F124" s="14" t="n"/>
      <c r="G124" s="14" t="n"/>
      <c r="H124" s="14" t="inlineStr">
        <is>
          <t>Нижний уровень SQ2 (Ф1/1)</t>
        </is>
      </c>
      <c r="I124" s="15" t="inlineStr">
        <is>
          <t>ГПА 63</t>
        </is>
      </c>
      <c r="J124" s="15" t="inlineStr">
        <is>
          <t>АСУ,А и ТМ (КЦ № 6)</t>
        </is>
      </c>
      <c r="K124" s="15" t="n">
        <v>2012</v>
      </c>
      <c r="L124" s="14" t="n"/>
      <c r="M124" s="3" t="n"/>
      <c r="N124" s="70" t="n"/>
    </row>
    <row r="125">
      <c r="A125" s="15">
        <f>IF(B125&lt;&gt;"", COUNTA($B$2:B125), "")</f>
        <v/>
      </c>
      <c r="B125" s="15" t="inlineStr">
        <is>
          <t>Уравнемер</t>
        </is>
      </c>
      <c r="C125" s="14" t="inlineStr">
        <is>
          <t>KROHNE MS15</t>
        </is>
      </c>
      <c r="D125" s="14" t="inlineStr">
        <is>
          <t>447006647.10.02</t>
        </is>
      </c>
      <c r="E125" s="15" t="n">
        <v>2011</v>
      </c>
      <c r="F125" s="14" t="n"/>
      <c r="G125" s="14" t="n"/>
      <c r="H125" s="14" t="inlineStr">
        <is>
          <t>Верхний уровень SQ1 (Ф1/1)</t>
        </is>
      </c>
      <c r="I125" s="15" t="inlineStr">
        <is>
          <t>ГПА 63</t>
        </is>
      </c>
      <c r="J125" s="15" t="inlineStr">
        <is>
          <t>АСУ,А и ТМ (КЦ № 6)</t>
        </is>
      </c>
      <c r="K125" s="15" t="n">
        <v>2012</v>
      </c>
      <c r="L125" s="14" t="n"/>
      <c r="M125" s="3" t="n"/>
      <c r="N125" s="70" t="n"/>
    </row>
    <row r="126">
      <c r="A126" s="15">
        <f>IF(B126&lt;&gt;"", COUNTA($B$2:B126), "")</f>
        <v/>
      </c>
      <c r="B126" s="15" t="inlineStr">
        <is>
          <t>Уравнемер</t>
        </is>
      </c>
      <c r="C126" s="14" t="inlineStr">
        <is>
          <t>KROHNE ER/EXD/AL/D</t>
        </is>
      </c>
      <c r="D126" s="14" t="inlineStr">
        <is>
          <t>447006647.10.02</t>
        </is>
      </c>
      <c r="E126" s="15" t="n">
        <v>2011</v>
      </c>
      <c r="F126" s="14" t="n"/>
      <c r="G126" s="14" t="n"/>
      <c r="H126" s="14" t="inlineStr">
        <is>
          <t>Уровень конденсата BL710 (Ф1/1)</t>
        </is>
      </c>
      <c r="I126" s="15" t="inlineStr">
        <is>
          <t>ГПА 63</t>
        </is>
      </c>
      <c r="J126" s="15" t="inlineStr">
        <is>
          <t>АСУ,А и ТМ (КЦ № 6)</t>
        </is>
      </c>
      <c r="K126" s="15" t="n">
        <v>2012</v>
      </c>
      <c r="L126" s="14" t="n"/>
      <c r="M126" s="3" t="n"/>
      <c r="N126" s="70" t="n"/>
    </row>
    <row r="127" ht="22.5" customHeight="1" s="151">
      <c r="A127" s="15">
        <f>IF(B127&lt;&gt;"", COUNTA($B$2:B127), "")</f>
        <v/>
      </c>
      <c r="B127" s="15" t="inlineStr">
        <is>
          <t>Уравнемер</t>
        </is>
      </c>
      <c r="C127" s="14" t="inlineStr">
        <is>
          <t>KROHNE BM-26A</t>
        </is>
      </c>
      <c r="D127" s="14" t="inlineStr">
        <is>
          <t>447006647/10.10</t>
        </is>
      </c>
      <c r="E127" s="15" t="n">
        <v>2011</v>
      </c>
      <c r="F127" s="14" t="inlineStr">
        <is>
          <t>0…100 %</t>
        </is>
      </c>
      <c r="G127" s="14" t="inlineStr">
        <is>
          <t>±10 мм</t>
        </is>
      </c>
      <c r="H127" s="14" t="inlineStr">
        <is>
          <t>Уровень жидкости в выходной камере Ф1/2</t>
        </is>
      </c>
      <c r="I127" s="15" t="inlineStr">
        <is>
          <t>ГПА 63</t>
        </is>
      </c>
      <c r="J127" s="15" t="inlineStr">
        <is>
          <t>АСУ,А и ТМ (КЦ № 6)</t>
        </is>
      </c>
      <c r="K127" s="15" t="n">
        <v>2012</v>
      </c>
      <c r="L127" s="14" t="n">
        <v>48</v>
      </c>
      <c r="M127" s="3" t="n"/>
      <c r="N127" s="70" t="n"/>
    </row>
    <row r="128">
      <c r="A128" s="15">
        <f>IF(B128&lt;&gt;"", COUNTA($B$2:B128), "")</f>
        <v/>
      </c>
      <c r="B128" s="15" t="inlineStr">
        <is>
          <t>Уравнемер</t>
        </is>
      </c>
      <c r="C128" s="14" t="inlineStr">
        <is>
          <t>KROHNE MS15</t>
        </is>
      </c>
      <c r="D128" s="14" t="inlineStr">
        <is>
          <t>447006647.10.04</t>
        </is>
      </c>
      <c r="E128" s="15" t="n">
        <v>2011</v>
      </c>
      <c r="F128" s="14" t="n"/>
      <c r="G128" s="14" t="n"/>
      <c r="H128" s="14" t="inlineStr">
        <is>
          <t>Нижний уровень SQ2 (Ф1/2)</t>
        </is>
      </c>
      <c r="I128" s="15" t="inlineStr">
        <is>
          <t>ГПА 63</t>
        </is>
      </c>
      <c r="J128" s="15" t="inlineStr">
        <is>
          <t>АСУ,А и ТМ (КЦ № 6)</t>
        </is>
      </c>
      <c r="K128" s="15" t="n">
        <v>2012</v>
      </c>
      <c r="L128" s="14" t="n"/>
      <c r="M128" s="3" t="n"/>
      <c r="N128" s="70" t="n"/>
    </row>
    <row r="129">
      <c r="A129" s="15">
        <f>IF(B129&lt;&gt;"", COUNTA($B$2:B129), "")</f>
        <v/>
      </c>
      <c r="B129" s="15" t="inlineStr">
        <is>
          <t>Уравнемер</t>
        </is>
      </c>
      <c r="C129" s="14" t="inlineStr">
        <is>
          <t>KROHNE MS15</t>
        </is>
      </c>
      <c r="D129" s="14" t="inlineStr">
        <is>
          <t>447006647.10.12</t>
        </is>
      </c>
      <c r="E129" s="15" t="n">
        <v>2011</v>
      </c>
      <c r="F129" s="14" t="n"/>
      <c r="G129" s="14" t="n"/>
      <c r="H129" s="14" t="inlineStr">
        <is>
          <t>Верхний уровень SQ1 (Ф1/2)</t>
        </is>
      </c>
      <c r="I129" s="15" t="inlineStr">
        <is>
          <t>ГПА 63</t>
        </is>
      </c>
      <c r="J129" s="15" t="inlineStr">
        <is>
          <t>АСУ,А и ТМ (КЦ № 6)</t>
        </is>
      </c>
      <c r="K129" s="15" t="n">
        <v>2012</v>
      </c>
      <c r="L129" s="14" t="n"/>
      <c r="M129" s="3" t="n"/>
      <c r="N129" s="70" t="n"/>
    </row>
    <row r="130">
      <c r="A130" s="15">
        <f>IF(B130&lt;&gt;"", COUNTA($B$2:B130), "")</f>
        <v/>
      </c>
      <c r="B130" s="15" t="inlineStr">
        <is>
          <t>Уравнемер</t>
        </is>
      </c>
      <c r="C130" s="14" t="inlineStr">
        <is>
          <t>KROHNE ER/EXD/AL/D</t>
        </is>
      </c>
      <c r="D130" s="14" t="inlineStr">
        <is>
          <t>447006647.10.10</t>
        </is>
      </c>
      <c r="E130" s="15" t="n">
        <v>2011</v>
      </c>
      <c r="F130" s="14" t="n"/>
      <c r="G130" s="14" t="n"/>
      <c r="H130" s="14" t="inlineStr">
        <is>
          <t>Уровень конденсата BL711 (Ф1/2)</t>
        </is>
      </c>
      <c r="I130" s="15" t="inlineStr">
        <is>
          <t>ГПА 63</t>
        </is>
      </c>
      <c r="J130" s="15" t="inlineStr">
        <is>
          <t>АСУ,А и ТМ (КЦ № 6)</t>
        </is>
      </c>
      <c r="K130" s="15" t="n">
        <v>2012</v>
      </c>
      <c r="L130" s="14" t="n"/>
      <c r="M130" s="3" t="n"/>
      <c r="N130" s="70" t="n"/>
    </row>
    <row r="131" ht="22.5" customHeight="1" s="151">
      <c r="A131" s="15">
        <f>IF(B131&lt;&gt;"", COUNTA($B$2:B131), "")</f>
        <v/>
      </c>
      <c r="B131" s="15" t="inlineStr">
        <is>
          <t>Уравнемер</t>
        </is>
      </c>
      <c r="C131" s="14" t="inlineStr">
        <is>
          <t>KROHNE BM-26A</t>
        </is>
      </c>
      <c r="D131" s="14" t="inlineStr">
        <is>
          <t>447006647/10.12</t>
        </is>
      </c>
      <c r="E131" s="15" t="n">
        <v>2011</v>
      </c>
      <c r="F131" s="14" t="inlineStr">
        <is>
          <t>0…100 %</t>
        </is>
      </c>
      <c r="G131" s="14" t="inlineStr">
        <is>
          <t>±10 мм</t>
        </is>
      </c>
      <c r="H131" s="14" t="inlineStr">
        <is>
          <t>Уровень жидкости во входной камере Ф2/1</t>
        </is>
      </c>
      <c r="I131" s="15" t="inlineStr">
        <is>
          <t>ГПА 63</t>
        </is>
      </c>
      <c r="J131" s="15" t="inlineStr">
        <is>
          <t>АСУ,А и ТМ (КЦ № 6)</t>
        </is>
      </c>
      <c r="K131" s="15" t="n">
        <v>2012</v>
      </c>
      <c r="L131" s="14" t="n">
        <v>48</v>
      </c>
      <c r="M131" s="3" t="n"/>
      <c r="N131" s="70" t="n"/>
    </row>
    <row r="132">
      <c r="A132" s="15">
        <f>IF(B132&lt;&gt;"", COUNTA($B$2:B132), "")</f>
        <v/>
      </c>
      <c r="B132" s="15" t="inlineStr">
        <is>
          <t>Уравнемер</t>
        </is>
      </c>
      <c r="C132" s="14" t="inlineStr">
        <is>
          <t>KROHNE MS15</t>
        </is>
      </c>
      <c r="D132" s="14" t="inlineStr">
        <is>
          <t>447006647.10.13</t>
        </is>
      </c>
      <c r="E132" s="15" t="n">
        <v>2011</v>
      </c>
      <c r="F132" s="14" t="n"/>
      <c r="G132" s="14" t="n"/>
      <c r="H132" s="14" t="inlineStr">
        <is>
          <t>Нижний уровень SQ2 (Ф2/1)</t>
        </is>
      </c>
      <c r="I132" s="15" t="inlineStr">
        <is>
          <t>ГПА 63</t>
        </is>
      </c>
      <c r="J132" s="15" t="inlineStr">
        <is>
          <t>АСУ,А и ТМ (КЦ № 6)</t>
        </is>
      </c>
      <c r="K132" s="15" t="n">
        <v>2012</v>
      </c>
      <c r="L132" s="14" t="n"/>
      <c r="M132" s="3" t="n"/>
      <c r="N132" s="70" t="n"/>
    </row>
    <row r="133">
      <c r="A133" s="15">
        <f>IF(B133&lt;&gt;"", COUNTA($B$2:B133), "")</f>
        <v/>
      </c>
      <c r="B133" s="15" t="inlineStr">
        <is>
          <t>Уравнемер</t>
        </is>
      </c>
      <c r="C133" s="14" t="inlineStr">
        <is>
          <t>KROHNE MS15</t>
        </is>
      </c>
      <c r="D133" s="14" t="inlineStr">
        <is>
          <t>447006647.10.10</t>
        </is>
      </c>
      <c r="E133" s="15" t="n">
        <v>2011</v>
      </c>
      <c r="F133" s="14" t="n"/>
      <c r="G133" s="14" t="n"/>
      <c r="H133" s="14" t="inlineStr">
        <is>
          <t>Верхний уровень SQ1 (Ф2/1)</t>
        </is>
      </c>
      <c r="I133" s="15" t="inlineStr">
        <is>
          <t>ГПА 63</t>
        </is>
      </c>
      <c r="J133" s="15" t="inlineStr">
        <is>
          <t>АСУ,А и ТМ (КЦ № 6)</t>
        </is>
      </c>
      <c r="K133" s="15" t="n">
        <v>2012</v>
      </c>
      <c r="L133" s="14" t="n"/>
      <c r="M133" s="3" t="n"/>
      <c r="N133" s="70" t="n"/>
    </row>
    <row r="134">
      <c r="A134" s="15">
        <f>IF(B134&lt;&gt;"", COUNTA($B$2:B134), "")</f>
        <v/>
      </c>
      <c r="B134" s="15" t="inlineStr">
        <is>
          <t>Уравнемер</t>
        </is>
      </c>
      <c r="C134" s="14" t="inlineStr">
        <is>
          <t>KROHNE ER/EXD/AL/D</t>
        </is>
      </c>
      <c r="D134" s="14" t="inlineStr">
        <is>
          <t>447006647.10.12</t>
        </is>
      </c>
      <c r="E134" s="15" t="n">
        <v>2011</v>
      </c>
      <c r="F134" s="14" t="n"/>
      <c r="G134" s="14" t="n"/>
      <c r="H134" s="14" t="inlineStr">
        <is>
          <t>Уровень конденсата BL712 (Ф2/1)</t>
        </is>
      </c>
      <c r="I134" s="15" t="inlineStr">
        <is>
          <t>ГПА 63</t>
        </is>
      </c>
      <c r="J134" s="15" t="inlineStr">
        <is>
          <t>АСУ,А и ТМ (КЦ № 6)</t>
        </is>
      </c>
      <c r="K134" s="15" t="n">
        <v>2012</v>
      </c>
      <c r="L134" s="14" t="n"/>
      <c r="M134" s="3" t="n"/>
      <c r="N134" s="70" t="n"/>
    </row>
    <row r="135" ht="22.5" customHeight="1" s="151">
      <c r="A135" s="15">
        <f>IF(B135&lt;&gt;"", COUNTA($B$2:B135), "")</f>
        <v/>
      </c>
      <c r="B135" s="15" t="inlineStr">
        <is>
          <t>Уравнемер</t>
        </is>
      </c>
      <c r="C135" s="14" t="inlineStr">
        <is>
          <t>KROHNE BM-26A</t>
        </is>
      </c>
      <c r="D135" s="14" t="inlineStr">
        <is>
          <t>447006647/10.06</t>
        </is>
      </c>
      <c r="E135" s="15" t="n">
        <v>2011</v>
      </c>
      <c r="F135" s="14" t="inlineStr">
        <is>
          <t>0…100 %</t>
        </is>
      </c>
      <c r="G135" s="14" t="inlineStr">
        <is>
          <t>±10 мм</t>
        </is>
      </c>
      <c r="H135" s="14" t="inlineStr">
        <is>
          <t>Уровень жидкости в выходной камере Ф2/2</t>
        </is>
      </c>
      <c r="I135" s="15" t="inlineStr">
        <is>
          <t>ГПА 63</t>
        </is>
      </c>
      <c r="J135" s="15" t="inlineStr">
        <is>
          <t>АСУ,А и ТМ (КЦ № 6)</t>
        </is>
      </c>
      <c r="K135" s="15" t="n">
        <v>2012</v>
      </c>
      <c r="L135" s="14" t="n">
        <v>48</v>
      </c>
      <c r="M135" s="3" t="n"/>
      <c r="N135" s="70" t="n"/>
    </row>
    <row r="136">
      <c r="A136" s="15">
        <f>IF(B136&lt;&gt;"", COUNTA($B$2:B136), "")</f>
        <v/>
      </c>
      <c r="B136" s="15" t="inlineStr">
        <is>
          <t>Уравнемер</t>
        </is>
      </c>
      <c r="C136" s="14" t="inlineStr">
        <is>
          <t>KROHNE MS15</t>
        </is>
      </c>
      <c r="D136" s="14" t="inlineStr">
        <is>
          <t>447006647.10.03</t>
        </is>
      </c>
      <c r="E136" s="15" t="n">
        <v>2011</v>
      </c>
      <c r="F136" s="14" t="n"/>
      <c r="G136" s="14" t="n"/>
      <c r="H136" s="14" t="inlineStr">
        <is>
          <t>Нижний уровень SQ2 (Ф2/2)</t>
        </is>
      </c>
      <c r="I136" s="15" t="inlineStr">
        <is>
          <t>ГПА 63</t>
        </is>
      </c>
      <c r="J136" s="15" t="inlineStr">
        <is>
          <t>АСУ,А и ТМ (КЦ № 6)</t>
        </is>
      </c>
      <c r="K136" s="15" t="n">
        <v>2012</v>
      </c>
      <c r="L136" s="14" t="n"/>
      <c r="M136" s="3" t="n"/>
      <c r="N136" s="70" t="n"/>
    </row>
    <row r="137">
      <c r="A137" s="15">
        <f>IF(B137&lt;&gt;"", COUNTA($B$2:B137), "")</f>
        <v/>
      </c>
      <c r="B137" s="15" t="inlineStr">
        <is>
          <t>Уравнемер</t>
        </is>
      </c>
      <c r="C137" s="14" t="inlineStr">
        <is>
          <t>KROHNE MS15</t>
        </is>
      </c>
      <c r="D137" s="14" t="inlineStr">
        <is>
          <t>447006647.10.05</t>
        </is>
      </c>
      <c r="E137" s="15" t="n">
        <v>2011</v>
      </c>
      <c r="F137" s="14" t="n"/>
      <c r="G137" s="14" t="n"/>
      <c r="H137" s="14" t="inlineStr">
        <is>
          <t>Верхний уровень SQ1 (Ф2/2)</t>
        </is>
      </c>
      <c r="I137" s="15" t="inlineStr">
        <is>
          <t>ГПА 63</t>
        </is>
      </c>
      <c r="J137" s="15" t="inlineStr">
        <is>
          <t>АСУ,А и ТМ (КЦ № 6)</t>
        </is>
      </c>
      <c r="K137" s="15" t="n">
        <v>2012</v>
      </c>
      <c r="L137" s="14" t="n"/>
      <c r="M137" s="3" t="n"/>
      <c r="N137" s="70" t="n"/>
    </row>
    <row r="138">
      <c r="A138" s="15">
        <f>IF(B138&lt;&gt;"", COUNTA($B$2:B138), "")</f>
        <v/>
      </c>
      <c r="B138" s="15" t="inlineStr">
        <is>
          <t>Уравнемер</t>
        </is>
      </c>
      <c r="C138" s="14" t="inlineStr">
        <is>
          <t>KROHNE ER/EXD/AL/D</t>
        </is>
      </c>
      <c r="D138" s="14" t="inlineStr">
        <is>
          <t>447006647.10.06</t>
        </is>
      </c>
      <c r="E138" s="15" t="n">
        <v>2011</v>
      </c>
      <c r="F138" s="14" t="n"/>
      <c r="G138" s="14" t="n"/>
      <c r="H138" s="14" t="inlineStr">
        <is>
          <t>Уровень конденсата BL713 (Ф2/2)</t>
        </is>
      </c>
      <c r="I138" s="15" t="inlineStr">
        <is>
          <t>ГПА 63</t>
        </is>
      </c>
      <c r="J138" s="15" t="inlineStr">
        <is>
          <t>АСУ,А и ТМ (КЦ № 6)</t>
        </is>
      </c>
      <c r="K138" s="15" t="n">
        <v>2012</v>
      </c>
      <c r="L138" s="14" t="n"/>
      <c r="M138" s="3" t="n"/>
      <c r="N138" s="70" t="n"/>
    </row>
    <row r="139" ht="22.5" customHeight="1" s="151">
      <c r="A139" s="15">
        <f>IF(B139&lt;&gt;"", COUNTA($B$2:B139), "")</f>
        <v/>
      </c>
      <c r="B139" s="15" t="inlineStr">
        <is>
          <t>Уравнемер</t>
        </is>
      </c>
      <c r="C139" s="14" t="inlineStr">
        <is>
          <t>KROHNE optiswitch 5200C</t>
        </is>
      </c>
      <c r="D139" s="14" t="n">
        <v>20408760</v>
      </c>
      <c r="E139" s="15" t="n">
        <v>2011</v>
      </c>
      <c r="F139" s="14" t="inlineStr">
        <is>
          <t>0…400 мм</t>
        </is>
      </c>
      <c r="G139" s="14" t="n"/>
      <c r="H139" s="14" t="inlineStr">
        <is>
          <t>Уровень теплоносителя в подогревателе BL1</t>
        </is>
      </c>
      <c r="I139" s="15" t="inlineStr">
        <is>
          <t>ГПА 63</t>
        </is>
      </c>
      <c r="J139" s="15" t="inlineStr">
        <is>
          <t>АСУ,А и ТМ (КЦ № 6)</t>
        </is>
      </c>
      <c r="K139" s="15" t="n">
        <v>2012</v>
      </c>
      <c r="L139" s="14" t="n"/>
      <c r="M139" s="3" t="n"/>
      <c r="N139" s="70" t="n"/>
    </row>
    <row r="140" ht="33.75" customHeight="1" s="151">
      <c r="A140" s="15">
        <f>IF(B140&lt;&gt;"", COUNTA($B$2:B140), "")</f>
        <v/>
      </c>
      <c r="B140" s="3" t="inlineStr">
        <is>
          <t xml:space="preserve">Расходомер                 </t>
        </is>
      </c>
      <c r="C140" s="14" t="inlineStr">
        <is>
          <t>Micrp Motion F200S-366-C-C-A-Z-E-ZZZ-Z (170011AFFEZZZ)</t>
        </is>
      </c>
      <c r="D140" s="14" t="inlineStr">
        <is>
          <t>sensor       14232344     (голова            3812735)</t>
        </is>
      </c>
      <c r="E140" s="15" t="n">
        <v>2011</v>
      </c>
      <c r="F140" s="14" t="inlineStr">
        <is>
          <t xml:space="preserve">0…6300 кг/час </t>
        </is>
      </c>
      <c r="G140" s="14" t="inlineStr">
        <is>
          <t>±0,5 (для газа)</t>
        </is>
      </c>
      <c r="H140" s="14" t="inlineStr">
        <is>
          <t>Расход топливного газа (коммерческий учет)</t>
        </is>
      </c>
      <c r="I140" s="15" t="inlineStr">
        <is>
          <t>ГПА 63</t>
        </is>
      </c>
      <c r="J140" s="15" t="inlineStr">
        <is>
          <t>АСУ,А и ТМ (КЦ № 6)</t>
        </is>
      </c>
      <c r="K140" s="15" t="n">
        <v>2012</v>
      </c>
      <c r="L140" s="14" t="n">
        <v>48</v>
      </c>
      <c r="M140" s="3" t="n"/>
      <c r="N140" s="70" t="n"/>
    </row>
    <row r="141" ht="33.75" customHeight="1" s="151">
      <c r="A141" s="15">
        <f>IF(B141&lt;&gt;"", COUNTA($B$2:B141), "")</f>
        <v/>
      </c>
      <c r="B141" s="14" t="inlineStr">
        <is>
          <t>Датчик вибрации</t>
        </is>
      </c>
      <c r="C141" s="8" t="inlineStr">
        <is>
          <t>ВПД 10-1,0/8,0</t>
        </is>
      </c>
      <c r="D141" s="14" t="inlineStr">
        <is>
          <t>Отсутствует доступ к датчику</t>
        </is>
      </c>
      <c r="E141" s="14" t="n">
        <v>2010</v>
      </c>
      <c r="F141" s="14" t="inlineStr">
        <is>
          <t>0…500 мкм (канал)</t>
        </is>
      </c>
      <c r="G141" s="14" t="inlineStr">
        <is>
          <t>нормируется для канала измерения</t>
        </is>
      </c>
      <c r="H141" s="15" t="inlineStr">
        <is>
          <t>Размах виброперемещения со стороны привода (горизонтальная составляющая)</t>
        </is>
      </c>
      <c r="I141" s="15" t="inlineStr">
        <is>
          <t>ГПА 63</t>
        </is>
      </c>
      <c r="J141" s="15" t="inlineStr">
        <is>
          <t>АСУ,А и ТМ (КЦ № 6)</t>
        </is>
      </c>
      <c r="K141" s="15" t="n">
        <v>2012</v>
      </c>
      <c r="L141" s="14" t="n">
        <v>24</v>
      </c>
      <c r="M141" s="3" t="n"/>
      <c r="N141" s="70" t="n"/>
    </row>
    <row r="142" ht="22.5" customHeight="1" s="151">
      <c r="A142" s="15">
        <f>IF(B142&lt;&gt;"", COUNTA($B$2:B142), "")</f>
        <v/>
      </c>
      <c r="B142" s="14" t="inlineStr">
        <is>
          <t>Датчик вибрации</t>
        </is>
      </c>
      <c r="C142" s="8" t="inlineStr">
        <is>
          <t>ВПД 10-1,0/8,0</t>
        </is>
      </c>
      <c r="D142" s="14" t="inlineStr">
        <is>
          <t>Отсутствует доступ к датчику</t>
        </is>
      </c>
      <c r="E142" s="14" t="n">
        <v>2010</v>
      </c>
      <c r="F142" s="14" t="inlineStr">
        <is>
          <t>0…500 мкм (канал)</t>
        </is>
      </c>
      <c r="G142" s="14" t="inlineStr">
        <is>
          <t>нормируется для канала измерения</t>
        </is>
      </c>
      <c r="H142" s="15" t="inlineStr">
        <is>
          <t>Размах виброперемещения со стороны привода (вертикальная составляющая)</t>
        </is>
      </c>
      <c r="I142" s="15" t="inlineStr">
        <is>
          <t>ГПА 63</t>
        </is>
      </c>
      <c r="J142" s="15" t="inlineStr">
        <is>
          <t>АСУ,А и ТМ (КЦ № 6)</t>
        </is>
      </c>
      <c r="K142" s="15" t="n">
        <v>2012</v>
      </c>
      <c r="L142" s="14" t="n">
        <v>24</v>
      </c>
      <c r="M142" s="3" t="n"/>
      <c r="N142" s="70" t="n"/>
    </row>
    <row r="143" ht="33.75" customHeight="1" s="151">
      <c r="A143" s="15">
        <f>IF(B143&lt;&gt;"", COUNTA($B$2:B143), "")</f>
        <v/>
      </c>
      <c r="B143" s="14" t="inlineStr">
        <is>
          <t>Датчик вибрации</t>
        </is>
      </c>
      <c r="C143" s="8" t="inlineStr">
        <is>
          <t>ВПД 10-1,0/8,0</t>
        </is>
      </c>
      <c r="D143" s="14" t="inlineStr">
        <is>
          <t>Отсутствует доступ к датчику</t>
        </is>
      </c>
      <c r="E143" s="14" t="n">
        <v>2010</v>
      </c>
      <c r="F143" s="14" t="inlineStr">
        <is>
          <t>0…500 мкм (канал)</t>
        </is>
      </c>
      <c r="G143" s="14" t="inlineStr">
        <is>
          <t>нормируется для канала измерения</t>
        </is>
      </c>
      <c r="H143" s="15" t="inlineStr">
        <is>
          <t>Размах виброперемещения со стороны свободного конца (горизонтальная составляющая)</t>
        </is>
      </c>
      <c r="I143" s="15" t="inlineStr">
        <is>
          <t>ГПА 63</t>
        </is>
      </c>
      <c r="J143" s="15" t="inlineStr">
        <is>
          <t>АСУ,А и ТМ (КЦ № 6)</t>
        </is>
      </c>
      <c r="K143" s="15" t="n">
        <v>2012</v>
      </c>
      <c r="L143" s="14" t="n">
        <v>24</v>
      </c>
      <c r="M143" s="3" t="n"/>
      <c r="N143" s="70" t="n"/>
    </row>
    <row r="144" ht="33.75" customHeight="1" s="151">
      <c r="A144" s="15">
        <f>IF(B144&lt;&gt;"", COUNTA($B$2:B144), "")</f>
        <v/>
      </c>
      <c r="B144" s="14" t="inlineStr">
        <is>
          <t>Датчик вибрации</t>
        </is>
      </c>
      <c r="C144" s="8" t="inlineStr">
        <is>
          <t>ВПД 10-1,0/8,0</t>
        </is>
      </c>
      <c r="D144" s="14" t="inlineStr">
        <is>
          <t>Отсутствует доступ к датчику</t>
        </is>
      </c>
      <c r="E144" s="14" t="n">
        <v>2010</v>
      </c>
      <c r="F144" s="14" t="inlineStr">
        <is>
          <t>0…500 мкм (канал)</t>
        </is>
      </c>
      <c r="G144" s="14" t="inlineStr">
        <is>
          <t>нормируется для канала измерения</t>
        </is>
      </c>
      <c r="H144" s="15" t="inlineStr">
        <is>
          <t>Размах виброперемещения со стороны свободного конца (вертикальная составляющая)</t>
        </is>
      </c>
      <c r="I144" s="15" t="inlineStr">
        <is>
          <t>ГПА 63</t>
        </is>
      </c>
      <c r="J144" s="15" t="inlineStr">
        <is>
          <t>АСУ,А и ТМ (КЦ № 6)</t>
        </is>
      </c>
      <c r="K144" s="15" t="n">
        <v>2012</v>
      </c>
      <c r="L144" s="14" t="n">
        <v>24</v>
      </c>
      <c r="M144" s="3" t="n"/>
      <c r="N144" s="70" t="n"/>
    </row>
    <row r="145" ht="22.5" customHeight="1" s="151">
      <c r="A145" s="15">
        <f>IF(B145&lt;&gt;"", COUNTA($B$2:B145), "")</f>
        <v/>
      </c>
      <c r="B145" s="14" t="inlineStr">
        <is>
          <t>Датчик вибрации</t>
        </is>
      </c>
      <c r="C145" s="8" t="inlineStr">
        <is>
          <t>ВПД 10-1,0/8,0</t>
        </is>
      </c>
      <c r="D145" s="14" t="inlineStr">
        <is>
          <t>Отсутствует доступ к датчику</t>
        </is>
      </c>
      <c r="E145" s="14" t="n">
        <v>2010</v>
      </c>
      <c r="F145" s="14" t="inlineStr">
        <is>
          <t>0…500 мкм (канал)</t>
        </is>
      </c>
      <c r="G145" s="14" t="inlineStr">
        <is>
          <t>нормируется для канала измерения</t>
        </is>
      </c>
      <c r="H145" s="15" t="inlineStr">
        <is>
          <t>Размах виброперемещения в осевом направлении</t>
        </is>
      </c>
      <c r="I145" s="15" t="inlineStr">
        <is>
          <t>ГПА 63</t>
        </is>
      </c>
      <c r="J145" s="15" t="inlineStr">
        <is>
          <t>АСУ,А и ТМ (КЦ № 6)</t>
        </is>
      </c>
      <c r="K145" s="15" t="n">
        <v>2012</v>
      </c>
      <c r="L145" s="14" t="n">
        <v>24</v>
      </c>
      <c r="M145" s="3" t="n"/>
      <c r="N145" s="70" t="n"/>
    </row>
    <row r="146" ht="22.5" customHeight="1" s="151">
      <c r="A146" s="15">
        <f>IF(B146&lt;&gt;"", COUNTA($B$2:B146), "")</f>
        <v/>
      </c>
      <c r="B146" s="14" t="inlineStr">
        <is>
          <t>Датчик вибрации</t>
        </is>
      </c>
      <c r="C146" s="8" t="inlineStr">
        <is>
          <t>ВПД 10-1,0/7,0Р</t>
        </is>
      </c>
      <c r="D146" s="14" t="inlineStr">
        <is>
          <t>Отсутствует доступ к датчику</t>
        </is>
      </c>
      <c r="E146" s="14" t="n">
        <v>2010</v>
      </c>
      <c r="F146" s="14" t="inlineStr">
        <is>
          <t>0…1000 мкм (канал)</t>
        </is>
      </c>
      <c r="G146" s="14" t="inlineStr">
        <is>
          <t>нормируется для канала измерения</t>
        </is>
      </c>
      <c r="H146" s="15" t="inlineStr">
        <is>
          <t>Датчик оборотов ротора нагнетателя</t>
        </is>
      </c>
      <c r="I146" s="15" t="inlineStr">
        <is>
          <t>ГПА 63</t>
        </is>
      </c>
      <c r="J146" s="15" t="inlineStr">
        <is>
          <t>АСУ,А и ТМ (КЦ № 6)</t>
        </is>
      </c>
      <c r="K146" s="15" t="n">
        <v>2012</v>
      </c>
      <c r="L146" s="14" t="n">
        <v>24</v>
      </c>
      <c r="M146" s="3" t="n"/>
      <c r="N146" s="70" t="n"/>
    </row>
    <row r="147" ht="22.5" customHeight="1" s="151">
      <c r="A147" s="15">
        <f>IF(B147&lt;&gt;"", COUNTA($B$2:B147), "")</f>
        <v/>
      </c>
      <c r="B147" s="16" t="inlineStr">
        <is>
          <t>Термометр сопротивления</t>
        </is>
      </c>
      <c r="C147" s="17" t="inlineStr">
        <is>
          <t>ТСП 012.60 Pt100/B/3</t>
        </is>
      </c>
      <c r="D147" s="3" t="inlineStr">
        <is>
          <t>464</t>
        </is>
      </c>
      <c r="E147" s="15" t="n">
        <v>2011</v>
      </c>
      <c r="F147" s="17" t="inlineStr">
        <is>
          <t>-60…200 °С</t>
        </is>
      </c>
      <c r="G147" s="17" t="inlineStr">
        <is>
          <t>B</t>
        </is>
      </c>
      <c r="H147" s="3" t="inlineStr">
        <is>
          <t>Температура масла после охладителя (на входе в двигатель)</t>
        </is>
      </c>
      <c r="I147" s="15" t="inlineStr">
        <is>
          <t>ГПА 63</t>
        </is>
      </c>
      <c r="J147" s="15" t="inlineStr">
        <is>
          <t>АСУ,А и ТМ (КЦ № 6)</t>
        </is>
      </c>
      <c r="K147" s="15" t="n">
        <v>2012</v>
      </c>
      <c r="L147" s="14" t="n">
        <v>36</v>
      </c>
      <c r="M147" s="3" t="n"/>
      <c r="N147" s="70" t="n"/>
    </row>
    <row r="148" ht="22.5" customHeight="1" s="151">
      <c r="A148" s="15">
        <f>IF(B148&lt;&gt;"", COUNTA($B$2:B148), "")</f>
        <v/>
      </c>
      <c r="B148" s="16" t="inlineStr">
        <is>
          <t>Термометр сопротивления</t>
        </is>
      </c>
      <c r="C148" s="17" t="inlineStr">
        <is>
          <t>ТСП 012.60 Pt100/B/3</t>
        </is>
      </c>
      <c r="D148" s="3" t="inlineStr">
        <is>
          <t>571</t>
        </is>
      </c>
      <c r="E148" s="15" t="n">
        <v>2011</v>
      </c>
      <c r="F148" s="17" t="inlineStr">
        <is>
          <t>-60…200 °С</t>
        </is>
      </c>
      <c r="G148" s="17" t="inlineStr">
        <is>
          <t>B</t>
        </is>
      </c>
      <c r="H148" s="3" t="inlineStr">
        <is>
          <t>Температура масла на выходе двигателя (перед маслоохладителем)</t>
        </is>
      </c>
      <c r="I148" s="15" t="inlineStr">
        <is>
          <t>ГПА 63</t>
        </is>
      </c>
      <c r="J148" s="15" t="inlineStr">
        <is>
          <t>АСУ,А и ТМ (КЦ № 6)</t>
        </is>
      </c>
      <c r="K148" s="15" t="n">
        <v>2012</v>
      </c>
      <c r="L148" s="14" t="n">
        <v>36</v>
      </c>
      <c r="M148" s="3" t="n"/>
      <c r="N148" s="70" t="n"/>
    </row>
    <row r="149">
      <c r="A149" s="15">
        <f>IF(B149&lt;&gt;"", COUNTA($B$2:B149), "")</f>
        <v/>
      </c>
      <c r="B149" s="16" t="inlineStr">
        <is>
          <t>Термометр сопротивления</t>
        </is>
      </c>
      <c r="C149" s="17" t="inlineStr">
        <is>
          <t>ТСП 012.60 Pt100/B/3</t>
        </is>
      </c>
      <c r="D149" s="3" t="inlineStr">
        <is>
          <t>462</t>
        </is>
      </c>
      <c r="E149" s="15" t="n">
        <v>2011</v>
      </c>
      <c r="F149" s="17" t="inlineStr">
        <is>
          <t>-60…200 °С</t>
        </is>
      </c>
      <c r="G149" s="17" t="inlineStr">
        <is>
          <t>B</t>
        </is>
      </c>
      <c r="H149" s="3" t="inlineStr">
        <is>
          <t>Температра масла в баке двигателя</t>
        </is>
      </c>
      <c r="I149" s="15" t="inlineStr">
        <is>
          <t>ГПА 63</t>
        </is>
      </c>
      <c r="J149" s="15" t="inlineStr">
        <is>
          <t>АСУ,А и ТМ (КЦ № 6)</t>
        </is>
      </c>
      <c r="K149" s="15" t="n">
        <v>2012</v>
      </c>
      <c r="L149" s="14" t="n">
        <v>36</v>
      </c>
      <c r="M149" s="3" t="n"/>
      <c r="N149" s="70" t="n"/>
    </row>
    <row r="150" ht="22.5" customHeight="1" s="151">
      <c r="A150" s="15">
        <f>IF(B150&lt;&gt;"", COUNTA($B$2:B150), "")</f>
        <v/>
      </c>
      <c r="B150" s="16" t="inlineStr">
        <is>
          <t>Термометр сопротивления</t>
        </is>
      </c>
      <c r="C150" s="17" t="inlineStr">
        <is>
          <t>ТСП 012.60 Pt100/B/3</t>
        </is>
      </c>
      <c r="D150" s="3" t="inlineStr">
        <is>
          <t>341</t>
        </is>
      </c>
      <c r="E150" s="15" t="n">
        <v>2011</v>
      </c>
      <c r="F150" s="17" t="inlineStr">
        <is>
          <t>-60…200 °С</t>
        </is>
      </c>
      <c r="G150" s="17" t="inlineStr">
        <is>
          <t>B</t>
        </is>
      </c>
      <c r="H150" s="3" t="inlineStr">
        <is>
          <t>Температура топливного газа перед расходомерным устройством</t>
        </is>
      </c>
      <c r="I150" s="15" t="inlineStr">
        <is>
          <t>ГПА 63</t>
        </is>
      </c>
      <c r="J150" s="15" t="inlineStr">
        <is>
          <t>АСУ,А и ТМ (КЦ № 6)</t>
        </is>
      </c>
      <c r="K150" s="15" t="n">
        <v>2012</v>
      </c>
      <c r="L150" s="14" t="n">
        <v>36</v>
      </c>
      <c r="M150" s="3" t="n"/>
      <c r="N150" s="70" t="n"/>
    </row>
    <row r="151" ht="22.5" customHeight="1" s="151">
      <c r="A151" s="15">
        <f>IF(B151&lt;&gt;"", COUNTA($B$2:B151), "")</f>
        <v/>
      </c>
      <c r="B151" s="16" t="inlineStr">
        <is>
          <t>Термометр сопротивления</t>
        </is>
      </c>
      <c r="C151" s="17" t="inlineStr">
        <is>
          <t>ТСП 012.60Сп Pt100/B/3</t>
        </is>
      </c>
      <c r="D151" s="3" t="inlineStr">
        <is>
          <t>344</t>
        </is>
      </c>
      <c r="E151" s="15" t="n">
        <v>2011</v>
      </c>
      <c r="F151" s="17" t="inlineStr">
        <is>
          <t>-60…200 °С</t>
        </is>
      </c>
      <c r="G151" s="17" t="inlineStr">
        <is>
          <t>B</t>
        </is>
      </c>
      <c r="H151" s="3" t="inlineStr">
        <is>
          <t>Температура воздуха под кожухом Д т.1</t>
        </is>
      </c>
      <c r="I151" s="15" t="inlineStr">
        <is>
          <t>ГПА 63</t>
        </is>
      </c>
      <c r="J151" s="15" t="inlineStr">
        <is>
          <t>АСУ,А и ТМ (КЦ № 6)</t>
        </is>
      </c>
      <c r="K151" s="15" t="n">
        <v>2012</v>
      </c>
      <c r="L151" s="14" t="n">
        <v>36</v>
      </c>
      <c r="M151" s="3" t="n"/>
      <c r="N151" s="70" t="n"/>
    </row>
    <row r="152" ht="22.5" customHeight="1" s="151">
      <c r="A152" s="15">
        <f>IF(B152&lt;&gt;"", COUNTA($B$2:B152), "")</f>
        <v/>
      </c>
      <c r="B152" s="16" t="inlineStr">
        <is>
          <t>Термометр сопротивления</t>
        </is>
      </c>
      <c r="C152" s="17" t="inlineStr">
        <is>
          <t>ТСП 012.60Сп Pt100/B/3</t>
        </is>
      </c>
      <c r="D152" s="3" t="inlineStr">
        <is>
          <t>459</t>
        </is>
      </c>
      <c r="E152" s="15" t="n">
        <v>2011</v>
      </c>
      <c r="F152" s="17" t="inlineStr">
        <is>
          <t>-60…200 °С</t>
        </is>
      </c>
      <c r="G152" s="17" t="inlineStr">
        <is>
          <t>B</t>
        </is>
      </c>
      <c r="H152" s="3" t="inlineStr">
        <is>
          <t>Температура воздуха под кожухом Д т.2</t>
        </is>
      </c>
      <c r="I152" s="15" t="inlineStr">
        <is>
          <t>ГПА 63</t>
        </is>
      </c>
      <c r="J152" s="15" t="inlineStr">
        <is>
          <t>АСУ,А и ТМ (КЦ № 6)</t>
        </is>
      </c>
      <c r="K152" s="15" t="n">
        <v>2012</v>
      </c>
      <c r="L152" s="14" t="n">
        <v>36</v>
      </c>
      <c r="M152" s="3" t="n"/>
      <c r="N152" s="70" t="n"/>
    </row>
    <row r="153" ht="22.5" customHeight="1" s="151">
      <c r="A153" s="15">
        <f>IF(B153&lt;&gt;"", COUNTA($B$2:B153), "")</f>
        <v/>
      </c>
      <c r="B153" s="16" t="inlineStr">
        <is>
          <t>Термометр сопротивления</t>
        </is>
      </c>
      <c r="C153" s="17" t="inlineStr">
        <is>
          <t>ТСП 012.60Сп Pt100/B/3</t>
        </is>
      </c>
      <c r="D153" s="3" t="inlineStr">
        <is>
          <t>342</t>
        </is>
      </c>
      <c r="E153" s="15" t="n">
        <v>2011</v>
      </c>
      <c r="F153" s="17" t="inlineStr">
        <is>
          <t>-60…200 °С</t>
        </is>
      </c>
      <c r="G153" s="17" t="inlineStr">
        <is>
          <t>B</t>
        </is>
      </c>
      <c r="H153" s="3" t="inlineStr">
        <is>
          <t>Температура воздуха под кожухом Д т.3</t>
        </is>
      </c>
      <c r="I153" s="15" t="inlineStr">
        <is>
          <t>ГПА 63</t>
        </is>
      </c>
      <c r="J153" s="15" t="inlineStr">
        <is>
          <t>АСУ,А и ТМ (КЦ № 6)</t>
        </is>
      </c>
      <c r="K153" s="15" t="n">
        <v>2012</v>
      </c>
      <c r="L153" s="14" t="n">
        <v>36</v>
      </c>
      <c r="M153" s="3" t="n"/>
      <c r="N153" s="70" t="n"/>
    </row>
    <row r="154" ht="22.5" customHeight="1" s="151">
      <c r="A154" s="15">
        <f>IF(B154&lt;&gt;"", COUNTA($B$2:B154), "")</f>
        <v/>
      </c>
      <c r="B154" s="16" t="inlineStr">
        <is>
          <t>Термометр сопротивления</t>
        </is>
      </c>
      <c r="C154" s="17" t="inlineStr">
        <is>
          <t>ТСП 012.60Сп Pt100/B/3</t>
        </is>
      </c>
      <c r="D154" s="15" t="inlineStr">
        <is>
          <t>349</t>
        </is>
      </c>
      <c r="E154" s="15" t="n">
        <v>2011</v>
      </c>
      <c r="F154" s="17" t="inlineStr">
        <is>
          <t>-60…200 °С</t>
        </is>
      </c>
      <c r="G154" s="17" t="inlineStr">
        <is>
          <t>B</t>
        </is>
      </c>
      <c r="H154" s="3" t="inlineStr">
        <is>
          <t>Температура воздуха под кожухом Д т.4</t>
        </is>
      </c>
      <c r="I154" s="15" t="inlineStr">
        <is>
          <t>ГПА 63</t>
        </is>
      </c>
      <c r="J154" s="15" t="inlineStr">
        <is>
          <t>АСУ,А и ТМ (КЦ № 6)</t>
        </is>
      </c>
      <c r="K154" s="15" t="n">
        <v>2012</v>
      </c>
      <c r="L154" s="14" t="n">
        <v>36</v>
      </c>
      <c r="M154" s="3" t="n"/>
      <c r="N154" s="70" t="n"/>
    </row>
    <row r="155" ht="33.75" customHeight="1" s="151">
      <c r="A155" s="15">
        <f>IF(B155&lt;&gt;"", COUNTA($B$2:B155), "")</f>
        <v/>
      </c>
      <c r="B155" s="16" t="inlineStr">
        <is>
          <t>Термометр сопротивления</t>
        </is>
      </c>
      <c r="C155" s="17" t="inlineStr">
        <is>
          <t>ТСП 012.60 Pt100/B/3</t>
        </is>
      </c>
      <c r="D155" s="3" t="inlineStr">
        <is>
          <t>317</t>
        </is>
      </c>
      <c r="E155" s="15" t="n">
        <v>2011</v>
      </c>
      <c r="F155" s="17" t="inlineStr">
        <is>
          <t>-60…200 °С</t>
        </is>
      </c>
      <c r="G155" s="17" t="inlineStr">
        <is>
          <t>B по ГОСТ Р 8.625</t>
        </is>
      </c>
      <c r="H155" s="3" t="inlineStr">
        <is>
          <t>Температура защитного воздуха на выходе оболочки опорного подшипника (передний)</t>
        </is>
      </c>
      <c r="I155" s="15" t="inlineStr">
        <is>
          <t>ГПА 63</t>
        </is>
      </c>
      <c r="J155" s="15" t="inlineStr">
        <is>
          <t>АСУ,А и ТМ (КЦ № 6)</t>
        </is>
      </c>
      <c r="K155" s="15" t="n">
        <v>2012</v>
      </c>
      <c r="L155" s="14" t="n">
        <v>36</v>
      </c>
      <c r="M155" s="3" t="n"/>
      <c r="N155" s="70" t="n"/>
    </row>
    <row r="156" ht="33.75" customHeight="1" s="151">
      <c r="A156" s="15">
        <f>IF(B156&lt;&gt;"", COUNTA($B$2:B156), "")</f>
        <v/>
      </c>
      <c r="B156" s="16" t="inlineStr">
        <is>
          <t>Термометр сопротивления</t>
        </is>
      </c>
      <c r="C156" s="17" t="inlineStr">
        <is>
          <t>ТСП 012.60 Pt100/B/3</t>
        </is>
      </c>
      <c r="D156" s="3" t="inlineStr">
        <is>
          <t>320</t>
        </is>
      </c>
      <c r="E156" s="41" t="n">
        <v>2011</v>
      </c>
      <c r="F156" s="17" t="inlineStr">
        <is>
          <t>-60…200 °С</t>
        </is>
      </c>
      <c r="G156" s="17" t="inlineStr">
        <is>
          <t>B по ГОСТ Р 8.625</t>
        </is>
      </c>
      <c r="H156" s="3" t="inlineStr">
        <is>
          <t>Температура защитного воздуха на входе установки фильтров перед КЭП10 (на входе ТГДУ)</t>
        </is>
      </c>
      <c r="I156" s="15" t="inlineStr">
        <is>
          <t>ГПА 63</t>
        </is>
      </c>
      <c r="J156" s="15" t="inlineStr">
        <is>
          <t>АСУ,А и ТМ (КЦ № 6)</t>
        </is>
      </c>
      <c r="K156" s="15" t="n">
        <v>2012</v>
      </c>
      <c r="L156" s="14" t="n">
        <v>36</v>
      </c>
      <c r="M156" s="3" t="n"/>
      <c r="N156" s="70" t="n"/>
    </row>
    <row r="157" ht="22.5" customHeight="1" s="151">
      <c r="A157" s="15">
        <f>IF(B157&lt;&gt;"", COUNTA($B$2:B157), "")</f>
        <v/>
      </c>
      <c r="B157" s="16" t="inlineStr">
        <is>
          <t>Термометр сопротивления</t>
        </is>
      </c>
      <c r="C157" s="17" t="inlineStr">
        <is>
          <t>ТСП 012.60 Pt100/B/3</t>
        </is>
      </c>
      <c r="D157" s="3" t="inlineStr">
        <is>
          <t>345</t>
        </is>
      </c>
      <c r="E157" s="41" t="n">
        <v>2011</v>
      </c>
      <c r="F157" s="17" t="inlineStr">
        <is>
          <t>-60…200 °С</t>
        </is>
      </c>
      <c r="G157" s="17" t="inlineStr">
        <is>
          <t>B</t>
        </is>
      </c>
      <c r="H157" s="3" t="inlineStr">
        <is>
          <t>Температура газа на выходе из компрессора</t>
        </is>
      </c>
      <c r="I157" s="15" t="inlineStr">
        <is>
          <t>ГПА 63</t>
        </is>
      </c>
      <c r="J157" s="15" t="inlineStr">
        <is>
          <t>АСУ,А и ТМ (КЦ № 6)</t>
        </is>
      </c>
      <c r="K157" s="15" t="n">
        <v>2012</v>
      </c>
      <c r="L157" s="14" t="n">
        <v>36</v>
      </c>
      <c r="M157" s="3" t="n"/>
      <c r="N157" s="70" t="n"/>
    </row>
    <row r="158" s="151">
      <c r="A158" s="15">
        <f>IF(B158&lt;&gt;"", COUNTA($B$2:B158), "")</f>
        <v/>
      </c>
      <c r="B158" s="16" t="inlineStr">
        <is>
          <t>Термометр сопротивления</t>
        </is>
      </c>
      <c r="C158" s="17" t="inlineStr">
        <is>
          <t>ТСПУ-Л-22162</t>
        </is>
      </c>
      <c r="D158" s="14" t="n">
        <v>18</v>
      </c>
      <c r="E158" s="48" t="inlineStr">
        <is>
          <t>2012</t>
        </is>
      </c>
      <c r="F158" s="10" t="inlineStr">
        <is>
          <t>­50…100 °C</t>
        </is>
      </c>
      <c r="G158" s="17" t="inlineStr">
        <is>
          <t>0,5</t>
        </is>
      </c>
      <c r="H158" s="3" t="inlineStr">
        <is>
          <t>Температура воздуха в укрытии</t>
        </is>
      </c>
      <c r="I158" s="15" t="inlineStr">
        <is>
          <t>ГПА 63</t>
        </is>
      </c>
      <c r="J158" s="15" t="inlineStr">
        <is>
          <t>АСУ,А и ТМ (КЦ № 6)</t>
        </is>
      </c>
      <c r="K158" s="15" t="n">
        <v>2012</v>
      </c>
      <c r="L158" s="14" t="n">
        <v>60</v>
      </c>
      <c r="M158" s="3" t="n"/>
      <c r="N158" s="70" t="n"/>
    </row>
    <row r="159" ht="22.5" customHeight="1" s="151">
      <c r="A159" s="15">
        <f>IF(B159&lt;&gt;"", COUNTA($B$2:B159), "")</f>
        <v/>
      </c>
      <c r="B159" s="16" t="inlineStr">
        <is>
          <t>Термометр сопротивления</t>
        </is>
      </c>
      <c r="C159" s="17" t="inlineStr">
        <is>
          <t>ТСП 012.60 Pt100/B/3</t>
        </is>
      </c>
      <c r="D159" s="3" t="inlineStr">
        <is>
          <t>388</t>
        </is>
      </c>
      <c r="E159" s="41" t="n">
        <v>2011</v>
      </c>
      <c r="F159" s="17" t="inlineStr">
        <is>
          <t>-60…200 °С</t>
        </is>
      </c>
      <c r="G159" s="17" t="inlineStr">
        <is>
          <t>B</t>
        </is>
      </c>
      <c r="H159" s="3" t="inlineStr">
        <is>
          <t>Температура теплоносителя в подогревателе буферного газа</t>
        </is>
      </c>
      <c r="I159" s="15" t="inlineStr">
        <is>
          <t>ГПА 63</t>
        </is>
      </c>
      <c r="J159" s="15" t="inlineStr">
        <is>
          <t>АСУ,А и ТМ (КЦ № 6)</t>
        </is>
      </c>
      <c r="K159" s="15" t="n">
        <v>2012</v>
      </c>
      <c r="L159" s="14" t="n">
        <v>36</v>
      </c>
      <c r="M159" s="3" t="n"/>
      <c r="N159" s="70" t="n"/>
    </row>
    <row r="160" ht="22.5" customHeight="1" s="151">
      <c r="A160" s="15">
        <f>IF(B160&lt;&gt;"", COUNTA($B$2:B160), "")</f>
        <v/>
      </c>
      <c r="B160" s="16" t="inlineStr">
        <is>
          <t>Термометр сопротивления</t>
        </is>
      </c>
      <c r="C160" s="17" t="inlineStr">
        <is>
          <t>ТСП 012.60 Pt100/B/3</t>
        </is>
      </c>
      <c r="D160" s="3" t="inlineStr">
        <is>
          <t>506</t>
        </is>
      </c>
      <c r="E160" s="41" t="n">
        <v>2011</v>
      </c>
      <c r="F160" s="17" t="inlineStr">
        <is>
          <t>-60…200 °С</t>
        </is>
      </c>
      <c r="G160" s="17" t="inlineStr">
        <is>
          <t>B</t>
        </is>
      </c>
      <c r="H160" s="3" t="inlineStr">
        <is>
          <t>Температура буферного газа на выходе подогревателя</t>
        </is>
      </c>
      <c r="I160" s="15" t="inlineStr">
        <is>
          <t>ГПА 63</t>
        </is>
      </c>
      <c r="J160" s="15" t="inlineStr">
        <is>
          <t>АСУ,А и ТМ (КЦ № 6)</t>
        </is>
      </c>
      <c r="K160" s="15" t="n">
        <v>2012</v>
      </c>
      <c r="L160" s="14" t="n">
        <v>36</v>
      </c>
      <c r="M160" s="3" t="n"/>
      <c r="N160" s="70" t="n"/>
    </row>
    <row r="161" ht="22.5" customHeight="1" s="151">
      <c r="A161" s="15">
        <f>IF(B161&lt;&gt;"", COUNTA($B$2:B161), "")</f>
        <v/>
      </c>
      <c r="B161" s="16" t="inlineStr">
        <is>
          <t>Термометр сопротивления</t>
        </is>
      </c>
      <c r="C161" s="17" t="inlineStr">
        <is>
          <t>ТСП 012.60 Pt100/B/3</t>
        </is>
      </c>
      <c r="D161" s="3" t="inlineStr">
        <is>
          <t>309</t>
        </is>
      </c>
      <c r="E161" s="41" t="n">
        <v>2011</v>
      </c>
      <c r="F161" s="17" t="inlineStr">
        <is>
          <t>-60…200 °С</t>
        </is>
      </c>
      <c r="G161" s="17" t="inlineStr">
        <is>
          <t>B</t>
        </is>
      </c>
      <c r="H161" s="3" t="inlineStr">
        <is>
          <t>Температура газа на входе в компрессор</t>
        </is>
      </c>
      <c r="I161" s="15" t="inlineStr">
        <is>
          <t>ГПА 63</t>
        </is>
      </c>
      <c r="J161" s="15" t="inlineStr">
        <is>
          <t>АСУ,А и ТМ (КЦ № 6)</t>
        </is>
      </c>
      <c r="K161" s="15" t="n">
        <v>2012</v>
      </c>
      <c r="L161" s="14" t="n">
        <v>36</v>
      </c>
      <c r="M161" s="3" t="n"/>
      <c r="N161" s="70" t="n"/>
    </row>
    <row r="162" ht="33.75" customHeight="1" s="151">
      <c r="A162" s="15">
        <f>IF(B162&lt;&gt;"", COUNTA($B$2:B162), "")</f>
        <v/>
      </c>
      <c r="B162" s="16" t="inlineStr">
        <is>
          <t>Термометр сопротивления</t>
        </is>
      </c>
      <c r="C162" s="17" t="inlineStr">
        <is>
          <t>ТСП 319М.09 Pt100/B/3</t>
        </is>
      </c>
      <c r="D162" s="3" t="inlineStr">
        <is>
          <t>1264</t>
        </is>
      </c>
      <c r="E162" s="48" t="inlineStr">
        <is>
          <t>2010</t>
        </is>
      </c>
      <c r="F162" s="39" t="inlineStr">
        <is>
          <t>-60…180 °С</t>
        </is>
      </c>
      <c r="G162" s="17" t="inlineStr">
        <is>
          <t>B</t>
        </is>
      </c>
      <c r="H162" s="17" t="inlineStr">
        <is>
          <t>Температура электромагнита опорного подшипника со стороны привода</t>
        </is>
      </c>
      <c r="I162" s="15" t="inlineStr">
        <is>
          <t>ГПА 63</t>
        </is>
      </c>
      <c r="J162" s="15" t="inlineStr">
        <is>
          <t>АСУ,А и ТМ (КЦ № 6)</t>
        </is>
      </c>
      <c r="K162" s="15" t="n">
        <v>2012</v>
      </c>
      <c r="L162" s="14" t="n">
        <v>24</v>
      </c>
      <c r="M162" s="3" t="n"/>
      <c r="N162" s="70" t="n"/>
    </row>
    <row r="163" ht="33.75" customHeight="1" s="151">
      <c r="A163" s="15">
        <f>IF(B163&lt;&gt;"", COUNTA($B$2:B163), "")</f>
        <v/>
      </c>
      <c r="B163" s="16" t="inlineStr">
        <is>
          <t>Термометр сопротивления</t>
        </is>
      </c>
      <c r="C163" s="17" t="inlineStr">
        <is>
          <t>ТСП 319М.09 Pt100/B/3</t>
        </is>
      </c>
      <c r="D163" s="3" t="inlineStr">
        <is>
          <t>1110</t>
        </is>
      </c>
      <c r="E163" s="48" t="inlineStr">
        <is>
          <t>2010</t>
        </is>
      </c>
      <c r="F163" s="39" t="inlineStr">
        <is>
          <t>-60…180 °С</t>
        </is>
      </c>
      <c r="G163" s="17" t="inlineStr">
        <is>
          <t>B</t>
        </is>
      </c>
      <c r="H163" s="17" t="inlineStr">
        <is>
          <t>Температура электромагнита опорного подшипника со стороны свободного конца</t>
        </is>
      </c>
      <c r="I163" s="15" t="inlineStr">
        <is>
          <t>ГПА 63</t>
        </is>
      </c>
      <c r="J163" s="15" t="inlineStr">
        <is>
          <t>АСУ,А и ТМ (КЦ № 6)</t>
        </is>
      </c>
      <c r="K163" s="15" t="n">
        <v>2012</v>
      </c>
      <c r="L163" s="14" t="n">
        <v>24</v>
      </c>
      <c r="M163" s="3" t="n"/>
      <c r="N163" s="70" t="n"/>
    </row>
    <row r="164" ht="22.5" customHeight="1" s="151">
      <c r="A164" s="15">
        <f>IF(B164&lt;&gt;"", COUNTA($B$2:B164), "")</f>
        <v/>
      </c>
      <c r="B164" s="38" t="inlineStr">
        <is>
          <t>Термометр сопротивления</t>
        </is>
      </c>
      <c r="C164" s="17" t="inlineStr">
        <is>
          <t>ТСП 319М.09 Pt100/B/3</t>
        </is>
      </c>
      <c r="D164" s="40" t="inlineStr">
        <is>
          <t>1096</t>
        </is>
      </c>
      <c r="E164" s="48" t="inlineStr">
        <is>
          <t>2010</t>
        </is>
      </c>
      <c r="F164" s="39" t="inlineStr">
        <is>
          <t>-60..+180 °С</t>
        </is>
      </c>
      <c r="G164" s="39" t="inlineStr">
        <is>
          <t>B</t>
        </is>
      </c>
      <c r="H164" s="39" t="inlineStr">
        <is>
          <t>Температура левого осевого электромагнита</t>
        </is>
      </c>
      <c r="I164" s="15" t="inlineStr">
        <is>
          <t>ГПА 63</t>
        </is>
      </c>
      <c r="J164" s="15" t="inlineStr">
        <is>
          <t>АСУ,А и ТМ (КЦ № 6)</t>
        </is>
      </c>
      <c r="K164" s="15" t="n">
        <v>2012</v>
      </c>
      <c r="L164" s="14" t="n">
        <v>24</v>
      </c>
      <c r="M164" s="3" t="n"/>
      <c r="N164" s="70" t="n"/>
    </row>
    <row r="165" ht="22.5" customHeight="1" s="151">
      <c r="A165" s="15">
        <f>IF(B165&lt;&gt;"", COUNTA($B$2:B165), "")</f>
        <v/>
      </c>
      <c r="B165" s="16" t="inlineStr">
        <is>
          <t>Термометр сопротивления</t>
        </is>
      </c>
      <c r="C165" s="17" t="inlineStr">
        <is>
          <t>ТСП 319М.09 Pt100/B/3</t>
        </is>
      </c>
      <c r="D165" s="3" t="inlineStr">
        <is>
          <t>1363</t>
        </is>
      </c>
      <c r="E165" s="14" t="inlineStr">
        <is>
          <t>2010</t>
        </is>
      </c>
      <c r="F165" s="39" t="inlineStr">
        <is>
          <t>-60..+180 °С</t>
        </is>
      </c>
      <c r="G165" s="17" t="inlineStr">
        <is>
          <t>B</t>
        </is>
      </c>
      <c r="H165" s="17" t="inlineStr">
        <is>
          <t>Температура правого осевого электромагнита</t>
        </is>
      </c>
      <c r="I165" s="15" t="inlineStr">
        <is>
          <t>ГПА 63</t>
        </is>
      </c>
      <c r="J165" s="15" t="inlineStr">
        <is>
          <t>АСУ,А и ТМ (КЦ № 6)</t>
        </is>
      </c>
      <c r="K165" s="15" t="n">
        <v>2012</v>
      </c>
      <c r="L165" s="14" t="n">
        <v>24</v>
      </c>
      <c r="M165" s="3" t="n"/>
      <c r="N165" s="70" t="n"/>
    </row>
    <row r="166">
      <c r="A166" s="15">
        <f>IF(B166&lt;&gt;"", COUNTA($B$2:B166), "")</f>
        <v/>
      </c>
      <c r="B166" s="16" t="inlineStr">
        <is>
          <t>Термометр сопротивления</t>
        </is>
      </c>
      <c r="C166" s="17" t="inlineStr">
        <is>
          <t>ТСП 9204-06 100П/B/3</t>
        </is>
      </c>
      <c r="D166" s="17" t="inlineStr">
        <is>
          <t>4036</t>
        </is>
      </c>
      <c r="E166" s="15" t="n">
        <v>2011</v>
      </c>
      <c r="F166" s="17" t="inlineStr">
        <is>
          <t>-50…150 °С</t>
        </is>
      </c>
      <c r="G166" s="17" t="inlineStr">
        <is>
          <t>B</t>
        </is>
      </c>
      <c r="H166" s="16" t="inlineStr">
        <is>
          <t>Температура холодного спая в САУ</t>
        </is>
      </c>
      <c r="I166" s="15" t="inlineStr">
        <is>
          <t>ГПА 63</t>
        </is>
      </c>
      <c r="J166" s="15" t="inlineStr">
        <is>
          <t>АСУ,А и ТМ (КЦ № 6)</t>
        </is>
      </c>
      <c r="K166" s="15" t="n">
        <v>2012</v>
      </c>
      <c r="L166" s="26" t="n">
        <v>24</v>
      </c>
      <c r="M166" s="3" t="n"/>
      <c r="N166" s="70" t="n"/>
    </row>
    <row r="167" ht="22.5" customHeight="1" s="151">
      <c r="A167" s="15">
        <f>IF(B167&lt;&gt;"", COUNTA($B$2:B167), "")</f>
        <v/>
      </c>
      <c r="B167" s="16" t="inlineStr">
        <is>
          <t>Термометр сопротивления</t>
        </is>
      </c>
      <c r="C167" s="17" t="inlineStr">
        <is>
          <t>ТСП 012.60 Pt100/B/3</t>
        </is>
      </c>
      <c r="D167" s="3" t="inlineStr">
        <is>
          <t xml:space="preserve">338 </t>
        </is>
      </c>
      <c r="E167" s="15" t="n">
        <v>2011</v>
      </c>
      <c r="F167" s="17" t="inlineStr">
        <is>
          <t>-60…200 °С</t>
        </is>
      </c>
      <c r="G167" s="17" t="inlineStr">
        <is>
          <t>B</t>
        </is>
      </c>
      <c r="H167" s="17" t="inlineStr">
        <is>
          <t>Температура воздуха в  отсеке пожаротушения</t>
        </is>
      </c>
      <c r="I167" s="15" t="inlineStr">
        <is>
          <t>ГПА 63</t>
        </is>
      </c>
      <c r="J167" s="15" t="inlineStr">
        <is>
          <t>АСУ,А и ТМ (КЦ № 6)</t>
        </is>
      </c>
      <c r="K167" s="15" t="n">
        <v>2012</v>
      </c>
      <c r="L167" s="14" t="n">
        <v>36</v>
      </c>
      <c r="M167" s="3" t="n"/>
      <c r="N167" s="70" t="n"/>
    </row>
    <row r="168" ht="22.5" customHeight="1" s="151">
      <c r="A168" s="15">
        <f>IF(B168&lt;&gt;"", COUNTA($B$2:B168), "")</f>
        <v/>
      </c>
      <c r="B168" s="16" t="inlineStr">
        <is>
          <t>Термометр сопротивления</t>
        </is>
      </c>
      <c r="C168" s="17" t="inlineStr">
        <is>
          <t>ТСП 012.60 Pt100/B/3</t>
        </is>
      </c>
      <c r="D168" s="3" t="inlineStr">
        <is>
          <t>570</t>
        </is>
      </c>
      <c r="E168" s="15" t="n">
        <v>2011</v>
      </c>
      <c r="F168" s="17" t="inlineStr">
        <is>
          <t>-60…200 °С</t>
        </is>
      </c>
      <c r="G168" s="17" t="inlineStr">
        <is>
          <t>B</t>
        </is>
      </c>
      <c r="H168" s="17" t="inlineStr">
        <is>
          <t>Температура воздуха в  отсеке пожаротушения</t>
        </is>
      </c>
      <c r="I168" s="15" t="inlineStr">
        <is>
          <t>ГПА 63</t>
        </is>
      </c>
      <c r="J168" s="15" t="inlineStr">
        <is>
          <t>АСУ,А и ТМ (КЦ № 6)</t>
        </is>
      </c>
      <c r="K168" s="15" t="n">
        <v>2012</v>
      </c>
      <c r="L168" s="14" t="n">
        <v>36</v>
      </c>
      <c r="M168" s="3" t="n"/>
      <c r="N168" s="70" t="n"/>
    </row>
    <row r="169" ht="22.5" customHeight="1" s="151">
      <c r="A169" s="15">
        <f>IF(B169&lt;&gt;"", COUNTA($B$2:B169), "")</f>
        <v/>
      </c>
      <c r="B169" s="16" t="inlineStr">
        <is>
          <t>Термометр сопротивления</t>
        </is>
      </c>
      <c r="C169" s="17" t="inlineStr">
        <is>
          <t>ТСП 012.60 Pt100/B/3</t>
        </is>
      </c>
      <c r="D169" s="3" t="inlineStr">
        <is>
          <t>569</t>
        </is>
      </c>
      <c r="E169" s="15" t="n">
        <v>2011</v>
      </c>
      <c r="F169" s="17" t="inlineStr">
        <is>
          <t>-60…200 °С</t>
        </is>
      </c>
      <c r="G169" s="17" t="inlineStr">
        <is>
          <t>B</t>
        </is>
      </c>
      <c r="H169" s="17" t="inlineStr">
        <is>
          <t>Температура обогревателя в  отсеке пожаротушения</t>
        </is>
      </c>
      <c r="I169" s="15" t="inlineStr">
        <is>
          <t>ГПА 63</t>
        </is>
      </c>
      <c r="J169" s="15" t="inlineStr">
        <is>
          <t>АСУ,А и ТМ (КЦ № 6)</t>
        </is>
      </c>
      <c r="K169" s="15" t="n">
        <v>2012</v>
      </c>
      <c r="L169" s="14" t="n">
        <v>36</v>
      </c>
      <c r="M169" s="3" t="n"/>
      <c r="N169" s="70" t="n"/>
    </row>
    <row r="170" ht="22.5" customHeight="1" s="151">
      <c r="A170" s="15">
        <f>IF(B170&lt;&gt;"", COUNTA($B$2:B170), "")</f>
        <v/>
      </c>
      <c r="B170" s="16" t="inlineStr">
        <is>
          <t>Термометр сопротивления</t>
        </is>
      </c>
      <c r="C170" s="17" t="inlineStr">
        <is>
          <t>ТСП 319М.03 Pt100/B/3</t>
        </is>
      </c>
      <c r="D170" s="17" t="inlineStr">
        <is>
          <t>1115</t>
        </is>
      </c>
      <c r="E170" s="15" t="n">
        <v>2011</v>
      </c>
      <c r="F170" s="17" t="inlineStr">
        <is>
          <t>-60…180 °С</t>
        </is>
      </c>
      <c r="G170" s="17" t="inlineStr">
        <is>
          <t>B</t>
        </is>
      </c>
      <c r="H170" s="17" t="inlineStr">
        <is>
          <t>Температура воздуха в блоке автоматики</t>
        </is>
      </c>
      <c r="I170" s="15" t="inlineStr">
        <is>
          <t>ГПА 63</t>
        </is>
      </c>
      <c r="J170" s="15" t="inlineStr">
        <is>
          <t>АСУ,А и ТМ (КЦ № 6)</t>
        </is>
      </c>
      <c r="K170" s="15" t="n">
        <v>2012</v>
      </c>
      <c r="L170" s="26" t="n">
        <v>24</v>
      </c>
      <c r="M170" s="3" t="n"/>
      <c r="N170" s="70" t="n"/>
    </row>
    <row r="171">
      <c r="A171" s="15">
        <f>IF(B171&lt;&gt;"", COUNTA($B$2:B171), "")</f>
        <v/>
      </c>
      <c r="B171" s="16" t="inlineStr">
        <is>
          <t>Термометр сопротивления</t>
        </is>
      </c>
      <c r="C171" s="17" t="inlineStr">
        <is>
          <t>ТСП 012.60Сп Pt100/B/3</t>
        </is>
      </c>
      <c r="D171" s="3" t="inlineStr">
        <is>
          <t>503</t>
        </is>
      </c>
      <c r="E171" s="15" t="n">
        <v>2011</v>
      </c>
      <c r="F171" s="17" t="inlineStr">
        <is>
          <t>-60…200 °С</t>
        </is>
      </c>
      <c r="G171" s="17" t="inlineStr">
        <is>
          <t>B</t>
        </is>
      </c>
      <c r="H171" s="17" t="inlineStr">
        <is>
          <t xml:space="preserve">Температура атмосферного воздуха </t>
        </is>
      </c>
      <c r="I171" s="15" t="inlineStr">
        <is>
          <t>ГПА 63</t>
        </is>
      </c>
      <c r="J171" s="15" t="inlineStr">
        <is>
          <t>АСУ,А и ТМ (КЦ № 6)</t>
        </is>
      </c>
      <c r="K171" s="15" t="n">
        <v>2012</v>
      </c>
      <c r="L171" s="14" t="n">
        <v>36</v>
      </c>
      <c r="M171" s="3" t="n"/>
      <c r="N171" s="70" t="n"/>
    </row>
    <row r="172" ht="22.5" customHeight="1" s="151">
      <c r="A172" s="15">
        <f>IF(B172&lt;&gt;"", COUNTA($B$2:B172), "")</f>
        <v/>
      </c>
      <c r="B172" s="16" t="inlineStr">
        <is>
          <t>Термометр сопротивления</t>
        </is>
      </c>
      <c r="C172" s="17" t="inlineStr">
        <is>
          <t>ТСМ 319М-05.02 50М/B/3</t>
        </is>
      </c>
      <c r="D172" s="17" t="inlineStr">
        <is>
          <t>1310</t>
        </is>
      </c>
      <c r="E172" s="15" t="n">
        <v>2011</v>
      </c>
      <c r="F172" s="17" t="inlineStr">
        <is>
          <t>-60…180 °С</t>
        </is>
      </c>
      <c r="G172" s="17" t="inlineStr">
        <is>
          <t>B</t>
        </is>
      </c>
      <c r="H172" s="17" t="inlineStr">
        <is>
          <t>Температура в контейнере Atlas Copco</t>
        </is>
      </c>
      <c r="I172" s="15" t="inlineStr">
        <is>
          <t>ГПА 63</t>
        </is>
      </c>
      <c r="J172" s="15" t="inlineStr">
        <is>
          <t>АСУ,А и ТМ (КЦ № 6)</t>
        </is>
      </c>
      <c r="K172" s="15" t="n">
        <v>2012</v>
      </c>
      <c r="L172" s="26" t="n">
        <v>24</v>
      </c>
      <c r="M172" s="3" t="n"/>
      <c r="N172" s="70" t="n"/>
    </row>
    <row r="173" ht="22.5" customHeight="1" s="151">
      <c r="A173" s="15">
        <f>IF(B173&lt;&gt;"", COUNTA($B$2:B173), "")</f>
        <v/>
      </c>
      <c r="B173" s="14" t="inlineStr">
        <is>
          <t>Датчик вибрации</t>
        </is>
      </c>
      <c r="C173" s="8" t="inlineStr">
        <is>
          <t>МВ-46Г</t>
        </is>
      </c>
      <c r="D173" s="14" t="n">
        <v>112705</v>
      </c>
      <c r="E173" s="15" t="n">
        <v>2011</v>
      </c>
      <c r="F173" s="14" t="inlineStr">
        <is>
          <t>0…100 мм/с</t>
        </is>
      </c>
      <c r="G173" s="14" t="n">
        <v>2.5</v>
      </c>
      <c r="H173" s="15" t="inlineStr">
        <is>
          <t>Виброскорость в зоне КНД (вертикаль)</t>
        </is>
      </c>
      <c r="I173" s="15" t="inlineStr">
        <is>
          <t>ГПА 63</t>
        </is>
      </c>
      <c r="J173" s="15" t="inlineStr">
        <is>
          <t>АСУ,А и ТМ (КЦ № 6)</t>
        </is>
      </c>
      <c r="K173" s="15" t="n">
        <v>2012</v>
      </c>
      <c r="L173" s="15" t="n">
        <v>12</v>
      </c>
      <c r="M173" s="3" t="n"/>
      <c r="N173" s="70" t="n"/>
    </row>
    <row r="174" ht="22.5" customHeight="1" s="151">
      <c r="A174" s="15">
        <f>IF(B174&lt;&gt;"", COUNTA($B$2:B174), "")</f>
        <v/>
      </c>
      <c r="B174" s="14" t="inlineStr">
        <is>
          <t>Датчик вибрации</t>
        </is>
      </c>
      <c r="C174" s="8" t="inlineStr">
        <is>
          <t>МВ-46Г</t>
        </is>
      </c>
      <c r="D174" s="14" t="n">
        <v>112684</v>
      </c>
      <c r="E174" s="15" t="n">
        <v>2011</v>
      </c>
      <c r="F174" s="14" t="inlineStr">
        <is>
          <t>0…100 мм/с</t>
        </is>
      </c>
      <c r="G174" s="14" t="n">
        <v>2.5</v>
      </c>
      <c r="H174" s="15" t="inlineStr">
        <is>
          <t>Виброскорость в зоне КНД (горизонталь)</t>
        </is>
      </c>
      <c r="I174" s="15" t="inlineStr">
        <is>
          <t>ГПА 63</t>
        </is>
      </c>
      <c r="J174" s="15" t="inlineStr">
        <is>
          <t>АСУ,А и ТМ (КЦ № 6)</t>
        </is>
      </c>
      <c r="K174" s="15" t="n">
        <v>2012</v>
      </c>
      <c r="L174" s="15" t="n">
        <v>12</v>
      </c>
      <c r="M174" s="3" t="n"/>
      <c r="N174" s="70" t="n"/>
    </row>
    <row r="175" ht="22.5" customHeight="1" s="151">
      <c r="A175" s="15">
        <f>IF(B175&lt;&gt;"", COUNTA($B$2:B175), "")</f>
        <v/>
      </c>
      <c r="B175" s="14" t="inlineStr">
        <is>
          <t>Датчик вибрации</t>
        </is>
      </c>
      <c r="C175" s="8" t="inlineStr">
        <is>
          <t>МВ-46Г</t>
        </is>
      </c>
      <c r="D175" s="14" t="n">
        <v>112689</v>
      </c>
      <c r="E175" s="15" t="n">
        <v>2011</v>
      </c>
      <c r="F175" s="14" t="inlineStr">
        <is>
          <t>0…100 мм/с</t>
        </is>
      </c>
      <c r="G175" s="14" t="n">
        <v>2.5</v>
      </c>
      <c r="H175" s="15" t="inlineStr">
        <is>
          <t>Виброскорость в зоне средней опоры (вертикаль)</t>
        </is>
      </c>
      <c r="I175" s="15" t="inlineStr">
        <is>
          <t>ГПА 63</t>
        </is>
      </c>
      <c r="J175" s="15" t="inlineStr">
        <is>
          <t>АСУ,А и ТМ (КЦ № 6)</t>
        </is>
      </c>
      <c r="K175" s="15" t="n">
        <v>2012</v>
      </c>
      <c r="L175" s="15" t="n">
        <v>12</v>
      </c>
      <c r="M175" s="3" t="n"/>
      <c r="N175" s="70" t="n"/>
    </row>
    <row r="176" ht="22.5" customHeight="1" s="151">
      <c r="A176" s="15">
        <f>IF(B176&lt;&gt;"", COUNTA($B$2:B176), "")</f>
        <v/>
      </c>
      <c r="B176" s="14" t="inlineStr">
        <is>
          <t>Датчик вибрации</t>
        </is>
      </c>
      <c r="C176" s="8" t="inlineStr">
        <is>
          <t>МВ-46Г</t>
        </is>
      </c>
      <c r="D176" s="14" t="n">
        <v>112696</v>
      </c>
      <c r="E176" s="15" t="n">
        <v>2011</v>
      </c>
      <c r="F176" s="14" t="inlineStr">
        <is>
          <t>0…100 мм/с</t>
        </is>
      </c>
      <c r="G176" s="14" t="n">
        <v>2.5</v>
      </c>
      <c r="H176" s="15" t="inlineStr">
        <is>
          <t>Виброскорость в зоне средней опоры (горизонталь)</t>
        </is>
      </c>
      <c r="I176" s="15" t="inlineStr">
        <is>
          <t>ГПА 63</t>
        </is>
      </c>
      <c r="J176" s="15" t="inlineStr">
        <is>
          <t>АСУ,А и ТМ (КЦ № 6)</t>
        </is>
      </c>
      <c r="K176" s="15" t="n">
        <v>2012</v>
      </c>
      <c r="L176" s="15" t="n">
        <v>12</v>
      </c>
      <c r="M176" s="3" t="n"/>
      <c r="N176" s="70" t="n"/>
    </row>
    <row r="177" ht="22.5" customHeight="1" s="151">
      <c r="A177" s="15">
        <f>IF(B177&lt;&gt;"", COUNTA($B$2:B177), "")</f>
        <v/>
      </c>
      <c r="B177" s="14" t="inlineStr">
        <is>
          <t>Датчик вибрации</t>
        </is>
      </c>
      <c r="C177" s="8" t="inlineStr">
        <is>
          <t>МВ-46Г</t>
        </is>
      </c>
      <c r="D177" s="14" t="n">
        <v>112691</v>
      </c>
      <c r="E177" s="15" t="n">
        <v>2011</v>
      </c>
      <c r="F177" s="14" t="inlineStr">
        <is>
          <t>0…100 мм/с</t>
        </is>
      </c>
      <c r="G177" s="14" t="n">
        <v>2.5</v>
      </c>
      <c r="H177" s="15" t="inlineStr">
        <is>
          <t>Виброскорость в зоне средней опоры (осевое направление)</t>
        </is>
      </c>
      <c r="I177" s="15" t="inlineStr">
        <is>
          <t>ГПА 63</t>
        </is>
      </c>
      <c r="J177" s="15" t="inlineStr">
        <is>
          <t>АСУ,А и ТМ (КЦ № 6)</t>
        </is>
      </c>
      <c r="K177" s="15" t="n">
        <v>2012</v>
      </c>
      <c r="L177" s="15" t="n">
        <v>12</v>
      </c>
      <c r="M177" s="3" t="n"/>
      <c r="N177" s="70" t="n"/>
    </row>
    <row r="178">
      <c r="A178" s="15">
        <f>IF(B178&lt;&gt;"", COUNTA($B$2:B178), "")</f>
        <v/>
      </c>
      <c r="B178" s="14" t="inlineStr">
        <is>
          <t>Датчик вибрации</t>
        </is>
      </c>
      <c r="C178" s="8" t="inlineStr">
        <is>
          <t>МВ-44-1Г</t>
        </is>
      </c>
      <c r="D178" s="14" t="n">
        <v>112863</v>
      </c>
      <c r="E178" s="15" t="n">
        <v>2011</v>
      </c>
      <c r="F178" s="14" t="inlineStr">
        <is>
          <t>0…100 мм/с</t>
        </is>
      </c>
      <c r="G178" s="14" t="n">
        <v>2.5</v>
      </c>
      <c r="H178" s="15" t="inlineStr">
        <is>
          <t>Виброскорость в зоне СТ (вертикаль)</t>
        </is>
      </c>
      <c r="I178" s="15" t="inlineStr">
        <is>
          <t>ГПА 63</t>
        </is>
      </c>
      <c r="J178" s="15" t="inlineStr">
        <is>
          <t>АСУ,А и ТМ (КЦ № 6)</t>
        </is>
      </c>
      <c r="K178" s="15" t="n">
        <v>2012</v>
      </c>
      <c r="L178" s="15" t="n">
        <v>12</v>
      </c>
      <c r="M178" s="3" t="n"/>
      <c r="N178" s="70" t="n"/>
    </row>
    <row r="179" ht="22.5" customHeight="1" s="151">
      <c r="A179" s="15">
        <f>IF(B179&lt;&gt;"", COUNTA($B$2:B179), "")</f>
        <v/>
      </c>
      <c r="B179" s="14" t="inlineStr">
        <is>
          <t>Датчик вибрации</t>
        </is>
      </c>
      <c r="C179" s="8" t="inlineStr">
        <is>
          <t>МВ-44-1Г</t>
        </is>
      </c>
      <c r="D179" s="14" t="n">
        <v>113356</v>
      </c>
      <c r="E179" s="15" t="n">
        <v>2011</v>
      </c>
      <c r="F179" s="14" t="inlineStr">
        <is>
          <t>0…100 мм/с</t>
        </is>
      </c>
      <c r="G179" s="14" t="n">
        <v>2.5</v>
      </c>
      <c r="H179" s="15" t="inlineStr">
        <is>
          <t>Виброскорость в зоне СТ (горизонталь)</t>
        </is>
      </c>
      <c r="I179" s="15" t="inlineStr">
        <is>
          <t>ГПА 63</t>
        </is>
      </c>
      <c r="J179" s="15" t="inlineStr">
        <is>
          <t>АСУ,А и ТМ (КЦ № 6)</t>
        </is>
      </c>
      <c r="K179" s="15" t="n">
        <v>2012</v>
      </c>
      <c r="L179" s="15" t="n">
        <v>12</v>
      </c>
      <c r="M179" s="3" t="n"/>
      <c r="N179" s="70" t="n"/>
    </row>
    <row r="180">
      <c r="A180" s="15">
        <f>IF(B180&lt;&gt;"", COUNTA($B$2:B180), "")</f>
        <v/>
      </c>
      <c r="B180" s="280" t="inlineStr">
        <is>
          <t>Манометр технический</t>
        </is>
      </c>
      <c r="C180" s="10" t="inlineStr">
        <is>
          <t>МП4-УУ2</t>
        </is>
      </c>
      <c r="D180" s="10" t="n">
        <v>15408</v>
      </c>
      <c r="E180" s="10" t="n">
        <v>2010</v>
      </c>
      <c r="F180" s="10" t="inlineStr">
        <is>
          <t>0…160 кгс/см2</t>
        </is>
      </c>
      <c r="G180" s="71" t="n">
        <v>1</v>
      </c>
      <c r="H180" s="26" t="inlineStr">
        <is>
          <t>Р газа на входе компрессора</t>
        </is>
      </c>
      <c r="I180" s="8" t="inlineStr">
        <is>
          <t>ГПА 63</t>
        </is>
      </c>
      <c r="J180" s="15" t="inlineStr">
        <is>
          <t>АСУ,А и ТМ (КЦ № 6)</t>
        </is>
      </c>
      <c r="K180" s="15" t="n">
        <v>2012</v>
      </c>
      <c r="L180" s="15" t="n">
        <v>12</v>
      </c>
      <c r="M180" s="3" t="inlineStr">
        <is>
          <t>1К26</t>
        </is>
      </c>
      <c r="N180" s="70" t="inlineStr">
        <is>
          <t>К</t>
        </is>
      </c>
    </row>
    <row r="181">
      <c r="A181" s="15">
        <f>IF(B181&lt;&gt;"", COUNTA($B$2:B181), "")</f>
        <v/>
      </c>
      <c r="B181" s="280" t="inlineStr">
        <is>
          <t>Манометр технический</t>
        </is>
      </c>
      <c r="C181" s="10" t="inlineStr">
        <is>
          <t>МП4-УУ2</t>
        </is>
      </c>
      <c r="D181" s="10" t="n">
        <v>15182</v>
      </c>
      <c r="E181" s="10" t="n">
        <v>2010</v>
      </c>
      <c r="F181" s="10" t="inlineStr">
        <is>
          <t>0…160 кгс/см3</t>
        </is>
      </c>
      <c r="G181" s="10" t="n">
        <v>1.5</v>
      </c>
      <c r="H181" s="26" t="inlineStr">
        <is>
          <t>Р газа на выходе компрессора</t>
        </is>
      </c>
      <c r="I181" s="8" t="inlineStr">
        <is>
          <t>ГПА 63</t>
        </is>
      </c>
      <c r="J181" s="15" t="inlineStr">
        <is>
          <t>АСУ,А и ТМ (КЦ № 6)</t>
        </is>
      </c>
      <c r="K181" s="15" t="n">
        <v>2012</v>
      </c>
      <c r="L181" s="15" t="n">
        <v>12</v>
      </c>
      <c r="M181" s="3" t="inlineStr">
        <is>
          <t>1К26</t>
        </is>
      </c>
      <c r="N181" s="70" t="inlineStr">
        <is>
          <t>К</t>
        </is>
      </c>
    </row>
    <row r="182">
      <c r="A182" s="15">
        <f>IF(B182&lt;&gt;"", COUNTA($B$2:B182), "")</f>
        <v/>
      </c>
      <c r="B182" s="280" t="inlineStr">
        <is>
          <t>Манометр технический</t>
        </is>
      </c>
      <c r="C182" s="10" t="inlineStr">
        <is>
          <t>МП4-УУ2</t>
        </is>
      </c>
      <c r="D182" s="10" t="n">
        <v>80515</v>
      </c>
      <c r="E182" s="10" t="n">
        <v>2010</v>
      </c>
      <c r="F182" s="14" t="inlineStr">
        <is>
          <t>0…16 МПа</t>
        </is>
      </c>
      <c r="G182" s="71" t="n">
        <v>1</v>
      </c>
      <c r="H182" s="14" t="inlineStr">
        <is>
          <t>Р газа в Ф1</t>
        </is>
      </c>
      <c r="I182" s="8" t="inlineStr">
        <is>
          <t>ГПА 63</t>
        </is>
      </c>
      <c r="J182" s="15" t="inlineStr">
        <is>
          <t>АСУ,А и ТМ (КЦ № 6)</t>
        </is>
      </c>
      <c r="K182" s="15" t="n">
        <v>2012</v>
      </c>
      <c r="L182" s="15" t="n">
        <v>12</v>
      </c>
      <c r="M182" s="3" t="inlineStr">
        <is>
          <t>26ДЯУ</t>
        </is>
      </c>
      <c r="N182" s="70" t="inlineStr">
        <is>
          <t>П</t>
        </is>
      </c>
      <c r="O182" s="66" t="n"/>
    </row>
    <row r="183">
      <c r="A183" s="15">
        <f>IF(B183&lt;&gt;"", COUNTA($B$2:B183), "")</f>
        <v/>
      </c>
      <c r="B183" s="280" t="inlineStr">
        <is>
          <t>Манометр технический</t>
        </is>
      </c>
      <c r="C183" s="10" t="inlineStr">
        <is>
          <t>МП4-УУ2</t>
        </is>
      </c>
      <c r="D183" s="10" t="n">
        <v>15321</v>
      </c>
      <c r="E183" s="10" t="n">
        <v>2010</v>
      </c>
      <c r="F183" s="10" t="inlineStr">
        <is>
          <t>0…160 кгс/см3</t>
        </is>
      </c>
      <c r="G183" s="71" t="n">
        <v>1.5</v>
      </c>
      <c r="H183" s="14" t="inlineStr">
        <is>
          <t>Р газа в Ф2</t>
        </is>
      </c>
      <c r="I183" s="8" t="inlineStr">
        <is>
          <t>ГПА 63</t>
        </is>
      </c>
      <c r="J183" s="15" t="inlineStr">
        <is>
          <t>АСУ,А и ТМ (КЦ № 6)</t>
        </is>
      </c>
      <c r="K183" s="15" t="n">
        <v>2012</v>
      </c>
      <c r="L183" s="15" t="n">
        <v>12</v>
      </c>
      <c r="M183" s="3" t="inlineStr">
        <is>
          <t>26ДЯУ</t>
        </is>
      </c>
      <c r="N183" s="70" t="inlineStr">
        <is>
          <t>П</t>
        </is>
      </c>
      <c r="O183" s="66" t="n"/>
    </row>
    <row r="184">
      <c r="A184" s="15">
        <f>IF(B184&lt;&gt;"", COUNTA($B$2:B184), "")</f>
        <v/>
      </c>
      <c r="B184" s="280" t="inlineStr">
        <is>
          <t>Манометр технический</t>
        </is>
      </c>
      <c r="C184" s="10" t="inlineStr">
        <is>
          <t>МП4-УУ2</t>
        </is>
      </c>
      <c r="D184" s="10" t="n">
        <v>15280</v>
      </c>
      <c r="E184" s="10" t="n">
        <v>2010</v>
      </c>
      <c r="F184" s="10" t="inlineStr">
        <is>
          <t>0…0,6 кгс/см2</t>
        </is>
      </c>
      <c r="G184" s="10" t="n">
        <v>1.5</v>
      </c>
      <c r="H184" s="26" t="inlineStr">
        <is>
          <t>Р воздуха после РДВ</t>
        </is>
      </c>
      <c r="I184" s="8" t="inlineStr">
        <is>
          <t>ГПА 63</t>
        </is>
      </c>
      <c r="J184" s="15" t="inlineStr">
        <is>
          <t>АСУ,А и ТМ (КЦ № 6)</t>
        </is>
      </c>
      <c r="K184" s="15" t="n">
        <v>2012</v>
      </c>
      <c r="L184" s="15" t="n">
        <v>12</v>
      </c>
      <c r="M184" s="3" t="inlineStr">
        <is>
          <t>1К26</t>
        </is>
      </c>
      <c r="N184" s="70" t="inlineStr">
        <is>
          <t>К</t>
        </is>
      </c>
    </row>
    <row r="185">
      <c r="A185" s="15">
        <f>IF(B185&lt;&gt;"", COUNTA($B$2:B185), "")</f>
        <v/>
      </c>
      <c r="B185" s="280" t="inlineStr">
        <is>
          <t>Манометр технический</t>
        </is>
      </c>
      <c r="C185" s="10" t="inlineStr">
        <is>
          <t>МП4-УУ2</t>
        </is>
      </c>
      <c r="D185" s="11" t="inlineStr">
        <is>
          <t>15299</t>
        </is>
      </c>
      <c r="E185" s="10" t="n">
        <v>2010</v>
      </c>
      <c r="F185" s="10" t="inlineStr">
        <is>
          <t>0…16 кгс/см2</t>
        </is>
      </c>
      <c r="G185" s="10" t="n">
        <v>1.5</v>
      </c>
      <c r="H185" s="26" t="inlineStr">
        <is>
          <t>Р воздуха на входе фильтров</t>
        </is>
      </c>
      <c r="I185" s="8" t="inlineStr">
        <is>
          <t>ГПА 63</t>
        </is>
      </c>
      <c r="J185" s="15" t="inlineStr">
        <is>
          <t>АСУ,А и ТМ (КЦ № 6)</t>
        </is>
      </c>
      <c r="K185" s="15" t="n">
        <v>2012</v>
      </c>
      <c r="L185" s="15" t="n">
        <v>12</v>
      </c>
      <c r="M185" s="3" t="inlineStr">
        <is>
          <t>1К26</t>
        </is>
      </c>
      <c r="N185" s="70" t="inlineStr">
        <is>
          <t>К</t>
        </is>
      </c>
    </row>
    <row r="186">
      <c r="A186" s="15">
        <f>IF(B186&lt;&gt;"", COUNTA($B$2:B186), "")</f>
        <v/>
      </c>
      <c r="B186" s="280" t="inlineStr">
        <is>
          <t>Манометр технический</t>
        </is>
      </c>
      <c r="C186" s="10" t="inlineStr">
        <is>
          <t>МП4-УУ2</t>
        </is>
      </c>
      <c r="D186" s="10" t="n">
        <v>15241</v>
      </c>
      <c r="E186" s="10" t="n">
        <v>2010</v>
      </c>
      <c r="F186" s="10" t="inlineStr">
        <is>
          <t>0…16 кгс/см3</t>
        </is>
      </c>
      <c r="G186" s="10" t="n">
        <v>1.5</v>
      </c>
      <c r="H186" s="26" t="inlineStr">
        <is>
          <t>Р воздуха на выходе фильтров</t>
        </is>
      </c>
      <c r="I186" s="8" t="inlineStr">
        <is>
          <t>ГПА 63</t>
        </is>
      </c>
      <c r="J186" s="15" t="inlineStr">
        <is>
          <t>АСУ,А и ТМ (КЦ № 6)</t>
        </is>
      </c>
      <c r="K186" s="15" t="n">
        <v>2012</v>
      </c>
      <c r="L186" s="15" t="n">
        <v>12</v>
      </c>
      <c r="M186" s="3" t="inlineStr">
        <is>
          <t>1К26</t>
        </is>
      </c>
      <c r="N186" s="70" t="inlineStr">
        <is>
          <t>К</t>
        </is>
      </c>
    </row>
    <row r="187" ht="22.5" customHeight="1" s="151">
      <c r="A187" s="15">
        <f>IF(B187&lt;&gt;"", COUNTA($B$2:B187), "")</f>
        <v/>
      </c>
      <c r="B187" s="280" t="inlineStr">
        <is>
          <t>Манометр технический</t>
        </is>
      </c>
      <c r="C187" s="10" t="inlineStr">
        <is>
          <t>МП4-УУ2</t>
        </is>
      </c>
      <c r="D187" s="11" t="inlineStr">
        <is>
          <t>050255</t>
        </is>
      </c>
      <c r="E187" s="10" t="n">
        <v>2010</v>
      </c>
      <c r="F187" s="10" t="inlineStr">
        <is>
          <t>0…6 кгс/см2</t>
        </is>
      </c>
      <c r="G187" s="10" t="n">
        <v>1.5</v>
      </c>
      <c r="H187" s="26" t="inlineStr">
        <is>
          <t>Р масла до фильтров подпитки двигателя</t>
        </is>
      </c>
      <c r="I187" s="8" t="inlineStr">
        <is>
          <t>ГПА 63</t>
        </is>
      </c>
      <c r="J187" s="15" t="inlineStr">
        <is>
          <t>АСУ,А и ТМ (КЦ № 6)</t>
        </is>
      </c>
      <c r="K187" s="15" t="n">
        <v>2012</v>
      </c>
      <c r="L187" s="15" t="n">
        <v>12</v>
      </c>
      <c r="M187" s="3" t="inlineStr">
        <is>
          <t>1К26</t>
        </is>
      </c>
      <c r="N187" s="70" t="inlineStr">
        <is>
          <t>К</t>
        </is>
      </c>
    </row>
    <row r="188" ht="22.5" customHeight="1" s="151">
      <c r="A188" s="15">
        <f>IF(B188&lt;&gt;"", COUNTA($B$2:B188), "")</f>
        <v/>
      </c>
      <c r="B188" s="280" t="inlineStr">
        <is>
          <t>Манометр технический</t>
        </is>
      </c>
      <c r="C188" s="10" t="inlineStr">
        <is>
          <t>МП4-УУ2</t>
        </is>
      </c>
      <c r="D188" s="10" t="n">
        <v>15290</v>
      </c>
      <c r="E188" s="10" t="n">
        <v>2010</v>
      </c>
      <c r="F188" s="10" t="inlineStr">
        <is>
          <t>0…6 кгс/см2</t>
        </is>
      </c>
      <c r="G188" s="10" t="n">
        <v>1.5</v>
      </c>
      <c r="H188" s="26" t="inlineStr">
        <is>
          <t>Р масла после фильтров подпитки двигателя</t>
        </is>
      </c>
      <c r="I188" s="8" t="inlineStr">
        <is>
          <t>ГПА 63</t>
        </is>
      </c>
      <c r="J188" s="15" t="inlineStr">
        <is>
          <t>АСУ,А и ТМ (КЦ № 6)</t>
        </is>
      </c>
      <c r="K188" s="15" t="n">
        <v>2012</v>
      </c>
      <c r="L188" s="15" t="n">
        <v>12</v>
      </c>
      <c r="M188" s="3" t="inlineStr">
        <is>
          <t>1К26</t>
        </is>
      </c>
      <c r="N188" s="70" t="inlineStr">
        <is>
          <t>К</t>
        </is>
      </c>
    </row>
    <row r="189">
      <c r="A189" s="15">
        <f>IF(B189&lt;&gt;"", COUNTA($B$2:B189), "")</f>
        <v/>
      </c>
      <c r="B189" s="280" t="inlineStr">
        <is>
          <t>Манометр технический</t>
        </is>
      </c>
      <c r="C189" s="10" t="inlineStr">
        <is>
          <t>МП4-УУ2</t>
        </is>
      </c>
      <c r="D189" s="10" t="n">
        <v>15307</v>
      </c>
      <c r="E189" s="10" t="n">
        <v>2010</v>
      </c>
      <c r="F189" s="10" t="inlineStr">
        <is>
          <t>0…6 кгс/см2</t>
        </is>
      </c>
      <c r="G189" s="10" t="n">
        <v>1.5</v>
      </c>
      <c r="H189" s="26" t="inlineStr">
        <is>
          <t>Р масла до фильтров смазки двигателя</t>
        </is>
      </c>
      <c r="I189" s="8" t="inlineStr">
        <is>
          <t>ГПА 63</t>
        </is>
      </c>
      <c r="J189" s="15" t="inlineStr">
        <is>
          <t>АСУ,А и ТМ (КЦ № 6)</t>
        </is>
      </c>
      <c r="K189" s="15" t="n">
        <v>2012</v>
      </c>
      <c r="L189" s="15" t="n">
        <v>12</v>
      </c>
      <c r="M189" s="3" t="inlineStr">
        <is>
          <t>1К26</t>
        </is>
      </c>
      <c r="N189" s="70" t="inlineStr">
        <is>
          <t>К</t>
        </is>
      </c>
    </row>
    <row r="190" ht="22.5" customHeight="1" s="151">
      <c r="A190" s="15">
        <f>IF(B190&lt;&gt;"", COUNTA($B$2:B190), "")</f>
        <v/>
      </c>
      <c r="B190" s="280" t="inlineStr">
        <is>
          <t>Манометр технический</t>
        </is>
      </c>
      <c r="C190" s="10" t="inlineStr">
        <is>
          <t>МП4-УУ2</t>
        </is>
      </c>
      <c r="D190" s="10" t="n">
        <v>15304</v>
      </c>
      <c r="E190" s="10" t="n">
        <v>2010</v>
      </c>
      <c r="F190" s="10" t="inlineStr">
        <is>
          <t>0…6 кгс/см2</t>
        </is>
      </c>
      <c r="G190" s="10" t="n">
        <v>1.5</v>
      </c>
      <c r="H190" s="26" t="inlineStr">
        <is>
          <t>Р масла после фильтров смазки двигателя</t>
        </is>
      </c>
      <c r="I190" s="8" t="inlineStr">
        <is>
          <t>ГПА 63</t>
        </is>
      </c>
      <c r="J190" s="15" t="inlineStr">
        <is>
          <t>АСУ,А и ТМ (КЦ № 6)</t>
        </is>
      </c>
      <c r="K190" s="15" t="n">
        <v>2012</v>
      </c>
      <c r="L190" s="15" t="n">
        <v>12</v>
      </c>
      <c r="M190" s="3" t="inlineStr">
        <is>
          <t>1К26</t>
        </is>
      </c>
      <c r="N190" s="70" t="inlineStr">
        <is>
          <t>К</t>
        </is>
      </c>
    </row>
    <row r="191" ht="22.5" customHeight="1" s="151">
      <c r="A191" s="15">
        <f>IF(B191&lt;&gt;"", COUNTA($B$2:B191), "")</f>
        <v/>
      </c>
      <c r="B191" s="280" t="inlineStr">
        <is>
          <t>Манометр технический</t>
        </is>
      </c>
      <c r="C191" s="10" t="inlineStr">
        <is>
          <t>МП4-УУ2</t>
        </is>
      </c>
      <c r="D191" s="10" t="n">
        <v>15555</v>
      </c>
      <c r="E191" s="10" t="n">
        <v>2010</v>
      </c>
      <c r="F191" s="10" t="inlineStr">
        <is>
          <t>0…0,6 кгс/см2</t>
        </is>
      </c>
      <c r="G191" s="10" t="n">
        <v>1.5</v>
      </c>
      <c r="H191" s="26" t="inlineStr">
        <is>
          <t>Р воздуха смешанного потока после эжектора С1</t>
        </is>
      </c>
      <c r="I191" s="8" t="inlineStr">
        <is>
          <t>ГПА 63</t>
        </is>
      </c>
      <c r="J191" s="15" t="inlineStr">
        <is>
          <t>АСУ,А и ТМ (КЦ № 6)</t>
        </is>
      </c>
      <c r="K191" s="15" t="n">
        <v>2012</v>
      </c>
      <c r="L191" s="15" t="n">
        <v>12</v>
      </c>
      <c r="M191" s="3" t="inlineStr">
        <is>
          <t>1К26</t>
        </is>
      </c>
      <c r="N191" s="70" t="inlineStr">
        <is>
          <t>К</t>
        </is>
      </c>
    </row>
    <row r="192" ht="22.5" customHeight="1" s="151">
      <c r="A192" s="15">
        <f>IF(B192&lt;&gt;"", COUNTA($B$2:B192), "")</f>
        <v/>
      </c>
      <c r="B192" s="280" t="inlineStr">
        <is>
          <t>Манометр технический</t>
        </is>
      </c>
      <c r="C192" s="10" t="inlineStr">
        <is>
          <t>МВП4-УУ2</t>
        </is>
      </c>
      <c r="D192" s="11" t="inlineStr">
        <is>
          <t>6306</t>
        </is>
      </c>
      <c r="E192" s="10" t="n">
        <v>2010</v>
      </c>
      <c r="F192" s="148" t="inlineStr">
        <is>
          <t>-1…1,5 кгс/см2</t>
        </is>
      </c>
      <c r="G192" s="10" t="n">
        <v>1.5</v>
      </c>
      <c r="H192" s="26" t="inlineStr">
        <is>
          <t>Р воздуха инжектируемого потока перед фильтром Ф1</t>
        </is>
      </c>
      <c r="I192" s="8" t="inlineStr">
        <is>
          <t>ГПА 63</t>
        </is>
      </c>
      <c r="J192" s="15" t="inlineStr">
        <is>
          <t>АСУ,А и ТМ (КЦ № 6)</t>
        </is>
      </c>
      <c r="K192" s="15" t="n">
        <v>2012</v>
      </c>
      <c r="L192" s="15" t="n">
        <v>12</v>
      </c>
      <c r="M192" s="3" t="inlineStr">
        <is>
          <t>1К26</t>
        </is>
      </c>
      <c r="N192" s="70" t="inlineStr">
        <is>
          <t>К</t>
        </is>
      </c>
    </row>
    <row r="193">
      <c r="A193" s="15">
        <f>IF(B193&lt;&gt;"", COUNTA($B$2:B193), "")</f>
        <v/>
      </c>
      <c r="B193" s="280" t="inlineStr">
        <is>
          <t>Манометр технический</t>
        </is>
      </c>
      <c r="C193" s="10" t="inlineStr">
        <is>
          <t>МП4-УУ2</t>
        </is>
      </c>
      <c r="D193" s="10" t="n">
        <v>15143</v>
      </c>
      <c r="E193" s="10" t="n">
        <v>2010</v>
      </c>
      <c r="F193" s="10" t="inlineStr">
        <is>
          <t>0…16 кгс/см2</t>
        </is>
      </c>
      <c r="G193" s="10" t="n">
        <v>1.5</v>
      </c>
      <c r="H193" s="26" t="inlineStr">
        <is>
          <t>Р воздуха активного потока перед Др1</t>
        </is>
      </c>
      <c r="I193" s="8" t="inlineStr">
        <is>
          <t>ГПА 63</t>
        </is>
      </c>
      <c r="J193" s="15" t="inlineStr">
        <is>
          <t>АСУ,А и ТМ (КЦ № 6)</t>
        </is>
      </c>
      <c r="K193" s="15" t="n">
        <v>2012</v>
      </c>
      <c r="L193" s="15" t="n">
        <v>12</v>
      </c>
      <c r="M193" s="3" t="inlineStr">
        <is>
          <t>1К26</t>
        </is>
      </c>
      <c r="N193" s="70" t="inlineStr">
        <is>
          <t>К</t>
        </is>
      </c>
    </row>
    <row r="194">
      <c r="A194" s="15">
        <f>IF(B194&lt;&gt;"", COUNTA($B$2:B194), "")</f>
        <v/>
      </c>
      <c r="B194" s="280" t="inlineStr">
        <is>
          <t>Манометр технический</t>
        </is>
      </c>
      <c r="C194" s="10" t="inlineStr">
        <is>
          <t>МП4-УУ2</t>
        </is>
      </c>
      <c r="D194" s="10" t="n">
        <v>7092</v>
      </c>
      <c r="E194" s="10" t="n">
        <v>2010</v>
      </c>
      <c r="F194" s="14" t="inlineStr">
        <is>
          <t>0…10 кгс/см2</t>
        </is>
      </c>
      <c r="G194" s="10" t="n">
        <v>1.5</v>
      </c>
      <c r="H194" s="26" t="inlineStr">
        <is>
          <t>Р воздуха активного потока после Кр1</t>
        </is>
      </c>
      <c r="I194" s="8" t="inlineStr">
        <is>
          <t>ГПА 63</t>
        </is>
      </c>
      <c r="J194" s="15" t="inlineStr">
        <is>
          <t>АСУ,А и ТМ (КЦ № 6)</t>
        </is>
      </c>
      <c r="K194" s="15" t="n">
        <v>2012</v>
      </c>
      <c r="L194" s="15" t="n">
        <v>12</v>
      </c>
      <c r="M194" s="3" t="inlineStr">
        <is>
          <t>1К26</t>
        </is>
      </c>
      <c r="N194" s="70" t="inlineStr">
        <is>
          <t>К</t>
        </is>
      </c>
    </row>
    <row r="195" ht="22.5" customHeight="1" s="151">
      <c r="A195" s="15">
        <f>IF(B195&lt;&gt;"", COUNTA($B$2:B195), "")</f>
        <v/>
      </c>
      <c r="B195" s="280" t="inlineStr">
        <is>
          <t>Манометр технический</t>
        </is>
      </c>
      <c r="C195" s="10" t="inlineStr">
        <is>
          <t>МВП4-УУ2</t>
        </is>
      </c>
      <c r="D195" s="10" t="n">
        <v>15441</v>
      </c>
      <c r="E195" s="10" t="n">
        <v>2010</v>
      </c>
      <c r="F195" s="148" t="inlineStr">
        <is>
          <t>-1…1,5 кгс/см2</t>
        </is>
      </c>
      <c r="G195" s="10" t="n">
        <v>1.5</v>
      </c>
      <c r="H195" s="26" t="inlineStr">
        <is>
          <t>Р воздуха инжектируемого потока после фильтра Ф1</t>
        </is>
      </c>
      <c r="I195" s="8" t="inlineStr">
        <is>
          <t>ГПА 63</t>
        </is>
      </c>
      <c r="J195" s="15" t="inlineStr">
        <is>
          <t>АСУ,А и ТМ (КЦ № 6)</t>
        </is>
      </c>
      <c r="K195" s="15" t="n">
        <v>2012</v>
      </c>
      <c r="L195" s="15" t="n">
        <v>12</v>
      </c>
      <c r="M195" s="3" t="inlineStr">
        <is>
          <t>1К26</t>
        </is>
      </c>
      <c r="N195" s="70" t="inlineStr">
        <is>
          <t>К</t>
        </is>
      </c>
    </row>
    <row r="196">
      <c r="A196" s="15">
        <f>IF(B196&lt;&gt;"", COUNTA($B$2:B196), "")</f>
        <v/>
      </c>
      <c r="B196" s="280" t="inlineStr">
        <is>
          <t>Манометр технический</t>
        </is>
      </c>
      <c r="C196" s="10" t="inlineStr">
        <is>
          <t>МП3-УУ2</t>
        </is>
      </c>
      <c r="D196" s="10" t="n">
        <v>211222551</v>
      </c>
      <c r="E196" s="10" t="n"/>
      <c r="F196" s="26" t="inlineStr">
        <is>
          <t>0…1,6 МПа</t>
        </is>
      </c>
      <c r="G196" s="26" t="n">
        <v>1.5</v>
      </c>
      <c r="H196" s="26" t="inlineStr">
        <is>
          <t xml:space="preserve">Р воздуха в ресивере </t>
        </is>
      </c>
      <c r="I196" s="8" t="inlineStr">
        <is>
          <t>ГПА 63</t>
        </is>
      </c>
      <c r="J196" s="15" t="inlineStr">
        <is>
          <t>АСУ,А и ТМ (КЦ № 6)</t>
        </is>
      </c>
      <c r="K196" s="15" t="n">
        <v>2012</v>
      </c>
      <c r="L196" s="15" t="n">
        <v>12</v>
      </c>
      <c r="M196" s="3" t="inlineStr">
        <is>
          <t>26ДЯУ</t>
        </is>
      </c>
      <c r="N196" s="70" t="inlineStr">
        <is>
          <t>П</t>
        </is>
      </c>
      <c r="O196" s="66" t="n"/>
    </row>
    <row r="197" ht="22.5" customHeight="1" s="151">
      <c r="A197" s="15">
        <f>IF(B197&lt;&gt;"", COUNTA($B$2:B197), "")</f>
        <v/>
      </c>
      <c r="B197" s="26" t="inlineStr">
        <is>
          <t>Термометр манометрический</t>
        </is>
      </c>
      <c r="C197" s="10" t="inlineStr">
        <is>
          <t>manotherm</t>
        </is>
      </c>
      <c r="D197" s="10" t="n">
        <v>111502126</v>
      </c>
      <c r="E197" s="10" t="n">
        <v>2010</v>
      </c>
      <c r="F197" s="26" t="inlineStr">
        <is>
          <t>­20…80°С</t>
        </is>
      </c>
      <c r="G197" s="10" t="n">
        <v>1</v>
      </c>
      <c r="H197" s="26" t="inlineStr">
        <is>
          <t>Тг на входе в нагнетатель</t>
        </is>
      </c>
      <c r="I197" s="8" t="inlineStr">
        <is>
          <t>ГПА 63</t>
        </is>
      </c>
      <c r="J197" s="15" t="inlineStr">
        <is>
          <t>АСУ,А и ТМ (КЦ № 6)</t>
        </is>
      </c>
      <c r="K197" s="15" t="n">
        <v>2012</v>
      </c>
      <c r="L197" s="15" t="n">
        <v>24</v>
      </c>
      <c r="M197" s="3" t="inlineStr">
        <is>
          <t>3К25</t>
        </is>
      </c>
      <c r="N197" s="70" t="inlineStr">
        <is>
          <t>К</t>
        </is>
      </c>
    </row>
    <row r="198" ht="22.5" customHeight="1" s="151">
      <c r="A198" s="15">
        <f>IF(B198&lt;&gt;"", COUNTA($B$2:B198), "")</f>
        <v/>
      </c>
      <c r="B198" s="26" t="inlineStr">
        <is>
          <t>Термометр манометрический</t>
        </is>
      </c>
      <c r="C198" s="10" t="inlineStr">
        <is>
          <t>manotherm</t>
        </is>
      </c>
      <c r="D198" s="10" t="n">
        <v>111502123</v>
      </c>
      <c r="E198" s="10" t="n">
        <v>2010</v>
      </c>
      <c r="F198" s="26" t="inlineStr">
        <is>
          <t>0…100°С</t>
        </is>
      </c>
      <c r="G198" s="10" t="n">
        <v>1</v>
      </c>
      <c r="H198" s="26" t="inlineStr">
        <is>
          <t>Тг на выходе нагнетателя</t>
        </is>
      </c>
      <c r="I198" s="8" t="inlineStr">
        <is>
          <t>ГПА 63</t>
        </is>
      </c>
      <c r="J198" s="15" t="inlineStr">
        <is>
          <t>АСУ,А и ТМ (КЦ № 6)</t>
        </is>
      </c>
      <c r="K198" s="15" t="n">
        <v>2012</v>
      </c>
      <c r="L198" s="15" t="n">
        <v>24</v>
      </c>
      <c r="M198" s="3" t="inlineStr">
        <is>
          <t>3К25</t>
        </is>
      </c>
      <c r="N198" s="70" t="inlineStr">
        <is>
          <t>К</t>
        </is>
      </c>
    </row>
    <row r="199">
      <c r="A199" s="15">
        <f>IF(B199&lt;&gt;"", COUNTA($B$2:B199), "")</f>
        <v/>
      </c>
      <c r="B199" s="16" t="inlineStr">
        <is>
          <t>Термометр сопротивления</t>
        </is>
      </c>
      <c r="C199" s="17" t="inlineStr">
        <is>
          <t>ТСП 012.60 Pt100/B/3</t>
        </is>
      </c>
      <c r="D199" s="3" t="inlineStr">
        <is>
          <t>311</t>
        </is>
      </c>
      <c r="E199" s="15" t="n">
        <v>2011</v>
      </c>
      <c r="F199" s="17" t="inlineStr">
        <is>
          <t>-60…200 °С</t>
        </is>
      </c>
      <c r="G199" s="17" t="inlineStr">
        <is>
          <t>B</t>
        </is>
      </c>
      <c r="H199" s="3" t="inlineStr">
        <is>
          <t>Температура воздуха продувки</t>
        </is>
      </c>
      <c r="I199" s="15" t="inlineStr">
        <is>
          <t>ГПА 63</t>
        </is>
      </c>
      <c r="J199" s="15" t="inlineStr">
        <is>
          <t>АСУ,А и ТМ (КЦ № 6)</t>
        </is>
      </c>
      <c r="K199" s="15" t="n">
        <v>2012</v>
      </c>
      <c r="L199" s="14" t="n">
        <v>36</v>
      </c>
      <c r="M199" s="3" t="n"/>
      <c r="N199" s="70" t="n"/>
    </row>
    <row r="200">
      <c r="A200" s="15">
        <f>IF(B200&lt;&gt;"", COUNTA($B$2:B200), "")</f>
        <v/>
      </c>
      <c r="B200" s="280" t="inlineStr">
        <is>
          <t>Контроль загазованности</t>
        </is>
      </c>
      <c r="C200" s="10" t="inlineStr">
        <is>
          <t>Det-Tronics (PIRECL 21M)</t>
        </is>
      </c>
      <c r="D200" s="10" t="n">
        <v>1105090</v>
      </c>
      <c r="E200" s="15" t="n">
        <v>2011</v>
      </c>
      <c r="F200" s="33" t="n"/>
      <c r="G200" s="33" t="n"/>
      <c r="H200" s="15" t="inlineStr">
        <is>
          <t>Над нагнетателем (QT 201)</t>
        </is>
      </c>
      <c r="I200" s="15" t="inlineStr">
        <is>
          <t>ГПА 63</t>
        </is>
      </c>
      <c r="J200" s="15" t="inlineStr">
        <is>
          <t>АСУ,А и ТМ (КЦ № 6)</t>
        </is>
      </c>
      <c r="K200" s="15" t="n">
        <v>2012</v>
      </c>
      <c r="L200" s="14" t="n"/>
      <c r="M200" s="3" t="n"/>
      <c r="N200" s="70" t="n"/>
    </row>
    <row r="201">
      <c r="A201" s="15">
        <f>IF(B201&lt;&gt;"", COUNTA($B$2:B201), "")</f>
        <v/>
      </c>
      <c r="B201" s="280" t="inlineStr">
        <is>
          <t>Контроль загазованности</t>
        </is>
      </c>
      <c r="C201" s="10" t="inlineStr">
        <is>
          <t>Det-Tronics (PIRECL 21M)</t>
        </is>
      </c>
      <c r="D201" s="10" t="n">
        <v>1105092</v>
      </c>
      <c r="E201" s="15" t="n">
        <v>2011</v>
      </c>
      <c r="F201" s="33" t="n"/>
      <c r="G201" s="33" t="n"/>
      <c r="H201" s="15" t="inlineStr">
        <is>
          <t>Над подогревателем буф.газа (QT 202)</t>
        </is>
      </c>
      <c r="I201" s="15" t="inlineStr">
        <is>
          <t>ГПА 63</t>
        </is>
      </c>
      <c r="J201" s="15" t="inlineStr">
        <is>
          <t>АСУ,А и ТМ (КЦ № 6)</t>
        </is>
      </c>
      <c r="K201" s="15" t="n">
        <v>2012</v>
      </c>
      <c r="L201" s="14" t="n"/>
      <c r="M201" s="3" t="n"/>
      <c r="N201" s="33" t="n"/>
    </row>
    <row r="202">
      <c r="A202" s="15">
        <f>IF(B202&lt;&gt;"", COUNTA($B$2:B202), "")</f>
        <v/>
      </c>
      <c r="B202" s="280" t="inlineStr">
        <is>
          <t>Контроль загазованности</t>
        </is>
      </c>
      <c r="C202" s="10" t="inlineStr">
        <is>
          <t>Det-Tronics (PIRECL 21M)</t>
        </is>
      </c>
      <c r="D202" s="10" t="n">
        <v>1105085</v>
      </c>
      <c r="E202" s="15" t="n">
        <v>2011</v>
      </c>
      <c r="F202" s="33" t="n"/>
      <c r="G202" s="33" t="n"/>
      <c r="H202" s="15" t="inlineStr">
        <is>
          <t>Напротив масляной консоли (QT 203)</t>
        </is>
      </c>
      <c r="I202" s="15" t="inlineStr">
        <is>
          <t>ГПА 63</t>
        </is>
      </c>
      <c r="J202" s="15" t="inlineStr">
        <is>
          <t>АСУ,А и ТМ (КЦ № 6)</t>
        </is>
      </c>
      <c r="K202" s="15" t="n">
        <v>2012</v>
      </c>
      <c r="L202" s="14" t="n"/>
      <c r="M202" s="3" t="n"/>
      <c r="N202" s="33" t="n"/>
    </row>
    <row r="203">
      <c r="A203" s="15">
        <f>IF(B203&lt;&gt;"", COUNTA($B$2:B203), "")</f>
        <v/>
      </c>
      <c r="B203" s="280" t="inlineStr">
        <is>
          <t>Контроль загазованности</t>
        </is>
      </c>
      <c r="C203" s="10" t="inlineStr">
        <is>
          <t>Det-Tronics (PIRECL 21M)</t>
        </is>
      </c>
      <c r="D203" s="10" t="n">
        <v>1201049</v>
      </c>
      <c r="E203" s="15" t="n">
        <v>2011</v>
      </c>
      <c r="F203" s="33" t="n"/>
      <c r="G203" s="33" t="n"/>
      <c r="H203" s="15" t="inlineStr">
        <is>
          <t>Под КШТ (QT100)</t>
        </is>
      </c>
      <c r="I203" s="15" t="inlineStr">
        <is>
          <t>ГПА 63</t>
        </is>
      </c>
      <c r="J203" s="15" t="inlineStr">
        <is>
          <t>АСУ,А и ТМ (КЦ № 6)</t>
        </is>
      </c>
      <c r="K203" s="15" t="n">
        <v>2012</v>
      </c>
      <c r="L203" s="14" t="n"/>
      <c r="M203" s="3" t="n"/>
      <c r="N203" s="33" t="n"/>
    </row>
    <row r="204" ht="22.5" customHeight="1" s="151">
      <c r="A204" s="15">
        <f>IF(B204&lt;&gt;"", COUNTA($B$2:B204), "")</f>
        <v/>
      </c>
      <c r="B204" s="280" t="inlineStr">
        <is>
          <t>Извещатель тепловой пожарный</t>
        </is>
      </c>
      <c r="C204" s="10" t="inlineStr">
        <is>
          <t>12-х27/21-000</t>
        </is>
      </c>
      <c r="D204" s="10" t="n">
        <v>1059</v>
      </c>
      <c r="E204" s="15" t="n">
        <v>2011</v>
      </c>
      <c r="F204" s="17" t="inlineStr">
        <is>
          <t>-60…200 °С</t>
        </is>
      </c>
      <c r="G204" s="33" t="n"/>
      <c r="H204" s="15" t="inlineStr">
        <is>
          <t>Под КШТ (ВТК 101)</t>
        </is>
      </c>
      <c r="I204" s="15" t="inlineStr">
        <is>
          <t>ГПА 63</t>
        </is>
      </c>
      <c r="J204" s="15" t="inlineStr">
        <is>
          <t>АСУ,А и ТМ (КЦ № 6)</t>
        </is>
      </c>
      <c r="K204" s="15" t="n">
        <v>2012</v>
      </c>
      <c r="L204" s="33" t="n"/>
      <c r="M204" s="33" t="n"/>
      <c r="N204" s="33" t="n"/>
    </row>
    <row r="205" ht="22.5" customHeight="1" s="151">
      <c r="A205" s="15">
        <f>IF(B205&lt;&gt;"", COUNTA($B$2:B205), "")</f>
        <v/>
      </c>
      <c r="B205" s="280" t="inlineStr">
        <is>
          <t>Извещатель тепловой пожарный</t>
        </is>
      </c>
      <c r="C205" s="10" t="inlineStr">
        <is>
          <t>12-х27/21-000</t>
        </is>
      </c>
      <c r="D205" s="10" t="n">
        <v>1042</v>
      </c>
      <c r="E205" s="15" t="n">
        <v>2011</v>
      </c>
      <c r="F205" s="17" t="inlineStr">
        <is>
          <t>-60…200 °С</t>
        </is>
      </c>
      <c r="G205" s="33" t="n"/>
      <c r="H205" s="15" t="inlineStr">
        <is>
          <t>Под КШТ (ВТК 102)</t>
        </is>
      </c>
      <c r="I205" s="15" t="inlineStr">
        <is>
          <t>ГПА 63</t>
        </is>
      </c>
      <c r="J205" s="15" t="inlineStr">
        <is>
          <t>АСУ,А и ТМ (КЦ № 6)</t>
        </is>
      </c>
      <c r="K205" s="15" t="n">
        <v>2012</v>
      </c>
      <c r="L205" s="33" t="n"/>
      <c r="M205" s="33" t="n"/>
      <c r="N205" s="33" t="n"/>
    </row>
    <row r="206" ht="22.5" customHeight="1" s="151">
      <c r="A206" s="15">
        <f>IF(B206&lt;&gt;"", COUNTA($B$2:B206), "")</f>
        <v/>
      </c>
      <c r="B206" s="280" t="inlineStr">
        <is>
          <t>Извещатель тепловой пожарный</t>
        </is>
      </c>
      <c r="C206" s="10" t="inlineStr">
        <is>
          <t>12-х27/21-000</t>
        </is>
      </c>
      <c r="D206" s="10" t="n">
        <v>1052</v>
      </c>
      <c r="E206" s="15" t="n">
        <v>2011</v>
      </c>
      <c r="F206" s="17" t="inlineStr">
        <is>
          <t>-60…200 °С</t>
        </is>
      </c>
      <c r="G206" s="33" t="n"/>
      <c r="H206" s="15" t="inlineStr">
        <is>
          <t>Под КШТ (ВТК 103)</t>
        </is>
      </c>
      <c r="I206" s="15" t="inlineStr">
        <is>
          <t>ГПА 63</t>
        </is>
      </c>
      <c r="J206" s="15" t="inlineStr">
        <is>
          <t>АСУ,А и ТМ (КЦ № 6)</t>
        </is>
      </c>
      <c r="K206" s="15" t="n">
        <v>2012</v>
      </c>
      <c r="L206" s="33" t="n"/>
      <c r="M206" s="33" t="n"/>
      <c r="N206" s="33" t="n"/>
    </row>
    <row r="207" ht="22.5" customHeight="1" s="151">
      <c r="A207" s="15">
        <f>IF(B207&lt;&gt;"", COUNTA($B$2:B207), "")</f>
        <v/>
      </c>
      <c r="B207" s="280" t="inlineStr">
        <is>
          <t>Извещатель тепловой пожарный</t>
        </is>
      </c>
      <c r="C207" s="10" t="inlineStr">
        <is>
          <t>12-х27/21-000</t>
        </is>
      </c>
      <c r="D207" s="10" t="n">
        <v>1027</v>
      </c>
      <c r="E207" s="15" t="n">
        <v>2011</v>
      </c>
      <c r="F207" s="17" t="inlineStr">
        <is>
          <t>-60…200 °С</t>
        </is>
      </c>
      <c r="G207" s="33" t="n"/>
      <c r="H207" s="15" t="inlineStr">
        <is>
          <t>Под КШТ (ВТК 104)</t>
        </is>
      </c>
      <c r="I207" s="15" t="inlineStr">
        <is>
          <t>ГПА 63</t>
        </is>
      </c>
      <c r="J207" s="15" t="inlineStr">
        <is>
          <t>АСУ,А и ТМ (КЦ № 6)</t>
        </is>
      </c>
      <c r="K207" s="15" t="n">
        <v>2012</v>
      </c>
      <c r="L207" s="33" t="n"/>
      <c r="M207" s="33" t="n"/>
      <c r="N207" s="33" t="n"/>
    </row>
    <row r="208">
      <c r="A208" s="15">
        <f>IF(B208&lt;&gt;"", COUNTA($B$2:B208), "")</f>
        <v/>
      </c>
      <c r="B208" s="280" t="inlineStr">
        <is>
          <t>Датчик пламени</t>
        </is>
      </c>
      <c r="C208" s="10" t="inlineStr">
        <is>
          <t>ИП330/3-20-А1</t>
        </is>
      </c>
      <c r="D208" s="11" t="inlineStr">
        <is>
          <t>000904</t>
        </is>
      </c>
      <c r="E208" s="15" t="n">
        <v>2011</v>
      </c>
      <c r="F208" s="33" t="n"/>
      <c r="G208" s="33" t="n"/>
      <c r="H208" s="10" t="inlineStr">
        <is>
          <t>Над входом слева (BTF201)</t>
        </is>
      </c>
      <c r="I208" s="15" t="inlineStr">
        <is>
          <t>ГПА 63</t>
        </is>
      </c>
      <c r="J208" s="15" t="inlineStr">
        <is>
          <t>АСУ,А и ТМ (КЦ № 6)</t>
        </is>
      </c>
      <c r="K208" s="15" t="n">
        <v>2012</v>
      </c>
      <c r="L208" s="33" t="n"/>
      <c r="M208" s="33" t="n"/>
      <c r="N208" s="33" t="n"/>
    </row>
    <row r="209">
      <c r="A209" s="15">
        <f>IF(B209&lt;&gt;"", COUNTA($B$2:B209), "")</f>
        <v/>
      </c>
      <c r="B209" s="280" t="inlineStr">
        <is>
          <t>Датчик пламени</t>
        </is>
      </c>
      <c r="C209" s="10" t="inlineStr">
        <is>
          <t>ИП330/3-20-А1</t>
        </is>
      </c>
      <c r="D209" s="11" t="inlineStr">
        <is>
          <t>000977</t>
        </is>
      </c>
      <c r="E209" s="15" t="n">
        <v>2011</v>
      </c>
      <c r="F209" s="33" t="n"/>
      <c r="G209" s="33" t="n"/>
      <c r="H209" s="10" t="inlineStr">
        <is>
          <t>Над входом с АВОг (BTF204)</t>
        </is>
      </c>
      <c r="I209" s="15" t="inlineStr">
        <is>
          <t>ГПА 63</t>
        </is>
      </c>
      <c r="J209" s="15" t="inlineStr">
        <is>
          <t>АСУ,А и ТМ (КЦ № 6)</t>
        </is>
      </c>
      <c r="K209" s="15" t="n">
        <v>2012</v>
      </c>
      <c r="L209" s="33" t="n"/>
      <c r="M209" s="33" t="n"/>
      <c r="N209" s="33" t="n"/>
    </row>
    <row r="210">
      <c r="A210" s="15">
        <f>IF(B210&lt;&gt;"", COUNTA($B$2:B210), "")</f>
        <v/>
      </c>
      <c r="B210" s="280" t="inlineStr">
        <is>
          <t>Датчик пламени</t>
        </is>
      </c>
      <c r="C210" s="10" t="inlineStr">
        <is>
          <t>ИП330/3-20-А1</t>
        </is>
      </c>
      <c r="D210" s="11" t="inlineStr">
        <is>
          <t>001005</t>
        </is>
      </c>
      <c r="E210" s="15" t="n">
        <v>2011</v>
      </c>
      <c r="F210" s="33" t="n"/>
      <c r="G210" s="33" t="n"/>
      <c r="H210" s="10" t="inlineStr">
        <is>
          <t>На леснице слева (BTF202)</t>
        </is>
      </c>
      <c r="I210" s="15" t="inlineStr">
        <is>
          <t>ГПА 63</t>
        </is>
      </c>
      <c r="J210" s="15" t="inlineStr">
        <is>
          <t>АСУ,А и ТМ (КЦ № 6)</t>
        </is>
      </c>
      <c r="K210" s="15" t="n">
        <v>2012</v>
      </c>
      <c r="L210" s="33" t="n"/>
      <c r="M210" s="33" t="n"/>
      <c r="N210" s="33" t="n"/>
    </row>
    <row r="211">
      <c r="A211" s="15">
        <f>IF(B211&lt;&gt;"", COUNTA($B$2:B211), "")</f>
        <v/>
      </c>
      <c r="B211" s="280" t="inlineStr">
        <is>
          <t>Датчик пламени</t>
        </is>
      </c>
      <c r="C211" s="10" t="inlineStr">
        <is>
          <t>ИП330/3-20-А1</t>
        </is>
      </c>
      <c r="D211" s="11" t="inlineStr">
        <is>
          <t>001010</t>
        </is>
      </c>
      <c r="E211" s="15" t="n">
        <v>2011</v>
      </c>
      <c r="F211" s="33" t="n"/>
      <c r="G211" s="33" t="n"/>
      <c r="H211" s="10" t="inlineStr">
        <is>
          <t>На леснице справа (BTF203)</t>
        </is>
      </c>
      <c r="I211" s="15" t="inlineStr">
        <is>
          <t>ГПА 63</t>
        </is>
      </c>
      <c r="J211" s="15" t="inlineStr">
        <is>
          <t>АСУ,А и ТМ (КЦ № 6)</t>
        </is>
      </c>
      <c r="K211" s="15" t="n">
        <v>2012</v>
      </c>
      <c r="L211" s="33" t="n"/>
      <c r="M211" s="33" t="n"/>
      <c r="N211" s="33" t="n"/>
    </row>
    <row r="212">
      <c r="A212" s="15">
        <f>IF(B212&lt;&gt;"", COUNTA($B$2:B212), "")</f>
        <v/>
      </c>
      <c r="B212" s="280" t="inlineStr">
        <is>
          <t>Датчик пламени</t>
        </is>
      </c>
      <c r="C212" s="10" t="inlineStr">
        <is>
          <t>ИП330/3-20-А1</t>
        </is>
      </c>
      <c r="D212" s="11" t="inlineStr">
        <is>
          <t>000989</t>
        </is>
      </c>
      <c r="E212" s="15" t="n">
        <v>2011</v>
      </c>
      <c r="F212" s="33" t="n"/>
      <c r="G212" s="33" t="n"/>
      <c r="H212" s="10" t="inlineStr">
        <is>
          <t>Над т.г. (BTF207)</t>
        </is>
      </c>
      <c r="I212" s="15" t="inlineStr">
        <is>
          <t>ГПА 63</t>
        </is>
      </c>
      <c r="J212" s="15" t="inlineStr">
        <is>
          <t>АСУ,А и ТМ (КЦ № 6)</t>
        </is>
      </c>
      <c r="K212" s="15" t="n">
        <v>2012</v>
      </c>
      <c r="L212" s="33" t="n"/>
      <c r="M212" s="33" t="n"/>
      <c r="N212" s="33" t="n"/>
    </row>
    <row r="213">
      <c r="A213" s="15">
        <f>IF(B213&lt;&gt;"", COUNTA($B$2:B213), "")</f>
        <v/>
      </c>
      <c r="B213" s="280" t="inlineStr">
        <is>
          <t>Датчик пламени</t>
        </is>
      </c>
      <c r="C213" s="10" t="inlineStr">
        <is>
          <t>ИП330/1-20-А1</t>
        </is>
      </c>
      <c r="D213" s="11" t="inlineStr">
        <is>
          <t>001328</t>
        </is>
      </c>
      <c r="E213" s="15" t="n">
        <v>2011</v>
      </c>
      <c r="F213" s="33" t="n"/>
      <c r="G213" s="33" t="n"/>
      <c r="H213" s="10" t="inlineStr">
        <is>
          <t>Под КШТ (BTF102)</t>
        </is>
      </c>
      <c r="I213" s="15" t="inlineStr">
        <is>
          <t>ГПА 63</t>
        </is>
      </c>
      <c r="J213" s="15" t="inlineStr">
        <is>
          <t>АСУ,А и ТМ (КЦ № 6)</t>
        </is>
      </c>
      <c r="K213" s="15" t="n">
        <v>2012</v>
      </c>
      <c r="L213" s="33" t="n"/>
      <c r="M213" s="33" t="n"/>
      <c r="N213" s="33" t="n"/>
    </row>
    <row r="214">
      <c r="A214" s="15">
        <f>IF(B214&lt;&gt;"", COUNTA($B$2:B214), "")</f>
        <v/>
      </c>
      <c r="B214" s="280" t="inlineStr">
        <is>
          <t>Датчик пламени</t>
        </is>
      </c>
      <c r="C214" s="10" t="inlineStr">
        <is>
          <t>ИП330/1-20-А1</t>
        </is>
      </c>
      <c r="D214" s="11" t="inlineStr">
        <is>
          <t>001339</t>
        </is>
      </c>
      <c r="E214" s="15" t="n">
        <v>2011</v>
      </c>
      <c r="F214" s="33" t="n"/>
      <c r="G214" s="33" t="n"/>
      <c r="H214" s="10" t="inlineStr">
        <is>
          <t>Под КШТ (BTF101)</t>
        </is>
      </c>
      <c r="I214" s="15" t="inlineStr">
        <is>
          <t>ГПА 63</t>
        </is>
      </c>
      <c r="J214" s="15" t="inlineStr">
        <is>
          <t>АСУ,А и ТМ (КЦ № 6)</t>
        </is>
      </c>
      <c r="K214" s="15" t="n">
        <v>2012</v>
      </c>
      <c r="L214" s="33" t="n"/>
      <c r="M214" s="33" t="n"/>
      <c r="N214" s="33" t="n"/>
    </row>
    <row r="215">
      <c r="A215" s="15">
        <f>IF(B215&lt;&gt;"", COUNTA($B$2:B215), "")</f>
        <v/>
      </c>
      <c r="B215" s="280" t="inlineStr">
        <is>
          <t>Датчик пламени</t>
        </is>
      </c>
      <c r="C215" s="10" t="inlineStr">
        <is>
          <t>ИП330/3-20-А1</t>
        </is>
      </c>
      <c r="D215" s="11" t="inlineStr">
        <is>
          <t>000908</t>
        </is>
      </c>
      <c r="E215" s="15" t="n">
        <v>2011</v>
      </c>
      <c r="F215" s="33" t="n"/>
      <c r="G215" s="33" t="n"/>
      <c r="H215" s="10" t="inlineStr">
        <is>
          <t>Масл.консоль (BTF211)</t>
        </is>
      </c>
      <c r="I215" s="15" t="inlineStr">
        <is>
          <t>ГПА 63</t>
        </is>
      </c>
      <c r="J215" s="15" t="inlineStr">
        <is>
          <t>АСУ,А и ТМ (КЦ № 6)</t>
        </is>
      </c>
      <c r="K215" s="15" t="n">
        <v>2012</v>
      </c>
      <c r="L215" s="33" t="n"/>
      <c r="M215" s="33" t="n"/>
      <c r="N215" s="33" t="n"/>
    </row>
    <row r="216">
      <c r="A216" s="15">
        <f>IF(B216&lt;&gt;"", COUNTA($B$2:B216), "")</f>
        <v/>
      </c>
      <c r="B216" s="280" t="inlineStr">
        <is>
          <t>Датчик пламени</t>
        </is>
      </c>
      <c r="C216" s="10" t="inlineStr">
        <is>
          <t>ИП330/3-20-А1</t>
        </is>
      </c>
      <c r="D216" s="11" t="inlineStr">
        <is>
          <t>000970</t>
        </is>
      </c>
      <c r="E216" s="15" t="n">
        <v>2011</v>
      </c>
      <c r="F216" s="33" t="n"/>
      <c r="G216" s="33" t="n"/>
      <c r="H216" s="26" t="inlineStr">
        <is>
          <t xml:space="preserve"> (BTF210)</t>
        </is>
      </c>
      <c r="I216" s="15" t="inlineStr">
        <is>
          <t>ГПА 63</t>
        </is>
      </c>
      <c r="J216" s="15" t="inlineStr">
        <is>
          <t>АСУ,А и ТМ (КЦ № 6)</t>
        </is>
      </c>
      <c r="K216" s="15" t="n">
        <v>2012</v>
      </c>
      <c r="L216" s="33" t="n"/>
      <c r="M216" s="33" t="n"/>
      <c r="N216" s="33" t="n"/>
    </row>
    <row r="217">
      <c r="A217" s="15">
        <f>IF(B217&lt;&gt;"", COUNTA($B$2:B217), "")</f>
        <v/>
      </c>
      <c r="B217" s="280" t="inlineStr">
        <is>
          <t>Датчик пламени</t>
        </is>
      </c>
      <c r="C217" s="10" t="inlineStr">
        <is>
          <t>ИП330/3-20-А1</t>
        </is>
      </c>
      <c r="D217" s="11" t="inlineStr">
        <is>
          <t>000981</t>
        </is>
      </c>
      <c r="E217" s="15" t="n">
        <v>2011</v>
      </c>
      <c r="F217" s="33" t="n"/>
      <c r="G217" s="33" t="n"/>
      <c r="H217" s="26" t="inlineStr">
        <is>
          <t xml:space="preserve"> (BTF208)</t>
        </is>
      </c>
      <c r="I217" s="15" t="inlineStr">
        <is>
          <t>ГПА 63</t>
        </is>
      </c>
      <c r="J217" s="15" t="inlineStr">
        <is>
          <t>АСУ,А и ТМ (КЦ № 6)</t>
        </is>
      </c>
      <c r="K217" s="15" t="n">
        <v>2012</v>
      </c>
      <c r="L217" s="33" t="n"/>
      <c r="M217" s="33" t="n"/>
      <c r="N217" s="33" t="n"/>
    </row>
    <row r="218">
      <c r="A218" s="15">
        <f>IF(B218&lt;&gt;"", COUNTA($B$2:B218), "")</f>
        <v/>
      </c>
      <c r="B218" s="280" t="inlineStr">
        <is>
          <t>Датчик пламени</t>
        </is>
      </c>
      <c r="C218" s="10" t="inlineStr">
        <is>
          <t>ИП330/3-20-А1</t>
        </is>
      </c>
      <c r="D218" s="11" t="n"/>
      <c r="E218" s="15" t="n">
        <v>2011</v>
      </c>
      <c r="F218" s="33" t="n"/>
      <c r="G218" s="33" t="n"/>
      <c r="H218" s="26" t="inlineStr">
        <is>
          <t>(BTF206)</t>
        </is>
      </c>
      <c r="I218" s="15" t="inlineStr">
        <is>
          <t>ГПА 63</t>
        </is>
      </c>
      <c r="J218" s="15" t="inlineStr">
        <is>
          <t>АСУ,А и ТМ (КЦ № 6)</t>
        </is>
      </c>
      <c r="K218" s="15" t="n">
        <v>2012</v>
      </c>
      <c r="L218" s="33" t="n"/>
      <c r="M218" s="33" t="n"/>
      <c r="N218" s="33" t="n"/>
    </row>
    <row r="219">
      <c r="A219" s="15">
        <f>IF(B219&lt;&gt;"", COUNTA($B$2:B219), "")</f>
        <v/>
      </c>
      <c r="B219" s="280" t="inlineStr">
        <is>
          <t>Датчик пламени</t>
        </is>
      </c>
      <c r="C219" s="10" t="inlineStr">
        <is>
          <t>ИП330/3-20-А1</t>
        </is>
      </c>
      <c r="D219" s="11" t="n"/>
      <c r="E219" s="15" t="n">
        <v>2011</v>
      </c>
      <c r="F219" s="33" t="n"/>
      <c r="G219" s="33" t="n"/>
      <c r="H219" s="26" t="inlineStr">
        <is>
          <t>(BTF205)</t>
        </is>
      </c>
      <c r="I219" s="15" t="inlineStr">
        <is>
          <t>ГПА 63</t>
        </is>
      </c>
      <c r="J219" s="15" t="inlineStr">
        <is>
          <t>АСУ,А и ТМ (КЦ № 6)</t>
        </is>
      </c>
      <c r="K219" s="15" t="n">
        <v>2012</v>
      </c>
      <c r="L219" s="33" t="n"/>
      <c r="M219" s="33" t="n"/>
      <c r="N219" s="33" t="n"/>
    </row>
    <row r="220">
      <c r="A220" s="15">
        <f>IF(B220&lt;&gt;"", COUNTA($B$2:B220), "")</f>
        <v/>
      </c>
      <c r="B220" s="280" t="inlineStr">
        <is>
          <t>Датчик пламени</t>
        </is>
      </c>
      <c r="C220" s="10" t="inlineStr">
        <is>
          <t>ИП330/3-20-А1</t>
        </is>
      </c>
      <c r="D220" s="11" t="n"/>
      <c r="E220" s="15" t="n">
        <v>2011</v>
      </c>
      <c r="F220" s="33" t="n"/>
      <c r="G220" s="33" t="n"/>
      <c r="H220" s="26" t="inlineStr">
        <is>
          <t>(BTF209)</t>
        </is>
      </c>
      <c r="I220" s="15" t="inlineStr">
        <is>
          <t>ГПА 63</t>
        </is>
      </c>
      <c r="J220" s="15" t="inlineStr">
        <is>
          <t>АСУ,А и ТМ (КЦ № 6)</t>
        </is>
      </c>
      <c r="K220" s="15" t="n">
        <v>2012</v>
      </c>
      <c r="L220" s="33" t="n"/>
      <c r="M220" s="33" t="n"/>
      <c r="N220" s="33" t="n"/>
    </row>
    <row r="221" ht="22.5" customHeight="1" s="151">
      <c r="A221" s="15">
        <f>IF(B221&lt;&gt;"", COUNTA($B$2:B221), "")</f>
        <v/>
      </c>
      <c r="B221" s="16" t="inlineStr">
        <is>
          <t>Термометр сопротивления</t>
        </is>
      </c>
      <c r="C221" s="17" t="inlineStr">
        <is>
          <t>ТСП 012.60 Pt100/В/3</t>
        </is>
      </c>
      <c r="D221" s="3" t="inlineStr">
        <is>
          <t>452</t>
        </is>
      </c>
      <c r="E221" s="15" t="n">
        <v>2011</v>
      </c>
      <c r="F221" s="17" t="inlineStr">
        <is>
          <t>-60…200 °С</t>
        </is>
      </c>
      <c r="G221" s="17" t="inlineStr">
        <is>
          <t>B</t>
        </is>
      </c>
      <c r="H221" s="17" t="inlineStr">
        <is>
          <t>Температура воздуха во всасывающей камере</t>
        </is>
      </c>
      <c r="I221" s="15" t="inlineStr">
        <is>
          <t>ГПА 63</t>
        </is>
      </c>
      <c r="J221" s="15" t="inlineStr">
        <is>
          <t>АСУ,А и ТМ (КЦ № 6)</t>
        </is>
      </c>
      <c r="K221" s="15" t="n">
        <v>2012</v>
      </c>
      <c r="L221" s="14" t="n">
        <v>36</v>
      </c>
      <c r="M221" s="3" t="n"/>
      <c r="N221" s="70" t="n"/>
    </row>
    <row r="222" ht="22.5" customHeight="1" s="151">
      <c r="A222" s="15">
        <f>IF(B222&lt;&gt;"", COUNTA($B$2:B222), "")</f>
        <v/>
      </c>
      <c r="B222" s="73" t="inlineStr">
        <is>
          <t>Преобразователь влажности и температуры</t>
        </is>
      </c>
      <c r="C222" s="15" t="inlineStr">
        <is>
          <t>RS-WS-20</t>
        </is>
      </c>
      <c r="D222" s="17" t="inlineStr">
        <is>
          <t>021623722</t>
        </is>
      </c>
      <c r="E222" s="15" t="n"/>
      <c r="F222" s="17" t="inlineStr">
        <is>
          <t>-40…110 °С
0…100%</t>
        </is>
      </c>
      <c r="G222" s="14" t="inlineStr">
        <is>
          <t>0,4% (температура)
2% (влажность)</t>
        </is>
      </c>
      <c r="H222" s="15" t="inlineStr">
        <is>
          <t>Температура ВОУ</t>
        </is>
      </c>
      <c r="I222" s="15" t="inlineStr">
        <is>
          <t>ГПА 63</t>
        </is>
      </c>
      <c r="J222" s="15" t="inlineStr">
        <is>
          <t>АСУ,А и ТМ (КЦ № 6)</t>
        </is>
      </c>
      <c r="K222" s="15" t="n">
        <v>2012</v>
      </c>
      <c r="L222" s="14" t="n">
        <v>24</v>
      </c>
      <c r="M222" s="3" t="n"/>
      <c r="N222" s="70" t="n"/>
    </row>
    <row r="223" ht="14.25" customHeight="1" s="151">
      <c r="A223" s="15">
        <f>IF(B223&lt;&gt;"", COUNTA($B$2:B223), "")</f>
        <v/>
      </c>
      <c r="B223" s="73" t="inlineStr">
        <is>
          <t>Газоанализатор</t>
        </is>
      </c>
      <c r="C223" s="71" t="inlineStr">
        <is>
          <t>Даг - 510</t>
        </is>
      </c>
      <c r="D223" s="17" t="inlineStr">
        <is>
          <t>11091423</t>
        </is>
      </c>
      <c r="E223" s="15" t="n">
        <v>2011</v>
      </c>
      <c r="F223" s="17" t="inlineStr">
        <is>
          <t>10…400 ppm</t>
        </is>
      </c>
      <c r="G223" s="18" t="n">
        <v>0.1</v>
      </c>
      <c r="H223" s="14" t="inlineStr">
        <is>
          <t>выхлопные газы</t>
        </is>
      </c>
      <c r="I223" s="8" t="inlineStr">
        <is>
          <t>ГПА 63</t>
        </is>
      </c>
      <c r="J223" s="15" t="inlineStr">
        <is>
          <t>АСУ,А и ТМ (КЦ № 6)</t>
        </is>
      </c>
      <c r="K223" s="15" t="n">
        <v>2020</v>
      </c>
      <c r="L223" s="14" t="n">
        <v>12</v>
      </c>
      <c r="M223" s="3" t="inlineStr">
        <is>
          <t>15.09.23</t>
        </is>
      </c>
      <c r="N223" s="70" t="inlineStr">
        <is>
          <t>П</t>
        </is>
      </c>
    </row>
    <row r="224">
      <c r="A224" s="15">
        <f>IF(B224&lt;&gt;"", COUNTA($B$2:B224), "")</f>
        <v/>
      </c>
      <c r="B224" s="280" t="inlineStr">
        <is>
          <t>Манометр технический</t>
        </is>
      </c>
      <c r="C224" s="10" t="inlineStr">
        <is>
          <t>М-3ВУКсУХЛ1</t>
        </is>
      </c>
      <c r="D224" s="11" t="inlineStr">
        <is>
          <t>15610</t>
        </is>
      </c>
      <c r="E224" s="10" t="n">
        <v>2011</v>
      </c>
      <c r="F224" s="10" t="inlineStr">
        <is>
          <t>0…160 кгс/см2</t>
        </is>
      </c>
      <c r="G224" s="10" t="n">
        <v>1</v>
      </c>
      <c r="H224" s="26" t="inlineStr">
        <is>
          <t>Бустерная установка</t>
        </is>
      </c>
      <c r="I224" s="8" t="inlineStr">
        <is>
          <t>ГПА 63</t>
        </is>
      </c>
      <c r="J224" s="15" t="inlineStr">
        <is>
          <t>АСУ,А и ТМ (КЦ № 6)</t>
        </is>
      </c>
      <c r="K224" s="15" t="n">
        <v>2019</v>
      </c>
      <c r="L224" s="15" t="n">
        <v>12</v>
      </c>
      <c r="M224" s="3" t="inlineStr">
        <is>
          <t>3К26</t>
        </is>
      </c>
      <c r="N224" s="70" t="inlineStr">
        <is>
          <t>К</t>
        </is>
      </c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362204724409449" right="0.2362204724409449" top="0.2362204724409449" bottom="0.2362204724409449" header="0.3149606299212598" footer="0.3149606299212598"/>
  <pageSetup orientation="landscape" paperSize="9" scale="71"/>
</worksheet>
</file>

<file path=xl/worksheets/sheet5.xml><?xml version="1.0" encoding="utf-8"?>
<worksheet xmlns="http://schemas.openxmlformats.org/spreadsheetml/2006/main">
  <sheetPr codeName="Лист5">
    <outlinePr summaryBelow="1" summaryRight="1"/>
    <pageSetUpPr/>
  </sheetPr>
  <dimension ref="A1:O226"/>
  <sheetViews>
    <sheetView topLeftCell="C1" zoomScale="110" zoomScaleNormal="110" workbookViewId="0">
      <pane ySplit="1" topLeftCell="A17" activePane="bottomLeft" state="frozen"/>
      <selection pane="bottomLeft" activeCell="H12" sqref="H12"/>
    </sheetView>
  </sheetViews>
  <sheetFormatPr baseColWidth="8" defaultRowHeight="15"/>
  <cols>
    <col width="3.5703125" bestFit="1" customWidth="1" style="151" min="1" max="1"/>
    <col width="21.42578125" customWidth="1" style="151" min="2" max="2"/>
    <col width="26.42578125" customWidth="1" style="151" min="3" max="3"/>
    <col width="15.28515625" customWidth="1" style="151" min="4" max="4"/>
    <col width="7" customWidth="1" style="151" min="5" max="5"/>
    <col width="15.42578125" customWidth="1" style="151" min="6" max="7"/>
    <col width="28.5703125" customWidth="1" style="151" min="8" max="8"/>
    <col width="12.5703125" customWidth="1" style="151" min="9" max="9"/>
    <col width="17.5703125" customWidth="1" style="151" min="10" max="10"/>
    <col width="8.7109375" customWidth="1" style="151" min="11" max="11"/>
    <col width="7.5703125" customWidth="1" style="151" min="12" max="12"/>
    <col width="8" customWidth="1" style="151" min="13" max="13"/>
    <col width="9" bestFit="1" customWidth="1" style="151" min="14" max="14"/>
    <col width="9.140625" customWidth="1" style="151" min="15" max="16384"/>
  </cols>
  <sheetData>
    <row r="1" ht="56.2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
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>
      <c r="A2" s="15">
        <f>IF(B2&lt;&gt;"", COUNTA($B$2:B2), "")</f>
        <v/>
      </c>
      <c r="B2" s="280" t="inlineStr">
        <is>
          <t>Манометр технический</t>
        </is>
      </c>
      <c r="C2" s="10" t="inlineStr">
        <is>
          <t>МП4-УУ2</t>
        </is>
      </c>
      <c r="D2" s="10" t="n">
        <v>15136</v>
      </c>
      <c r="E2" s="10" t="n">
        <v>2010</v>
      </c>
      <c r="F2" s="10" t="inlineStr">
        <is>
          <t>0…160 кгс/см2</t>
        </is>
      </c>
      <c r="G2" s="10" t="n">
        <v>1.5</v>
      </c>
      <c r="H2" s="26" t="inlineStr">
        <is>
          <t>P газа перед КШ 731/1,2</t>
        </is>
      </c>
      <c r="I2" s="8" t="inlineStr">
        <is>
          <t>ГПА 64 БПТГ</t>
        </is>
      </c>
      <c r="J2" s="15" t="inlineStr">
        <is>
          <t>АСУ,А и ТМ (КЦ № 6)</t>
        </is>
      </c>
      <c r="K2" s="15" t="n">
        <v>2012</v>
      </c>
      <c r="L2" s="15" t="n">
        <v>12</v>
      </c>
      <c r="M2" s="3" t="inlineStr">
        <is>
          <t>1К26</t>
        </is>
      </c>
      <c r="N2" s="70" t="inlineStr">
        <is>
          <t>К</t>
        </is>
      </c>
    </row>
    <row r="3">
      <c r="A3" s="15">
        <f>IF(B3&lt;&gt;"", COUNTA($B$2:B3), "")</f>
        <v/>
      </c>
      <c r="B3" s="280" t="inlineStr">
        <is>
          <t>Манометр технический</t>
        </is>
      </c>
      <c r="C3" s="10" t="inlineStr">
        <is>
          <t>МП4-УУ2</t>
        </is>
      </c>
      <c r="D3" s="10" t="n">
        <v>6312</v>
      </c>
      <c r="E3" s="10" t="n">
        <v>2010</v>
      </c>
      <c r="F3" s="10" t="inlineStr">
        <is>
          <t>0…160 кгс/см3</t>
        </is>
      </c>
      <c r="G3" s="10" t="n">
        <v>1.5</v>
      </c>
      <c r="H3" s="26" t="inlineStr">
        <is>
          <t>P газа после КРД 730/1</t>
        </is>
      </c>
      <c r="I3" s="8" t="inlineStr">
        <is>
          <t>ГПА 64 БПТГ</t>
        </is>
      </c>
      <c r="J3" s="15" t="inlineStr">
        <is>
          <t>АСУ,А и ТМ (КЦ № 6)</t>
        </is>
      </c>
      <c r="K3" s="15" t="n">
        <v>2012</v>
      </c>
      <c r="L3" s="15" t="n">
        <v>12</v>
      </c>
      <c r="M3" s="3" t="inlineStr">
        <is>
          <t>1К26</t>
        </is>
      </c>
      <c r="N3" s="70" t="inlineStr">
        <is>
          <t>К</t>
        </is>
      </c>
    </row>
    <row r="4">
      <c r="A4" s="15">
        <f>IF(B4&lt;&gt;"", COUNTA($B$2:B4), "")</f>
        <v/>
      </c>
      <c r="B4" s="280" t="inlineStr">
        <is>
          <t>Манометр технический</t>
        </is>
      </c>
      <c r="C4" s="71" t="inlineStr">
        <is>
          <t>МП4-УУХЛ1</t>
        </is>
      </c>
      <c r="D4" s="107" t="n">
        <v>11067</v>
      </c>
      <c r="E4" s="10" t="n">
        <v>2010</v>
      </c>
      <c r="F4" s="10" t="inlineStr">
        <is>
          <t>0…16 МПа</t>
        </is>
      </c>
      <c r="G4" s="10" t="n">
        <v>1</v>
      </c>
      <c r="H4" s="14" t="inlineStr">
        <is>
          <t>P газа в C 701</t>
        </is>
      </c>
      <c r="I4" s="8" t="inlineStr">
        <is>
          <t>ГПА 64 БПТГ</t>
        </is>
      </c>
      <c r="J4" s="15" t="inlineStr">
        <is>
          <t>АСУ,А и ТМ (КЦ № 6)</t>
        </is>
      </c>
      <c r="K4" s="15" t="n">
        <v>2012</v>
      </c>
      <c r="L4" s="15" t="n">
        <v>12</v>
      </c>
      <c r="M4" s="22" t="inlineStr">
        <is>
          <t>26ДЯУ</t>
        </is>
      </c>
      <c r="N4" s="70" t="inlineStr">
        <is>
          <t>П</t>
        </is>
      </c>
      <c r="O4" s="66" t="n"/>
    </row>
    <row r="5">
      <c r="A5" s="15">
        <f>IF(B5&lt;&gt;"", COUNTA($B$2:B5), "")</f>
        <v/>
      </c>
      <c r="B5" s="280" t="inlineStr">
        <is>
          <t>Манометр технический</t>
        </is>
      </c>
      <c r="C5" s="10" t="inlineStr">
        <is>
          <t>МП4-УУ2</t>
        </is>
      </c>
      <c r="D5" s="10" t="n">
        <v>15137</v>
      </c>
      <c r="E5" s="10" t="n">
        <v>2010</v>
      </c>
      <c r="F5" s="10" t="inlineStr">
        <is>
          <t>0…160 кгс/см5</t>
        </is>
      </c>
      <c r="G5" s="10" t="n">
        <v>1.5</v>
      </c>
      <c r="H5" s="26" t="inlineStr">
        <is>
          <t>P газа на выходе ЭПГ 700/1</t>
        </is>
      </c>
      <c r="I5" s="8" t="inlineStr">
        <is>
          <t>ГПА 64 БПТГ</t>
        </is>
      </c>
      <c r="J5" s="15" t="inlineStr">
        <is>
          <t>АСУ,А и ТМ (КЦ № 6)</t>
        </is>
      </c>
      <c r="K5" s="15" t="n">
        <v>2012</v>
      </c>
      <c r="L5" s="15" t="n">
        <v>12</v>
      </c>
      <c r="M5" s="3" t="inlineStr">
        <is>
          <t>1К26</t>
        </is>
      </c>
      <c r="N5" s="70" t="inlineStr">
        <is>
          <t>К</t>
        </is>
      </c>
    </row>
    <row r="6">
      <c r="A6" s="15">
        <f>IF(B6&lt;&gt;"", COUNTA($B$2:B6), "")</f>
        <v/>
      </c>
      <c r="B6" s="280" t="inlineStr">
        <is>
          <t>Манометр технический</t>
        </is>
      </c>
      <c r="C6" s="10" t="inlineStr">
        <is>
          <t>МП4-УУ2</t>
        </is>
      </c>
      <c r="D6" s="10" t="n">
        <v>15239</v>
      </c>
      <c r="E6" s="10" t="n">
        <v>2010</v>
      </c>
      <c r="F6" s="10" t="inlineStr">
        <is>
          <t>0…160 кгс/см6</t>
        </is>
      </c>
      <c r="G6" s="10" t="n">
        <v>1.5</v>
      </c>
      <c r="H6" s="26" t="inlineStr">
        <is>
          <t>P газа после  КРД 730/2</t>
        </is>
      </c>
      <c r="I6" s="8" t="inlineStr">
        <is>
          <t>ГПА 64 БПТГ</t>
        </is>
      </c>
      <c r="J6" s="15" t="inlineStr">
        <is>
          <t>АСУ,А и ТМ (КЦ № 6)</t>
        </is>
      </c>
      <c r="K6" s="15" t="n">
        <v>2012</v>
      </c>
      <c r="L6" s="15" t="n">
        <v>12</v>
      </c>
      <c r="M6" s="3" t="inlineStr">
        <is>
          <t>1К26</t>
        </is>
      </c>
      <c r="N6" s="70" t="inlineStr">
        <is>
          <t>К</t>
        </is>
      </c>
    </row>
    <row r="7">
      <c r="A7" s="15">
        <f>IF(B7&lt;&gt;"", COUNTA($B$2:B7), "")</f>
        <v/>
      </c>
      <c r="B7" s="280" t="inlineStr">
        <is>
          <t>Манометр технический</t>
        </is>
      </c>
      <c r="C7" s="10" t="inlineStr">
        <is>
          <t>МП4-УУ2</t>
        </is>
      </c>
      <c r="D7" s="10" t="n">
        <v>15197</v>
      </c>
      <c r="E7" s="10" t="n">
        <v>2010</v>
      </c>
      <c r="F7" s="10" t="inlineStr">
        <is>
          <t>0…160 кгс/см7</t>
        </is>
      </c>
      <c r="G7" s="10" t="n">
        <v>1.5</v>
      </c>
      <c r="H7" s="26" t="inlineStr">
        <is>
          <t>P газа на выходе ЭПГ 700/2</t>
        </is>
      </c>
      <c r="I7" s="8" t="inlineStr">
        <is>
          <t>ГПА 64 БПТГ</t>
        </is>
      </c>
      <c r="J7" s="15" t="inlineStr">
        <is>
          <t>АСУ,А и ТМ (КЦ № 6)</t>
        </is>
      </c>
      <c r="K7" s="15" t="n">
        <v>2012</v>
      </c>
      <c r="L7" s="15" t="n">
        <v>12</v>
      </c>
      <c r="M7" s="3" t="inlineStr">
        <is>
          <t>1К26</t>
        </is>
      </c>
      <c r="N7" s="70" t="inlineStr">
        <is>
          <t>К</t>
        </is>
      </c>
    </row>
    <row r="8">
      <c r="A8" s="15">
        <f>IF(B8&lt;&gt;"", COUNTA($B$2:B8), "")</f>
        <v/>
      </c>
      <c r="B8" s="14" t="inlineStr">
        <is>
          <t>Термометр биметаллический</t>
        </is>
      </c>
      <c r="C8" s="10" t="inlineStr">
        <is>
          <t>ТБ-2</t>
        </is>
      </c>
      <c r="D8" s="11" t="inlineStr">
        <is>
          <t>8529</t>
        </is>
      </c>
      <c r="E8" s="14" t="n">
        <v>2015</v>
      </c>
      <c r="F8" s="10" t="inlineStr">
        <is>
          <t>0…100 °С</t>
        </is>
      </c>
      <c r="G8" s="10" t="n">
        <v>1.5</v>
      </c>
      <c r="H8" s="26" t="inlineStr">
        <is>
          <t>Тг на выходе ЭПГ 700/1</t>
        </is>
      </c>
      <c r="I8" s="8" t="inlineStr">
        <is>
          <t>ГПА 64 БПТГ</t>
        </is>
      </c>
      <c r="J8" s="15" t="inlineStr">
        <is>
          <t>АСУ,А и ТМ (КЦ № 6)</t>
        </is>
      </c>
      <c r="K8" s="15" t="n">
        <v>2012</v>
      </c>
      <c r="L8" s="15" t="n">
        <v>24</v>
      </c>
      <c r="M8" s="3" t="inlineStr">
        <is>
          <t>2К26</t>
        </is>
      </c>
      <c r="N8" s="70" t="inlineStr">
        <is>
          <t>К</t>
        </is>
      </c>
    </row>
    <row r="9">
      <c r="A9" s="15">
        <f>IF(B9&lt;&gt;"", COUNTA($B$2:B9), "")</f>
        <v/>
      </c>
      <c r="B9" s="14" t="inlineStr">
        <is>
          <t>Термометр биметаллический</t>
        </is>
      </c>
      <c r="C9" s="10" t="inlineStr">
        <is>
          <t>ТБ-2</t>
        </is>
      </c>
      <c r="D9" s="11" t="inlineStr">
        <is>
          <t>6714</t>
        </is>
      </c>
      <c r="E9" s="14" t="n">
        <v>2015</v>
      </c>
      <c r="F9" s="10" t="inlineStr">
        <is>
          <t>0…100 °С</t>
        </is>
      </c>
      <c r="G9" s="10" t="n">
        <v>1.5</v>
      </c>
      <c r="H9" s="26" t="inlineStr">
        <is>
          <t>Тг на выходе ЭПГ 700/2</t>
        </is>
      </c>
      <c r="I9" s="8" t="inlineStr">
        <is>
          <t>ГПА 64 БПТГ</t>
        </is>
      </c>
      <c r="J9" s="15" t="inlineStr">
        <is>
          <t>АСУ,А и ТМ (КЦ № 6)</t>
        </is>
      </c>
      <c r="K9" s="15" t="n">
        <v>2012</v>
      </c>
      <c r="L9" s="15" t="n">
        <v>24</v>
      </c>
      <c r="M9" s="3" t="inlineStr">
        <is>
          <t>2К26</t>
        </is>
      </c>
      <c r="N9" s="70" t="inlineStr">
        <is>
          <t>К</t>
        </is>
      </c>
    </row>
    <row r="10">
      <c r="A10" s="15">
        <f>IF(B10&lt;&gt;"", COUNTA($B$2:B10), "")</f>
        <v/>
      </c>
      <c r="B10" s="15" t="inlineStr">
        <is>
          <t>Уравнемер</t>
        </is>
      </c>
      <c r="C10" s="14" t="inlineStr">
        <is>
          <t xml:space="preserve">KROHNE BM-26A/C/RR </t>
        </is>
      </c>
      <c r="D10" s="14" t="inlineStr">
        <is>
          <t>447006647.20.01</t>
        </is>
      </c>
      <c r="E10" s="15" t="n">
        <v>2011</v>
      </c>
      <c r="F10" s="14" t="inlineStr">
        <is>
          <t>0…100 %</t>
        </is>
      </c>
      <c r="G10" s="14" t="inlineStr">
        <is>
          <t>±10 мм</t>
        </is>
      </c>
      <c r="H10" s="15" t="inlineStr">
        <is>
          <t xml:space="preserve">Уровень жидкости в сепараторе С701 </t>
        </is>
      </c>
      <c r="I10" s="8" t="inlineStr">
        <is>
          <t>ГПА 64 БПТГ</t>
        </is>
      </c>
      <c r="J10" s="15" t="inlineStr">
        <is>
          <t>АСУ,А и ТМ (КЦ № 6)</t>
        </is>
      </c>
      <c r="K10" s="15" t="n">
        <v>2012</v>
      </c>
      <c r="L10" s="14" t="n">
        <v>48</v>
      </c>
      <c r="M10" s="3" t="n"/>
      <c r="N10" s="70" t="n"/>
    </row>
    <row r="11" ht="22.5" customHeight="1" s="151">
      <c r="A11" s="15">
        <f>IF(B11&lt;&gt;"", COUNTA($B$2:B11), "")</f>
        <v/>
      </c>
      <c r="B11" s="73" t="inlineStr">
        <is>
          <t>Преобразователь избыточного давления</t>
        </is>
      </c>
      <c r="C11" s="15" t="inlineStr">
        <is>
          <t>Honeywell STG-97L</t>
        </is>
      </c>
      <c r="D11" s="15" t="inlineStr">
        <is>
          <t>11W03 C3287149003065</t>
        </is>
      </c>
      <c r="E11" s="15" t="n">
        <v>2011</v>
      </c>
      <c r="F11" s="14" t="inlineStr">
        <is>
          <t xml:space="preserve">0…10 MПa </t>
        </is>
      </c>
      <c r="G11" s="14" t="n">
        <v>0.075</v>
      </c>
      <c r="H11" s="15" t="inlineStr">
        <is>
          <t>Давление газа перед С701 (на входе в блок БПТГ)</t>
        </is>
      </c>
      <c r="I11" s="8" t="inlineStr">
        <is>
          <t>ГПА 64 БПТГ</t>
        </is>
      </c>
      <c r="J11" s="15" t="inlineStr">
        <is>
          <t>АСУ,А и ТМ (КЦ № 6)</t>
        </is>
      </c>
      <c r="K11" s="15" t="n">
        <v>2012</v>
      </c>
      <c r="L11" s="14" t="n">
        <v>36</v>
      </c>
      <c r="M11" s="3" t="inlineStr">
        <is>
          <t>16.02.2016</t>
        </is>
      </c>
      <c r="N11" s="70" t="inlineStr">
        <is>
          <t>К</t>
        </is>
      </c>
    </row>
    <row r="12" ht="22.5" customHeight="1" s="151">
      <c r="A12" s="15">
        <f>IF(B12&lt;&gt;"", COUNTA($B$2:B14), "")</f>
        <v/>
      </c>
      <c r="B12" s="73" t="inlineStr">
        <is>
          <t>Преобразователь избыточного давления</t>
        </is>
      </c>
      <c r="C12" s="15" t="inlineStr">
        <is>
          <t>Honeywell STG-97L</t>
        </is>
      </c>
      <c r="D12" s="15" t="inlineStr">
        <is>
          <t>11W18 C331369003010</t>
        </is>
      </c>
      <c r="E12" s="15" t="n">
        <v>2011</v>
      </c>
      <c r="F12" s="14" t="inlineStr">
        <is>
          <t xml:space="preserve">0…10 MПa </t>
        </is>
      </c>
      <c r="G12" s="14" t="n">
        <v>0.075</v>
      </c>
      <c r="H12" s="15" t="inlineStr">
        <is>
          <t>Давление газа на выходе блока БПТГ перед КШ12</t>
        </is>
      </c>
      <c r="I12" s="8" t="inlineStr">
        <is>
          <t>ГПА 64 БПТГ</t>
        </is>
      </c>
      <c r="J12" s="15" t="inlineStr">
        <is>
          <t>АСУ,А и ТМ (КЦ № 6)</t>
        </is>
      </c>
      <c r="K12" s="15" t="n">
        <v>2012</v>
      </c>
      <c r="L12" s="14" t="n">
        <v>36</v>
      </c>
      <c r="M12" s="3" t="inlineStr">
        <is>
          <t>16.02.2016</t>
        </is>
      </c>
      <c r="N12" s="70" t="inlineStr">
        <is>
          <t>К</t>
        </is>
      </c>
    </row>
    <row r="13" ht="22.5" customHeight="1" s="151">
      <c r="A13" s="15">
        <f>IF(B13&lt;&gt;"", COUNTA($B$2:B13), "")</f>
        <v/>
      </c>
      <c r="B13" s="16" t="inlineStr">
        <is>
          <t>Термометр сопротивления</t>
        </is>
      </c>
      <c r="C13" s="3" t="inlineStr">
        <is>
          <t>Метран 256-04 100П/В/3</t>
        </is>
      </c>
      <c r="D13" s="3" t="inlineStr">
        <is>
          <t>522399</t>
        </is>
      </c>
      <c r="E13" s="17" t="inlineStr">
        <is>
          <t>2005</t>
        </is>
      </c>
      <c r="F13" s="17" t="inlineStr">
        <is>
          <t>-60…200 °С</t>
        </is>
      </c>
      <c r="G13" s="17" t="inlineStr">
        <is>
          <t>B</t>
        </is>
      </c>
      <c r="H13" s="3" t="inlineStr">
        <is>
          <t>Температура антифриза в подогревателе ЭПГ700/2</t>
        </is>
      </c>
      <c r="I13" s="8" t="inlineStr">
        <is>
          <t>ГПА 64 БПТГ</t>
        </is>
      </c>
      <c r="J13" s="15" t="inlineStr">
        <is>
          <t>АСУ,А и ТМ (КЦ № 6)</t>
        </is>
      </c>
      <c r="K13" s="15" t="n"/>
      <c r="L13" s="26" t="n"/>
      <c r="M13" s="3" t="n"/>
      <c r="N13" s="70" t="n"/>
    </row>
    <row r="14" ht="22.5" customHeight="1" s="151">
      <c r="A14" s="15">
        <f>IF(B14&lt;&gt;"", COUNTA($B$2:B14), "")</f>
        <v/>
      </c>
      <c r="B14" s="16" t="inlineStr">
        <is>
          <t>Термометр сопротивления</t>
        </is>
      </c>
      <c r="C14" s="3" t="inlineStr">
        <is>
          <t>Метран 256-04 100П/В/3</t>
        </is>
      </c>
      <c r="D14" s="3" t="inlineStr">
        <is>
          <t>522402</t>
        </is>
      </c>
      <c r="E14" s="17" t="inlineStr">
        <is>
          <t>2005</t>
        </is>
      </c>
      <c r="F14" s="17" t="inlineStr">
        <is>
          <t>-60…200 °С</t>
        </is>
      </c>
      <c r="G14" s="17" t="inlineStr">
        <is>
          <t>B</t>
        </is>
      </c>
      <c r="H14" s="3" t="inlineStr">
        <is>
          <t>Температура антифриза в подогревателе ЭПГ700/1</t>
        </is>
      </c>
      <c r="I14" s="8" t="inlineStr">
        <is>
          <t>ГПА 64 БПТГ</t>
        </is>
      </c>
      <c r="J14" s="15" t="inlineStr">
        <is>
          <t>АСУ,А и ТМ (КЦ № 6)</t>
        </is>
      </c>
      <c r="K14" s="15" t="n"/>
      <c r="L14" s="26" t="n"/>
      <c r="M14" s="3" t="n"/>
      <c r="N14" s="70" t="n"/>
    </row>
    <row r="15" ht="22.5" customHeight="1" s="151">
      <c r="A15" s="15">
        <f>IF(B15&lt;&gt;"", COUNTA($B$2:B15), "")</f>
        <v/>
      </c>
      <c r="B15" s="16" t="inlineStr">
        <is>
          <t>Термометр сопротивления</t>
        </is>
      </c>
      <c r="C15" s="17" t="inlineStr">
        <is>
          <t>ТСП 012.60 Pt100/В/3</t>
        </is>
      </c>
      <c r="D15" s="3" t="inlineStr">
        <is>
          <t>377</t>
        </is>
      </c>
      <c r="E15" s="15" t="n">
        <v>2011</v>
      </c>
      <c r="F15" s="17" t="inlineStr">
        <is>
          <t>-60…200 °С</t>
        </is>
      </c>
      <c r="G15" s="17" t="inlineStr">
        <is>
          <t>B</t>
        </is>
      </c>
      <c r="H15" s="3" t="inlineStr">
        <is>
          <t>Температура воздуха в контейнере блока БПТГ т.1</t>
        </is>
      </c>
      <c r="I15" s="8" t="inlineStr">
        <is>
          <t>ГПА 64 БПТГ</t>
        </is>
      </c>
      <c r="J15" s="15" t="inlineStr">
        <is>
          <t>АСУ,А и ТМ (КЦ № 6)</t>
        </is>
      </c>
      <c r="K15" s="15" t="n">
        <v>2012</v>
      </c>
      <c r="L15" s="14" t="n">
        <v>36</v>
      </c>
      <c r="M15" s="3" t="n"/>
      <c r="N15" s="70" t="n"/>
    </row>
    <row r="16" ht="22.5" customHeight="1" s="151">
      <c r="A16" s="15">
        <f>IF(B16&lt;&gt;"", COUNTA($B$2:B16), "")</f>
        <v/>
      </c>
      <c r="B16" s="16" t="inlineStr">
        <is>
          <t>Термометр сопротивления</t>
        </is>
      </c>
      <c r="C16" s="17" t="inlineStr">
        <is>
          <t>ТСП 012.60 Pt100/В/3</t>
        </is>
      </c>
      <c r="D16" s="3" t="inlineStr">
        <is>
          <t>369</t>
        </is>
      </c>
      <c r="E16" s="15" t="n">
        <v>2011</v>
      </c>
      <c r="F16" s="17" t="inlineStr">
        <is>
          <t>-60…200 °С</t>
        </is>
      </c>
      <c r="G16" s="17" t="inlineStr">
        <is>
          <t>B</t>
        </is>
      </c>
      <c r="H16" s="3" t="inlineStr">
        <is>
          <t>Температура воздуха в контейнере блока БПТГ т.2</t>
        </is>
      </c>
      <c r="I16" s="8" t="inlineStr">
        <is>
          <t>ГПА 64 БПТГ</t>
        </is>
      </c>
      <c r="J16" s="15" t="inlineStr">
        <is>
          <t>АСУ,А и ТМ (КЦ № 6)</t>
        </is>
      </c>
      <c r="K16" s="15" t="n">
        <v>2012</v>
      </c>
      <c r="L16" s="14" t="n">
        <v>36</v>
      </c>
      <c r="M16" s="3" t="n"/>
      <c r="N16" s="70" t="n"/>
    </row>
    <row r="17">
      <c r="A17" s="15">
        <f>IF(B17&lt;&gt;"", COUNTA($B$2:B17), "")</f>
        <v/>
      </c>
      <c r="B17" s="16" t="inlineStr">
        <is>
          <t>Термометр сопротивления</t>
        </is>
      </c>
      <c r="C17" s="17" t="inlineStr">
        <is>
          <t>ТСП 012.60 Pt100/В/3</t>
        </is>
      </c>
      <c r="D17" s="3" t="inlineStr">
        <is>
          <t>374</t>
        </is>
      </c>
      <c r="E17" s="15" t="n">
        <v>2011</v>
      </c>
      <c r="F17" s="17" t="inlineStr">
        <is>
          <t>-60…200 °С</t>
        </is>
      </c>
      <c r="G17" s="17" t="inlineStr">
        <is>
          <t>B</t>
        </is>
      </c>
      <c r="H17" s="3" t="inlineStr">
        <is>
          <t>Температура масла EK225</t>
        </is>
      </c>
      <c r="I17" s="8" t="inlineStr">
        <is>
          <t>ГПА 64 БПТГ</t>
        </is>
      </c>
      <c r="J17" s="15" t="inlineStr">
        <is>
          <t>АСУ,А и ТМ (КЦ № 6)</t>
        </is>
      </c>
      <c r="K17" s="15" t="n">
        <v>2012</v>
      </c>
      <c r="L17" s="14" t="n">
        <v>36</v>
      </c>
      <c r="M17" s="3" t="n"/>
      <c r="N17" s="70" t="n"/>
    </row>
    <row r="18">
      <c r="A18" s="15">
        <f>IF(B18&lt;&gt;"", COUNTA($B$2:B18), "")</f>
        <v/>
      </c>
      <c r="B18" s="16" t="inlineStr">
        <is>
          <t>Термометр сопротивления</t>
        </is>
      </c>
      <c r="C18" s="17" t="inlineStr">
        <is>
          <t>ТСП 012.60 Pt100/В/3</t>
        </is>
      </c>
      <c r="D18" s="3" t="inlineStr">
        <is>
          <t>376</t>
        </is>
      </c>
      <c r="E18" s="15" t="n">
        <v>2011</v>
      </c>
      <c r="F18" s="17" t="inlineStr">
        <is>
          <t>-60…200 °С</t>
        </is>
      </c>
      <c r="G18" s="17" t="inlineStr">
        <is>
          <t>B</t>
        </is>
      </c>
      <c r="H18" s="3" t="inlineStr">
        <is>
          <t>Температура масла EK226</t>
        </is>
      </c>
      <c r="I18" s="8" t="inlineStr">
        <is>
          <t>ГПА 64 БПТГ</t>
        </is>
      </c>
      <c r="J18" s="15" t="inlineStr">
        <is>
          <t>АСУ,А и ТМ (КЦ № 6)</t>
        </is>
      </c>
      <c r="K18" s="15" t="n">
        <v>2012</v>
      </c>
      <c r="L18" s="14" t="n">
        <v>36</v>
      </c>
      <c r="M18" s="3" t="n"/>
      <c r="N18" s="70" t="n"/>
    </row>
    <row r="19">
      <c r="A19" s="15">
        <f>IF(B19&lt;&gt;"", COUNTA($B$2:B19), "")</f>
        <v/>
      </c>
      <c r="B19" s="16" t="inlineStr">
        <is>
          <t>Термометр сопротивления</t>
        </is>
      </c>
      <c r="C19" s="17" t="inlineStr">
        <is>
          <t>ТСП 012.60 Pt100/В/3</t>
        </is>
      </c>
      <c r="D19" s="3" t="inlineStr">
        <is>
          <t>365</t>
        </is>
      </c>
      <c r="E19" s="15" t="n">
        <v>2011</v>
      </c>
      <c r="F19" s="17" t="inlineStr">
        <is>
          <t>-60…200 °С</t>
        </is>
      </c>
      <c r="G19" s="17" t="inlineStr">
        <is>
          <t>B</t>
        </is>
      </c>
      <c r="H19" s="3" t="inlineStr">
        <is>
          <t>Температура газа перед С701</t>
        </is>
      </c>
      <c r="I19" s="8" t="inlineStr">
        <is>
          <t>ГПА 64 БПТГ</t>
        </is>
      </c>
      <c r="J19" s="15" t="inlineStr">
        <is>
          <t>АСУ,А и ТМ (КЦ № 6)</t>
        </is>
      </c>
      <c r="K19" s="15" t="n">
        <v>2012</v>
      </c>
      <c r="L19" s="14" t="n">
        <v>36</v>
      </c>
      <c r="M19" s="3" t="n"/>
      <c r="N19" s="70" t="n"/>
    </row>
    <row r="20">
      <c r="A20" s="15">
        <f>IF(B20&lt;&gt;"", COUNTA($B$2:B20), "")</f>
        <v/>
      </c>
      <c r="B20" s="16" t="inlineStr">
        <is>
          <t>Термометр сопротивления</t>
        </is>
      </c>
      <c r="C20" s="17" t="inlineStr">
        <is>
          <t>ТСП 012.60 Pt100/В/3</t>
        </is>
      </c>
      <c r="D20" s="3" t="inlineStr">
        <is>
          <t>360</t>
        </is>
      </c>
      <c r="E20" s="15" t="n">
        <v>2011</v>
      </c>
      <c r="F20" s="17" t="inlineStr">
        <is>
          <t>-60…200 °С</t>
        </is>
      </c>
      <c r="G20" s="17" t="inlineStr">
        <is>
          <t>B</t>
        </is>
      </c>
      <c r="H20" s="3" t="inlineStr">
        <is>
          <t>Температура газа после ЭПГ700/2</t>
        </is>
      </c>
      <c r="I20" s="8" t="inlineStr">
        <is>
          <t>ГПА 64 БПТГ</t>
        </is>
      </c>
      <c r="J20" s="15" t="inlineStr">
        <is>
          <t>АСУ,А и ТМ (КЦ № 6)</t>
        </is>
      </c>
      <c r="K20" s="15" t="n">
        <v>2012</v>
      </c>
      <c r="L20" s="14" t="n">
        <v>36</v>
      </c>
      <c r="M20" s="3" t="n"/>
      <c r="N20" s="70" t="n"/>
    </row>
    <row r="21">
      <c r="A21" s="15">
        <f>IF(B21&lt;&gt;"", COUNTA($B$2:B21), "")</f>
        <v/>
      </c>
      <c r="B21" s="16" t="inlineStr">
        <is>
          <t>Термометр сопротивления</t>
        </is>
      </c>
      <c r="C21" s="17" t="inlineStr">
        <is>
          <t>ТСП 012.60 Pt100/В/3</t>
        </is>
      </c>
      <c r="D21" s="3" t="inlineStr">
        <is>
          <t>449</t>
        </is>
      </c>
      <c r="E21" s="15" t="n">
        <v>2011</v>
      </c>
      <c r="F21" s="17" t="inlineStr">
        <is>
          <t>-60…200 °С</t>
        </is>
      </c>
      <c r="G21" s="17" t="inlineStr">
        <is>
          <t>B</t>
        </is>
      </c>
      <c r="H21" s="3" t="inlineStr">
        <is>
          <t>Температура газа после ЭПГ700/1</t>
        </is>
      </c>
      <c r="I21" s="8" t="inlineStr">
        <is>
          <t>ГПА 64 БПТГ</t>
        </is>
      </c>
      <c r="J21" s="15" t="inlineStr">
        <is>
          <t>АСУ,А и ТМ (КЦ № 6)</t>
        </is>
      </c>
      <c r="K21" s="15" t="n">
        <v>2012</v>
      </c>
      <c r="L21" s="14" t="n">
        <v>36</v>
      </c>
      <c r="M21" s="3" t="n"/>
      <c r="N21" s="70" t="n"/>
    </row>
    <row r="22">
      <c r="A22" s="15">
        <f>IF(B22&lt;&gt;"", COUNTA($B$2:B22), "")</f>
        <v/>
      </c>
      <c r="B22" s="16" t="inlineStr">
        <is>
          <t>Датчик уровня</t>
        </is>
      </c>
      <c r="C22" s="17" t="inlineStr">
        <is>
          <t>KROHNE Optiswitch 5200C</t>
        </is>
      </c>
      <c r="D22" s="3" t="inlineStr">
        <is>
          <t>20543599</t>
        </is>
      </c>
      <c r="E22" s="15" t="n">
        <v>2011</v>
      </c>
      <c r="F22" s="17" t="inlineStr">
        <is>
          <t>0…400 мм</t>
        </is>
      </c>
      <c r="G22" s="17" t="n"/>
      <c r="H22" s="3" t="inlineStr">
        <is>
          <t>Уровень антифриза в ЭПГ 700/1</t>
        </is>
      </c>
      <c r="I22" s="8" t="inlineStr">
        <is>
          <t>ГПА 64 БПТГ</t>
        </is>
      </c>
      <c r="J22" s="15" t="inlineStr">
        <is>
          <t>АСУ,А и ТМ (КЦ № 6)</t>
        </is>
      </c>
      <c r="K22" s="15" t="n"/>
      <c r="L22" s="14" t="n"/>
      <c r="M22" s="3" t="n"/>
      <c r="N22" s="70" t="n"/>
    </row>
    <row r="23">
      <c r="A23" s="15">
        <f>IF(B23&lt;&gt;"", COUNTA($B$2:B23), "")</f>
        <v/>
      </c>
      <c r="B23" s="16" t="inlineStr">
        <is>
          <t>Датчик уровня</t>
        </is>
      </c>
      <c r="C23" s="17" t="inlineStr">
        <is>
          <t>KROHNE Optiswitch 5200C</t>
        </is>
      </c>
      <c r="D23" s="3" t="inlineStr">
        <is>
          <t>20543606</t>
        </is>
      </c>
      <c r="E23" s="15" t="n">
        <v>2011</v>
      </c>
      <c r="F23" s="17" t="inlineStr">
        <is>
          <t>0…400 мм</t>
        </is>
      </c>
      <c r="G23" s="17" t="n"/>
      <c r="H23" s="3" t="inlineStr">
        <is>
          <t>Уровень антифриза в ЭПГ 700/2</t>
        </is>
      </c>
      <c r="I23" s="8" t="inlineStr">
        <is>
          <t>ГПА 64 БПТГ</t>
        </is>
      </c>
      <c r="J23" s="15" t="inlineStr">
        <is>
          <t>АСУ,А и ТМ (КЦ № 6)</t>
        </is>
      </c>
      <c r="K23" s="15" t="n"/>
      <c r="L23" s="14" t="n"/>
      <c r="M23" s="3" t="n"/>
      <c r="N23" s="70" t="n"/>
    </row>
    <row r="24" s="151">
      <c r="A24" s="210">
        <f>IF(B24&lt;&gt;"", COUNTA($B$2:B24), "")</f>
        <v/>
      </c>
      <c r="B24" s="213" t="inlineStr">
        <is>
          <t>Контроль загазованности</t>
        </is>
      </c>
      <c r="C24" s="207" t="inlineStr">
        <is>
          <t>ОГС-ПГП/М-СН4-А</t>
        </is>
      </c>
      <c r="D24" s="207" t="n">
        <v>25527</v>
      </c>
      <c r="E24" s="214" t="n">
        <v>2025</v>
      </c>
      <c r="F24" s="209" t="n"/>
      <c r="G24" s="209" t="n"/>
      <c r="H24" s="210" t="inlineStr">
        <is>
          <t xml:space="preserve">ЭП 700/2 (QT 502) </t>
        </is>
      </c>
      <c r="I24" s="210" t="inlineStr">
        <is>
          <t>ГПА 64 БПТГ</t>
        </is>
      </c>
      <c r="J24" s="210" t="inlineStr">
        <is>
          <t>АСУ,А и ТМ (КЦ № 6)</t>
        </is>
      </c>
      <c r="K24" s="210" t="n">
        <v>2012</v>
      </c>
      <c r="L24" s="211" t="n"/>
      <c r="M24" s="212" t="n"/>
      <c r="N24" s="209" t="n"/>
    </row>
    <row r="25" s="151">
      <c r="A25" s="210">
        <f>IF(B25&lt;&gt;"", COUNTA($B$2:B25), "")</f>
        <v/>
      </c>
      <c r="B25" s="213" t="inlineStr">
        <is>
          <t>Контроль загазованности</t>
        </is>
      </c>
      <c r="C25" s="207" t="inlineStr">
        <is>
          <t>ОГС-ПГП/М-СН4-А</t>
        </is>
      </c>
      <c r="D25" s="207" t="n">
        <v>25522</v>
      </c>
      <c r="E25" s="214" t="n">
        <v>2025</v>
      </c>
      <c r="F25" s="209" t="n"/>
      <c r="G25" s="209" t="n"/>
      <c r="H25" s="210" t="inlineStr">
        <is>
          <t xml:space="preserve">ЭП 700/1 (QT 501) </t>
        </is>
      </c>
      <c r="I25" s="210" t="inlineStr">
        <is>
          <t>ГПА 64 БПТГ</t>
        </is>
      </c>
      <c r="J25" s="210" t="inlineStr">
        <is>
          <t>АСУ,А и ТМ (КЦ № 6)</t>
        </is>
      </c>
      <c r="K25" s="210" t="n">
        <v>2012</v>
      </c>
      <c r="L25" s="211" t="n"/>
      <c r="M25" s="212" t="n"/>
      <c r="N25" s="209" t="n"/>
    </row>
    <row r="26">
      <c r="A26" s="15">
        <f>IF(B26&lt;&gt;"", COUNTA($B$2:B26), "")</f>
        <v/>
      </c>
      <c r="B26" s="280" t="inlineStr">
        <is>
          <t>Датчик пламени</t>
        </is>
      </c>
      <c r="C26" s="10" t="inlineStr">
        <is>
          <t>ИП330/3-20-А1</t>
        </is>
      </c>
      <c r="D26" s="11" t="inlineStr">
        <is>
          <t>000971</t>
        </is>
      </c>
      <c r="E26" s="15" t="n">
        <v>2011</v>
      </c>
      <c r="F26" s="33" t="n"/>
      <c r="G26" s="33" t="n"/>
      <c r="H26" s="26" t="inlineStr">
        <is>
          <t>(BTF501)</t>
        </is>
      </c>
      <c r="I26" s="15" t="inlineStr">
        <is>
          <t>ГПА 64 БПТГ</t>
        </is>
      </c>
      <c r="J26" s="15" t="inlineStr">
        <is>
          <t>АСУ,А и ТМ (КЦ № 6)</t>
        </is>
      </c>
      <c r="K26" s="15" t="n">
        <v>2012</v>
      </c>
      <c r="L26" s="33" t="n"/>
      <c r="M26" s="33" t="n"/>
      <c r="N26" s="33" t="n"/>
    </row>
    <row r="27">
      <c r="A27" s="15">
        <f>IF(B27&lt;&gt;"", COUNTA($B$2:B27), "")</f>
        <v/>
      </c>
      <c r="B27" s="280" t="inlineStr">
        <is>
          <t>Датчик пламени</t>
        </is>
      </c>
      <c r="C27" s="10" t="inlineStr">
        <is>
          <t>ИП330/3-20-А1</t>
        </is>
      </c>
      <c r="D27" s="11" t="inlineStr">
        <is>
          <t>000982</t>
        </is>
      </c>
      <c r="E27" s="15" t="n">
        <v>2011</v>
      </c>
      <c r="F27" s="33" t="n"/>
      <c r="G27" s="33" t="n"/>
      <c r="H27" s="26" t="inlineStr">
        <is>
          <t>(BTF502)</t>
        </is>
      </c>
      <c r="I27" s="15" t="inlineStr">
        <is>
          <t>ГПА 64 БПТГ</t>
        </is>
      </c>
      <c r="J27" s="15" t="inlineStr">
        <is>
          <t>АСУ,А и ТМ (КЦ № 6)</t>
        </is>
      </c>
      <c r="K27" s="15" t="n">
        <v>2012</v>
      </c>
      <c r="L27" s="33" t="n"/>
      <c r="M27" s="33" t="n"/>
      <c r="N27" s="33" t="n"/>
    </row>
    <row r="28">
      <c r="A28" s="15">
        <f>IF(B28&lt;&gt;"", COUNTA($B$2:B28), "")</f>
        <v/>
      </c>
      <c r="B28" s="280" t="inlineStr">
        <is>
          <t>Датчик пламени</t>
        </is>
      </c>
      <c r="C28" s="10" t="inlineStr">
        <is>
          <t>ИП330/3-20-А1</t>
        </is>
      </c>
      <c r="D28" s="11" t="inlineStr">
        <is>
          <t>000985</t>
        </is>
      </c>
      <c r="E28" s="15" t="n">
        <v>2011</v>
      </c>
      <c r="F28" s="33" t="n"/>
      <c r="G28" s="33" t="n"/>
      <c r="H28" s="26" t="inlineStr">
        <is>
          <t>(BTF503)</t>
        </is>
      </c>
      <c r="I28" s="15" t="inlineStr">
        <is>
          <t>ГПА 64 БПТГ</t>
        </is>
      </c>
      <c r="J28" s="15" t="inlineStr">
        <is>
          <t>АСУ,А и ТМ (КЦ № 6)</t>
        </is>
      </c>
      <c r="K28" s="15" t="n">
        <v>2012</v>
      </c>
      <c r="L28" s="33" t="n"/>
      <c r="M28" s="33" t="n"/>
      <c r="N28" s="33" t="n"/>
    </row>
    <row r="29">
      <c r="A29" s="15">
        <f>IF(B29&lt;&gt;"", COUNTA($B$2:B29), "")</f>
        <v/>
      </c>
      <c r="B29" s="280" t="inlineStr">
        <is>
          <t>Датчик пламени</t>
        </is>
      </c>
      <c r="C29" s="10" t="inlineStr">
        <is>
          <t>ИП330/3-20-А1</t>
        </is>
      </c>
      <c r="D29" s="11" t="inlineStr">
        <is>
          <t>000976</t>
        </is>
      </c>
      <c r="E29" s="15" t="n">
        <v>2011</v>
      </c>
      <c r="F29" s="33" t="n"/>
      <c r="G29" s="33" t="n"/>
      <c r="H29" s="26" t="inlineStr">
        <is>
          <t>(BTF504)</t>
        </is>
      </c>
      <c r="I29" s="15" t="inlineStr">
        <is>
          <t>ГПА 64 БПТГ</t>
        </is>
      </c>
      <c r="J29" s="15" t="inlineStr">
        <is>
          <t>АСУ,А и ТМ (КЦ № 6)</t>
        </is>
      </c>
      <c r="K29" s="15" t="n">
        <v>2012</v>
      </c>
      <c r="L29" s="33" t="n"/>
      <c r="M29" s="33" t="n"/>
      <c r="N29" s="33" t="n"/>
    </row>
    <row r="30">
      <c r="A30" s="15">
        <f>IF(B30&lt;&gt;"", COUNTA($B$2:B30), "")</f>
        <v/>
      </c>
      <c r="B30" s="16" t="inlineStr">
        <is>
          <t>Термометр сопротивления</t>
        </is>
      </c>
      <c r="C30" s="14" t="inlineStr">
        <is>
          <t>ТСПУ-Л  22322 УХЛ3.1</t>
        </is>
      </c>
      <c r="D30" s="14" t="n">
        <v>40</v>
      </c>
      <c r="E30" s="15" t="n">
        <v>2011</v>
      </c>
      <c r="F30" s="17" t="inlineStr">
        <is>
          <t>-60…100 °С</t>
        </is>
      </c>
      <c r="G30" s="14" t="inlineStr">
        <is>
          <t>±0,5 %</t>
        </is>
      </c>
      <c r="H30" s="15" t="inlineStr">
        <is>
          <t>Т нагретого воздуха</t>
        </is>
      </c>
      <c r="I30" s="15" t="inlineStr">
        <is>
          <t>ГПА 64 АВГМ</t>
        </is>
      </c>
      <c r="J30" s="15" t="inlineStr">
        <is>
          <t>АСУ,А и ТМ (КЦ № 6)</t>
        </is>
      </c>
      <c r="K30" s="15" t="n">
        <v>2012</v>
      </c>
      <c r="L30" s="14" t="n">
        <v>24</v>
      </c>
      <c r="M30" s="3" t="n"/>
      <c r="N30" s="70" t="n"/>
    </row>
    <row r="31">
      <c r="A31" s="15">
        <f>IF(B31&lt;&gt;"", COUNTA($B$2:B31), "")</f>
        <v/>
      </c>
      <c r="B31" s="16" t="inlineStr">
        <is>
          <t>Термометр сопротивления</t>
        </is>
      </c>
      <c r="C31" s="14" t="inlineStr">
        <is>
          <t>ТСПУ-Л  22322 УХЛ3.1</t>
        </is>
      </c>
      <c r="D31" s="14" t="n">
        <v>2</v>
      </c>
      <c r="E31" s="15" t="n">
        <v>2011</v>
      </c>
      <c r="F31" s="17" t="inlineStr">
        <is>
          <t>-60…100 °С</t>
        </is>
      </c>
      <c r="G31" s="14" t="inlineStr">
        <is>
          <t>±0,5 %</t>
        </is>
      </c>
      <c r="H31" s="15" t="inlineStr">
        <is>
          <t>Тг на газовом счетчике</t>
        </is>
      </c>
      <c r="I31" s="15" t="inlineStr">
        <is>
          <t>ГПА 64 АВГМ</t>
        </is>
      </c>
      <c r="J31" s="15" t="inlineStr">
        <is>
          <t>АСУ,А и ТМ (КЦ № 6)</t>
        </is>
      </c>
      <c r="K31" s="15" t="n">
        <v>2012</v>
      </c>
      <c r="L31" s="14" t="n">
        <v>24</v>
      </c>
      <c r="M31" s="3" t="n"/>
      <c r="N31" s="70" t="n"/>
    </row>
    <row r="32">
      <c r="A32" s="15">
        <f>IF(B32&lt;&gt;"", COUNTA($B$2:B32), "")</f>
        <v/>
      </c>
      <c r="B32" s="16" t="inlineStr">
        <is>
          <t>Термометр сопротивления</t>
        </is>
      </c>
      <c r="C32" s="14" t="inlineStr">
        <is>
          <t>ТСПУ-Л  22322 УХЛ3.1</t>
        </is>
      </c>
      <c r="D32" s="14" t="n">
        <v>27</v>
      </c>
      <c r="E32" s="15" t="n">
        <v>2011</v>
      </c>
      <c r="F32" s="17" t="inlineStr">
        <is>
          <t>-60…350 °С</t>
        </is>
      </c>
      <c r="G32" s="14" t="inlineStr">
        <is>
          <t>±0,5 %</t>
        </is>
      </c>
      <c r="H32" s="15" t="inlineStr">
        <is>
          <t>Т теплообменника 1</t>
        </is>
      </c>
      <c r="I32" s="15" t="inlineStr">
        <is>
          <t>ГПА 64 АВГМ</t>
        </is>
      </c>
      <c r="J32" s="15" t="inlineStr">
        <is>
          <t>АСУ,А и ТМ (КЦ № 6)</t>
        </is>
      </c>
      <c r="K32" s="15" t="n">
        <v>2012</v>
      </c>
      <c r="L32" s="14" t="n">
        <v>24</v>
      </c>
      <c r="M32" s="3" t="n"/>
      <c r="N32" s="70" t="n"/>
    </row>
    <row r="33">
      <c r="A33" s="15">
        <f>IF(B33&lt;&gt;"", COUNTA($B$2:B33), "")</f>
        <v/>
      </c>
      <c r="B33" s="16" t="inlineStr">
        <is>
          <t>Термометр сопротивления</t>
        </is>
      </c>
      <c r="C33" s="14" t="inlineStr">
        <is>
          <t>ТСПУ-Л  22322 УХЛ3.1</t>
        </is>
      </c>
      <c r="D33" s="14" t="n">
        <v>36</v>
      </c>
      <c r="E33" s="15" t="n">
        <v>2011</v>
      </c>
      <c r="F33" s="17" t="inlineStr">
        <is>
          <t>-60…350 °С</t>
        </is>
      </c>
      <c r="G33" s="14" t="inlineStr">
        <is>
          <t>±0,5 %</t>
        </is>
      </c>
      <c r="H33" s="15" t="inlineStr">
        <is>
          <t>Т теплообменника 2</t>
        </is>
      </c>
      <c r="I33" s="15" t="inlineStr">
        <is>
          <t>ГПА 64 АВГМ</t>
        </is>
      </c>
      <c r="J33" s="15" t="inlineStr">
        <is>
          <t>АСУ,А и ТМ (КЦ № 6)</t>
        </is>
      </c>
      <c r="K33" s="15" t="n">
        <v>2012</v>
      </c>
      <c r="L33" s="14" t="n">
        <v>24</v>
      </c>
      <c r="M33" s="3" t="n"/>
      <c r="N33" s="70" t="n"/>
    </row>
    <row r="34">
      <c r="A34" s="15">
        <f>IF(B34&lt;&gt;"", COUNTA($B$2:B34), "")</f>
        <v/>
      </c>
      <c r="B34" s="16" t="inlineStr">
        <is>
          <t>Термометр сопротивления</t>
        </is>
      </c>
      <c r="C34" s="14" t="inlineStr">
        <is>
          <t>ТСПУ-Л  22322 УХЛ3.1</t>
        </is>
      </c>
      <c r="D34" s="14" t="n">
        <v>16</v>
      </c>
      <c r="E34" s="15" t="n">
        <v>2011</v>
      </c>
      <c r="F34" s="17" t="inlineStr">
        <is>
          <t>-60…100 °С</t>
        </is>
      </c>
      <c r="G34" s="14" t="inlineStr">
        <is>
          <t>±0,5 %</t>
        </is>
      </c>
      <c r="H34" s="15" t="inlineStr">
        <is>
          <t>Тг на входе</t>
        </is>
      </c>
      <c r="I34" s="15" t="inlineStr">
        <is>
          <t>ГПА 64 АВГМ</t>
        </is>
      </c>
      <c r="J34" s="15" t="inlineStr">
        <is>
          <t>АСУ,А и ТМ (КЦ № 6)</t>
        </is>
      </c>
      <c r="K34" s="15" t="n">
        <v>2012</v>
      </c>
      <c r="L34" s="14" t="n">
        <v>24</v>
      </c>
      <c r="M34" s="3" t="n"/>
      <c r="N34" s="70" t="n"/>
    </row>
    <row r="35">
      <c r="A35" s="15">
        <f>IF(B35&lt;&gt;"", COUNTA($B$2:B35), "")</f>
        <v/>
      </c>
      <c r="B35" s="16" t="inlineStr">
        <is>
          <t>Термометр сопротивления</t>
        </is>
      </c>
      <c r="C35" s="14" t="inlineStr">
        <is>
          <t>ТСПУ-Л  22322 УХЛ3.1</t>
        </is>
      </c>
      <c r="D35" s="14" t="n">
        <v>12</v>
      </c>
      <c r="E35" s="15" t="n">
        <v>2011</v>
      </c>
      <c r="F35" s="17" t="inlineStr">
        <is>
          <t>-60…100 °С</t>
        </is>
      </c>
      <c r="G35" s="14" t="inlineStr">
        <is>
          <t>±0,5 %</t>
        </is>
      </c>
      <c r="H35" s="15" t="inlineStr">
        <is>
          <t>Тв в секции обслуживания</t>
        </is>
      </c>
      <c r="I35" s="15" t="inlineStr">
        <is>
          <t>ГПА 64 АВГМ</t>
        </is>
      </c>
      <c r="J35" s="15" t="inlineStr">
        <is>
          <t>АСУ,А и ТМ (КЦ № 6)</t>
        </is>
      </c>
      <c r="K35" s="15" t="n">
        <v>2012</v>
      </c>
      <c r="L35" s="14" t="n">
        <v>24</v>
      </c>
      <c r="M35" s="3" t="n"/>
      <c r="N35" s="70" t="n"/>
    </row>
    <row r="36">
      <c r="A36" s="15">
        <f>IF(B36&lt;&gt;"", COUNTA($B$2:B36), "")</f>
        <v/>
      </c>
      <c r="B36" s="280" t="inlineStr">
        <is>
          <t>Манометр технический</t>
        </is>
      </c>
      <c r="C36" s="26" t="inlineStr">
        <is>
          <t>МП4-УУ2</t>
        </is>
      </c>
      <c r="D36" s="26" t="n">
        <v>15251</v>
      </c>
      <c r="E36" s="10" t="n">
        <v>2010</v>
      </c>
      <c r="F36" s="26" t="inlineStr">
        <is>
          <t>0…0,6 кгс/см2</t>
        </is>
      </c>
      <c r="G36" s="26" t="n">
        <v>1.5</v>
      </c>
      <c r="H36" s="26" t="inlineStr">
        <is>
          <t>Р газа после счетчика АВГМ</t>
        </is>
      </c>
      <c r="I36" s="8" t="inlineStr">
        <is>
          <t>ГПА 64 АВГМ</t>
        </is>
      </c>
      <c r="J36" s="15" t="inlineStr">
        <is>
          <t>АСУ,А и ТМ (КЦ № 6)</t>
        </is>
      </c>
      <c r="K36" s="15" t="n">
        <v>2012</v>
      </c>
      <c r="L36" s="15" t="n">
        <v>12</v>
      </c>
      <c r="M36" s="3" t="inlineStr">
        <is>
          <t>1К26</t>
        </is>
      </c>
      <c r="N36" s="70" t="inlineStr">
        <is>
          <t>К</t>
        </is>
      </c>
    </row>
    <row r="37">
      <c r="A37" s="15">
        <f>IF(B37&lt;&gt;"", COUNTA($B$2:B37), "")</f>
        <v/>
      </c>
      <c r="B37" s="280" t="inlineStr">
        <is>
          <t>Манометр технический</t>
        </is>
      </c>
      <c r="C37" s="3" t="inlineStr">
        <is>
          <t>ДМ8008-ВУ-У2</t>
        </is>
      </c>
      <c r="D37" s="26" t="n">
        <v>15157</v>
      </c>
      <c r="E37" s="10" t="n">
        <v>2010</v>
      </c>
      <c r="F37" s="26" t="inlineStr">
        <is>
          <t>0…6 кгс/см2</t>
        </is>
      </c>
      <c r="G37" s="26" t="n">
        <v>1.5</v>
      </c>
      <c r="H37" s="26" t="inlineStr">
        <is>
          <t>Р газа на входе АВГМ</t>
        </is>
      </c>
      <c r="I37" s="8" t="inlineStr">
        <is>
          <t>ГПА 64 АВГМ</t>
        </is>
      </c>
      <c r="J37" s="15" t="inlineStr">
        <is>
          <t>АСУ,А и ТМ (КЦ № 6)</t>
        </is>
      </c>
      <c r="K37" s="15" t="n">
        <v>2012</v>
      </c>
      <c r="L37" s="15" t="n">
        <v>12</v>
      </c>
      <c r="M37" s="3" t="inlineStr">
        <is>
          <t>1К26</t>
        </is>
      </c>
      <c r="N37" s="70" t="inlineStr">
        <is>
          <t>К</t>
        </is>
      </c>
    </row>
    <row r="38" s="151">
      <c r="A38" s="15">
        <f>IF(B38&lt;&gt;"", COUNTA($B$2:B38), "")</f>
        <v/>
      </c>
      <c r="B38" s="280" t="inlineStr">
        <is>
          <t>Контроль загазованности</t>
        </is>
      </c>
      <c r="C38" s="10" t="inlineStr">
        <is>
          <t>Det-Tronics (PIRECL 21M)</t>
        </is>
      </c>
      <c r="D38" s="10" t="n">
        <v>1105278</v>
      </c>
      <c r="E38" s="41" t="n">
        <v>2011</v>
      </c>
      <c r="F38" s="33" t="n"/>
      <c r="G38" s="33" t="n"/>
      <c r="H38" s="15" t="inlineStr">
        <is>
          <t>QT 701</t>
        </is>
      </c>
      <c r="I38" s="15" t="inlineStr">
        <is>
          <t>ГПА 64 АВГМ</t>
        </is>
      </c>
      <c r="J38" s="15" t="inlineStr">
        <is>
          <t>АСУ,А и ТМ (КЦ № 6)</t>
        </is>
      </c>
      <c r="K38" s="15" t="n">
        <v>2012</v>
      </c>
      <c r="L38" s="14" t="n"/>
      <c r="M38" s="3" t="n"/>
      <c r="N38" s="33" t="n"/>
    </row>
    <row r="39" ht="22.5" customHeight="1" s="151">
      <c r="A39" s="15">
        <f>IF(B39&lt;&gt;"", COUNTA($B$2:B39), "")</f>
        <v/>
      </c>
      <c r="B39" s="280" t="inlineStr">
        <is>
          <t>Извещатель тепловой пожарный</t>
        </is>
      </c>
      <c r="C39" s="10" t="inlineStr">
        <is>
          <t>Fenwal 12-X27121-000</t>
        </is>
      </c>
      <c r="D39" s="10" t="n">
        <v>1927</v>
      </c>
      <c r="E39" s="41" t="n">
        <v>2011</v>
      </c>
      <c r="F39" s="17" t="inlineStr">
        <is>
          <t>-55…150 °С</t>
        </is>
      </c>
      <c r="G39" s="33" t="n"/>
      <c r="H39" s="15" t="inlineStr">
        <is>
          <t>BTK 501</t>
        </is>
      </c>
      <c r="I39" s="15" t="inlineStr">
        <is>
          <t>ГПА 64 АВГМ</t>
        </is>
      </c>
      <c r="J39" s="15" t="inlineStr">
        <is>
          <t>АСУ,А и ТМ (КЦ № 6)</t>
        </is>
      </c>
      <c r="K39" s="15" t="n">
        <v>2012</v>
      </c>
      <c r="L39" s="33" t="n"/>
      <c r="M39" s="33" t="n"/>
      <c r="N39" s="33" t="n"/>
    </row>
    <row r="40" ht="22.5" customHeight="1" s="151">
      <c r="A40" s="15">
        <f>IF(B40&lt;&gt;"", COUNTA($B$2:B40), "")</f>
        <v/>
      </c>
      <c r="B40" s="280" t="inlineStr">
        <is>
          <t>Извещатель тепловой пожарный</t>
        </is>
      </c>
      <c r="C40" s="10" t="inlineStr">
        <is>
          <t>Fenwal 12-X27121-000</t>
        </is>
      </c>
      <c r="D40" s="10" t="n">
        <v>1928</v>
      </c>
      <c r="E40" s="41" t="n">
        <v>2011</v>
      </c>
      <c r="F40" s="17" t="inlineStr">
        <is>
          <t>-55…150 °С</t>
        </is>
      </c>
      <c r="G40" s="33" t="n"/>
      <c r="H40" s="15" t="inlineStr">
        <is>
          <t>BTK 502</t>
        </is>
      </c>
      <c r="I40" s="15" t="inlineStr">
        <is>
          <t>ГПА 64 АВГМ</t>
        </is>
      </c>
      <c r="J40" s="15" t="inlineStr">
        <is>
          <t>АСУ,А и ТМ (КЦ № 6)</t>
        </is>
      </c>
      <c r="K40" s="15" t="n">
        <v>2012</v>
      </c>
      <c r="L40" s="33" t="n"/>
      <c r="M40" s="33" t="n"/>
      <c r="N40" s="33" t="n"/>
    </row>
    <row r="41" ht="22.5" customHeight="1" s="151">
      <c r="A41" s="15">
        <f>IF(B41&lt;&gt;"", COUNTA($B$2:B41), "")</f>
        <v/>
      </c>
      <c r="B41" s="44" t="inlineStr">
        <is>
          <t>Извещатель тепловой пожарный</t>
        </is>
      </c>
      <c r="C41" s="45" t="inlineStr">
        <is>
          <t>Fenwal 12-X27121-000</t>
        </is>
      </c>
      <c r="D41" s="45" t="n">
        <v>1929</v>
      </c>
      <c r="E41" s="41" t="n">
        <v>2011</v>
      </c>
      <c r="F41" s="17" t="inlineStr">
        <is>
          <t>-55…150 °С</t>
        </is>
      </c>
      <c r="G41" s="46" t="n"/>
      <c r="H41" s="41" t="inlineStr">
        <is>
          <t>BTK 503</t>
        </is>
      </c>
      <c r="I41" s="15" t="inlineStr">
        <is>
          <t>ГПА 64 АВГМ</t>
        </is>
      </c>
      <c r="J41" s="15" t="inlineStr">
        <is>
          <t>АСУ,А и ТМ (КЦ № 6)</t>
        </is>
      </c>
      <c r="K41" s="15" t="n">
        <v>2012</v>
      </c>
      <c r="L41" s="33" t="n"/>
      <c r="M41" s="33" t="n"/>
      <c r="N41" s="33" t="n"/>
    </row>
    <row r="42" ht="22.5" customHeight="1" s="151">
      <c r="A42" s="15">
        <f>IF(B42&lt;&gt;"", COUNTA($B$2:B42), "")</f>
        <v/>
      </c>
      <c r="B42" s="73" t="inlineStr">
        <is>
          <t>Преобразователь избыточного давления</t>
        </is>
      </c>
      <c r="C42" s="10" t="inlineStr">
        <is>
          <t>Dunas LGW 3 A2</t>
        </is>
      </c>
      <c r="D42" s="10" t="inlineStr">
        <is>
          <t>СЕ-0085 АQ0673</t>
        </is>
      </c>
      <c r="E42" s="10" t="n"/>
      <c r="F42" s="10" t="inlineStr">
        <is>
          <t>0…500 мбар</t>
        </is>
      </c>
      <c r="G42" s="10" t="n"/>
      <c r="H42" s="10" t="inlineStr">
        <is>
          <t>Перепад давления</t>
        </is>
      </c>
      <c r="I42" s="15" t="inlineStr">
        <is>
          <t>ГПА 64 АВГМ</t>
        </is>
      </c>
      <c r="J42" s="15" t="inlineStr">
        <is>
          <t>АСУ,А и ТМ (КЦ № 6)</t>
        </is>
      </c>
      <c r="K42" s="15" t="n">
        <v>2012</v>
      </c>
      <c r="L42" s="47" t="n"/>
      <c r="M42" s="47" t="n"/>
      <c r="N42" s="47" t="n"/>
    </row>
    <row r="43" ht="22.5" customHeight="1" s="151">
      <c r="A43" s="15">
        <f>IF(B43&lt;&gt;"", COUNTA($B$2:B43), "")</f>
        <v/>
      </c>
      <c r="B43" s="73" t="inlineStr">
        <is>
          <t>Преобразователь избыточного давления</t>
        </is>
      </c>
      <c r="C43" s="10" t="inlineStr">
        <is>
          <t>ПРОМА-ИДМ-(В)</t>
        </is>
      </c>
      <c r="D43" s="10" t="inlineStr">
        <is>
          <t>03-740</t>
        </is>
      </c>
      <c r="E43" s="10" t="n">
        <v>2011</v>
      </c>
      <c r="F43" s="10" t="inlineStr">
        <is>
          <t>0…1 кПа</t>
        </is>
      </c>
      <c r="G43" s="10" t="n"/>
      <c r="H43" s="10" t="inlineStr">
        <is>
          <t>Р воздуха на входе (датчик и прибор)</t>
        </is>
      </c>
      <c r="I43" s="15" t="inlineStr">
        <is>
          <t>ГПА 64 АВГМ</t>
        </is>
      </c>
      <c r="J43" s="15" t="inlineStr">
        <is>
          <t>АСУ,А и ТМ (КЦ № 6)</t>
        </is>
      </c>
      <c r="K43" s="15" t="n">
        <v>2012</v>
      </c>
      <c r="L43" s="47" t="n"/>
      <c r="M43" s="47" t="n"/>
      <c r="N43" s="47" t="n"/>
    </row>
    <row r="44" ht="22.5" customHeight="1" s="151">
      <c r="A44" s="15">
        <f>IF(B44&lt;&gt;"", COUNTA($B$2:B44), "")</f>
        <v/>
      </c>
      <c r="B44" s="73" t="inlineStr">
        <is>
          <t>Преобразователь избыточного давления</t>
        </is>
      </c>
      <c r="C44" s="10" t="inlineStr">
        <is>
          <t>ДДМ-03-ДИ</t>
        </is>
      </c>
      <c r="D44" s="10" t="n">
        <v>303054</v>
      </c>
      <c r="E44" s="10" t="n"/>
      <c r="F44" s="10" t="inlineStr">
        <is>
          <t>0…40 кПа</t>
        </is>
      </c>
      <c r="G44" s="10" t="n"/>
      <c r="H44" s="10" t="inlineStr">
        <is>
          <t>Р газа полсе РД</t>
        </is>
      </c>
      <c r="I44" s="15" t="inlineStr">
        <is>
          <t>ГПА 64 АВГМ</t>
        </is>
      </c>
      <c r="J44" s="15" t="inlineStr">
        <is>
          <t>АСУ,А и ТМ (КЦ № 6)</t>
        </is>
      </c>
      <c r="K44" s="15" t="n">
        <v>2012</v>
      </c>
      <c r="L44" s="47" t="n"/>
      <c r="M44" s="47" t="n"/>
      <c r="N44" s="47" t="n"/>
    </row>
    <row r="45">
      <c r="A45" s="15">
        <f>IF(B45&lt;&gt;"", COUNTA($B$2:B45), "")</f>
        <v/>
      </c>
      <c r="B45" s="10" t="inlineStr">
        <is>
          <t>Счетчик газа</t>
        </is>
      </c>
      <c r="C45" s="10" t="inlineStr">
        <is>
          <t>Elster ПГТИ G65</t>
        </is>
      </c>
      <c r="D45" s="10" t="n">
        <v>11035111</v>
      </c>
      <c r="E45" s="10" t="n">
        <v>2011</v>
      </c>
      <c r="F45" s="16" t="inlineStr">
        <is>
          <t>3…100 м3/ч</t>
        </is>
      </c>
      <c r="G45" s="10" t="n"/>
      <c r="H45" s="10" t="inlineStr">
        <is>
          <t>Счетчик газа</t>
        </is>
      </c>
      <c r="I45" s="15" t="inlineStr">
        <is>
          <t>ГПА 64 АВГМ</t>
        </is>
      </c>
      <c r="J45" s="15" t="inlineStr">
        <is>
          <t>АСУ,А и ТМ (КЦ № 6)</t>
        </is>
      </c>
      <c r="K45" s="15" t="n">
        <v>2012</v>
      </c>
      <c r="L45" s="47" t="n"/>
      <c r="M45" s="47" t="n"/>
      <c r="N45" s="47" t="n"/>
    </row>
    <row r="46">
      <c r="A46" s="15">
        <f>IF(B46&lt;&gt;"", COUNTA($B$2:B46), "")</f>
        <v/>
      </c>
      <c r="B46" s="280" t="inlineStr">
        <is>
          <t>Манометр технический</t>
        </is>
      </c>
      <c r="C46" s="10" t="inlineStr">
        <is>
          <t>МП3-УУХЛ1</t>
        </is>
      </c>
      <c r="D46" s="10" t="n">
        <v>15256</v>
      </c>
      <c r="E46" s="10" t="n">
        <v>2010</v>
      </c>
      <c r="F46" s="10" t="inlineStr">
        <is>
          <t>0…160 кгс/см2</t>
        </is>
      </c>
      <c r="G46" s="10" t="n">
        <v>1.5</v>
      </c>
      <c r="H46" s="26" t="inlineStr">
        <is>
          <t>Р газа 1 секции</t>
        </is>
      </c>
      <c r="I46" s="8" t="inlineStr">
        <is>
          <t>ГПА 64 АВОГ</t>
        </is>
      </c>
      <c r="J46" s="15" t="inlineStr">
        <is>
          <t>АСУ,А и ТМ (КЦ № 6)</t>
        </is>
      </c>
      <c r="K46" s="15" t="n">
        <v>2012</v>
      </c>
      <c r="L46" s="15" t="n">
        <v>12</v>
      </c>
      <c r="M46" s="3" t="inlineStr">
        <is>
          <t>1К26</t>
        </is>
      </c>
      <c r="N46" s="70" t="inlineStr">
        <is>
          <t>К</t>
        </is>
      </c>
    </row>
    <row r="47">
      <c r="A47" s="15">
        <f>IF(B47&lt;&gt;"", COUNTA($B$2:B47), "")</f>
        <v/>
      </c>
      <c r="B47" s="280" t="inlineStr">
        <is>
          <t>Манометр технический</t>
        </is>
      </c>
      <c r="C47" s="10" t="inlineStr">
        <is>
          <t>МП3-УУХЛ1</t>
        </is>
      </c>
      <c r="D47" s="10" t="n">
        <v>15261</v>
      </c>
      <c r="E47" s="10" t="n">
        <v>2010</v>
      </c>
      <c r="F47" s="10" t="inlineStr">
        <is>
          <t>0…160 кгс/см3</t>
        </is>
      </c>
      <c r="G47" s="10" t="n">
        <v>1.5</v>
      </c>
      <c r="H47" s="26" t="inlineStr">
        <is>
          <t>Р газа 2 секции</t>
        </is>
      </c>
      <c r="I47" s="8" t="inlineStr">
        <is>
          <t>ГПА 64 АВОГ</t>
        </is>
      </c>
      <c r="J47" s="15" t="inlineStr">
        <is>
          <t>АСУ,А и ТМ (КЦ № 6)</t>
        </is>
      </c>
      <c r="K47" s="15" t="n">
        <v>2012</v>
      </c>
      <c r="L47" s="15" t="n">
        <v>12</v>
      </c>
      <c r="M47" s="3" t="inlineStr">
        <is>
          <t>1К26</t>
        </is>
      </c>
      <c r="N47" s="70" t="inlineStr">
        <is>
          <t>К</t>
        </is>
      </c>
    </row>
    <row r="48">
      <c r="A48" s="15">
        <f>IF(B48&lt;&gt;"", COUNTA($B$2:B48), "")</f>
        <v/>
      </c>
      <c r="B48" s="280" t="inlineStr">
        <is>
          <t>Манометр технический</t>
        </is>
      </c>
      <c r="C48" s="10" t="inlineStr">
        <is>
          <t>МП3-УУХЛ1</t>
        </is>
      </c>
      <c r="D48" s="11" t="inlineStr">
        <is>
          <t>15240</t>
        </is>
      </c>
      <c r="E48" s="10" t="n">
        <v>2010</v>
      </c>
      <c r="F48" s="10" t="inlineStr">
        <is>
          <t>0…160 кгс/см4</t>
        </is>
      </c>
      <c r="G48" s="10" t="n">
        <v>1.5</v>
      </c>
      <c r="H48" s="26" t="inlineStr">
        <is>
          <t>Р газа 3 секции</t>
        </is>
      </c>
      <c r="I48" s="8" t="inlineStr">
        <is>
          <t>ГПА 64 АВОГ</t>
        </is>
      </c>
      <c r="J48" s="15" t="inlineStr">
        <is>
          <t>АСУ,А и ТМ (КЦ № 6)</t>
        </is>
      </c>
      <c r="K48" s="15" t="n">
        <v>2012</v>
      </c>
      <c r="L48" s="15" t="n">
        <v>12</v>
      </c>
      <c r="M48" s="3" t="inlineStr">
        <is>
          <t>1К26</t>
        </is>
      </c>
      <c r="N48" s="70" t="inlineStr">
        <is>
          <t>К</t>
        </is>
      </c>
    </row>
    <row r="49">
      <c r="A49" s="15">
        <f>IF(B49&lt;&gt;"", COUNTA($B$2:B49), "")</f>
        <v/>
      </c>
      <c r="B49" s="280" t="inlineStr">
        <is>
          <t>Манометр технический</t>
        </is>
      </c>
      <c r="C49" s="10" t="inlineStr">
        <is>
          <t>МП3-УУХЛ1</t>
        </is>
      </c>
      <c r="D49" s="11" t="inlineStr">
        <is>
          <t>15203</t>
        </is>
      </c>
      <c r="E49" s="10" t="n">
        <v>2010</v>
      </c>
      <c r="F49" s="10" t="inlineStr">
        <is>
          <t>0…160 кгс/см5</t>
        </is>
      </c>
      <c r="G49" s="10" t="n">
        <v>1.5</v>
      </c>
      <c r="H49" s="26" t="inlineStr">
        <is>
          <t>Р газа 4 секции</t>
        </is>
      </c>
      <c r="I49" s="8" t="inlineStr">
        <is>
          <t>ГПА 64 АВОГ</t>
        </is>
      </c>
      <c r="J49" s="15" t="inlineStr">
        <is>
          <t>АСУ,А и ТМ (КЦ № 6)</t>
        </is>
      </c>
      <c r="K49" s="15" t="n">
        <v>2012</v>
      </c>
      <c r="L49" s="15" t="n">
        <v>12</v>
      </c>
      <c r="M49" s="3" t="inlineStr">
        <is>
          <t>1К26</t>
        </is>
      </c>
      <c r="N49" s="70" t="inlineStr">
        <is>
          <t>К</t>
        </is>
      </c>
    </row>
    <row r="50">
      <c r="A50" s="15">
        <f>IF(B50&lt;&gt;"", COUNTA($B$2:B50), "")</f>
        <v/>
      </c>
      <c r="B50" s="280" t="inlineStr">
        <is>
          <t>Манометр технический</t>
        </is>
      </c>
      <c r="C50" s="10" t="inlineStr">
        <is>
          <t>МП3-УУХЛ1</t>
        </is>
      </c>
      <c r="D50" s="11" t="inlineStr">
        <is>
          <t>15210</t>
        </is>
      </c>
      <c r="E50" s="10" t="n">
        <v>2010</v>
      </c>
      <c r="F50" s="10" t="inlineStr">
        <is>
          <t>0…160 кгс/см6</t>
        </is>
      </c>
      <c r="G50" s="10" t="n">
        <v>1.5</v>
      </c>
      <c r="H50" s="26" t="inlineStr">
        <is>
          <t>Р газа 5 секции</t>
        </is>
      </c>
      <c r="I50" s="8" t="inlineStr">
        <is>
          <t>ГПА 64 АВОГ</t>
        </is>
      </c>
      <c r="J50" s="15" t="inlineStr">
        <is>
          <t>АСУ,А и ТМ (КЦ № 6)</t>
        </is>
      </c>
      <c r="K50" s="15" t="n">
        <v>2012</v>
      </c>
      <c r="L50" s="15" t="n">
        <v>12</v>
      </c>
      <c r="M50" s="3" t="inlineStr">
        <is>
          <t>1К26</t>
        </is>
      </c>
      <c r="N50" s="70" t="inlineStr">
        <is>
          <t>К</t>
        </is>
      </c>
    </row>
    <row r="51">
      <c r="A51" s="15">
        <f>IF(B51&lt;&gt;"", COUNTA($B$2:B51), "")</f>
        <v/>
      </c>
      <c r="B51" s="280" t="inlineStr">
        <is>
          <t>Манометр технический</t>
        </is>
      </c>
      <c r="C51" s="10" t="inlineStr">
        <is>
          <t>МП3-УУХЛ1</t>
        </is>
      </c>
      <c r="D51" s="11" t="inlineStr">
        <is>
          <t>15219</t>
        </is>
      </c>
      <c r="E51" s="10" t="n">
        <v>2010</v>
      </c>
      <c r="F51" s="10" t="inlineStr">
        <is>
          <t>0…160 кгс/см7</t>
        </is>
      </c>
      <c r="G51" s="10" t="n">
        <v>1.5</v>
      </c>
      <c r="H51" s="26" t="inlineStr">
        <is>
          <t>Р газа 6 секции</t>
        </is>
      </c>
      <c r="I51" s="8" t="inlineStr">
        <is>
          <t>ГПА 64 АВОГ</t>
        </is>
      </c>
      <c r="J51" s="15" t="inlineStr">
        <is>
          <t>АСУ,А и ТМ (КЦ № 6)</t>
        </is>
      </c>
      <c r="K51" s="15" t="n">
        <v>2012</v>
      </c>
      <c r="L51" s="15" t="n">
        <v>12</v>
      </c>
      <c r="M51" s="3" t="inlineStr">
        <is>
          <t>1К26</t>
        </is>
      </c>
      <c r="N51" s="70" t="inlineStr">
        <is>
          <t>К</t>
        </is>
      </c>
    </row>
    <row r="52">
      <c r="A52" s="15">
        <f>IF(B52&lt;&gt;"", COUNTA($B$2:B52), "")</f>
        <v/>
      </c>
      <c r="B52" s="280" t="inlineStr">
        <is>
          <t>Манометр технический</t>
        </is>
      </c>
      <c r="C52" s="10" t="inlineStr">
        <is>
          <t>МП3-УУХЛ1</t>
        </is>
      </c>
      <c r="D52" s="11" t="inlineStr">
        <is>
          <t>15223</t>
        </is>
      </c>
      <c r="E52" s="10" t="n">
        <v>2010</v>
      </c>
      <c r="F52" s="10" t="inlineStr">
        <is>
          <t>0…160 кгс/см8</t>
        </is>
      </c>
      <c r="G52" s="10" t="n">
        <v>1.5</v>
      </c>
      <c r="H52" s="26" t="inlineStr">
        <is>
          <t>Р газа 7 секции</t>
        </is>
      </c>
      <c r="I52" s="8" t="inlineStr">
        <is>
          <t>ГПА 64 АВОГ</t>
        </is>
      </c>
      <c r="J52" s="15" t="inlineStr">
        <is>
          <t>АСУ,А и ТМ (КЦ № 6)</t>
        </is>
      </c>
      <c r="K52" s="15" t="n">
        <v>2012</v>
      </c>
      <c r="L52" s="15" t="n">
        <v>12</v>
      </c>
      <c r="M52" s="3" t="inlineStr">
        <is>
          <t>1К26</t>
        </is>
      </c>
      <c r="N52" s="70" t="inlineStr">
        <is>
          <t>К</t>
        </is>
      </c>
    </row>
    <row r="53">
      <c r="A53" s="15">
        <f>IF(B53&lt;&gt;"", COUNTA($B$2:B53), "")</f>
        <v/>
      </c>
      <c r="B53" s="280" t="inlineStr">
        <is>
          <t>Манометр технический</t>
        </is>
      </c>
      <c r="C53" s="10" t="inlineStr">
        <is>
          <t>МП3-УУХЛ1</t>
        </is>
      </c>
      <c r="D53" s="10" t="n">
        <v>15265</v>
      </c>
      <c r="E53" s="10" t="n">
        <v>2010</v>
      </c>
      <c r="F53" s="10" t="inlineStr">
        <is>
          <t>0…160 кгс/см9</t>
        </is>
      </c>
      <c r="G53" s="10" t="n">
        <v>1.5</v>
      </c>
      <c r="H53" s="26" t="inlineStr">
        <is>
          <t>Р газа 8 секции</t>
        </is>
      </c>
      <c r="I53" s="8" t="inlineStr">
        <is>
          <t>ГПА 64 АВОГ</t>
        </is>
      </c>
      <c r="J53" s="15" t="inlineStr">
        <is>
          <t>АСУ,А и ТМ (КЦ № 6)</t>
        </is>
      </c>
      <c r="K53" s="15" t="n">
        <v>2012</v>
      </c>
      <c r="L53" s="15" t="n">
        <v>12</v>
      </c>
      <c r="M53" s="3" t="inlineStr">
        <is>
          <t>1К26</t>
        </is>
      </c>
      <c r="N53" s="70" t="inlineStr">
        <is>
          <t>К</t>
        </is>
      </c>
    </row>
    <row r="54">
      <c r="A54" s="15">
        <f>IF(B54&lt;&gt;"", COUNTA($B$2:B54), "")</f>
        <v/>
      </c>
      <c r="B54" s="14" t="inlineStr">
        <is>
          <t>Термометр биметаллический</t>
        </is>
      </c>
      <c r="C54" s="10" t="inlineStr">
        <is>
          <t>ТБ-2</t>
        </is>
      </c>
      <c r="D54" s="11" t="inlineStr">
        <is>
          <t>751</t>
        </is>
      </c>
      <c r="E54" s="10" t="n">
        <v>2010</v>
      </c>
      <c r="F54" s="10" t="inlineStr">
        <is>
          <t>­50…100 °C</t>
        </is>
      </c>
      <c r="G54" s="10" t="n">
        <v>1</v>
      </c>
      <c r="H54" s="26" t="inlineStr">
        <is>
          <t>Тг на выходе 1 секции АВО</t>
        </is>
      </c>
      <c r="I54" s="8" t="inlineStr">
        <is>
          <t>ГПА 64 АВОГ</t>
        </is>
      </c>
      <c r="J54" s="15" t="inlineStr">
        <is>
          <t>АСУ,А и ТМ (КЦ № 6)</t>
        </is>
      </c>
      <c r="K54" s="15" t="n">
        <v>2012</v>
      </c>
      <c r="L54" s="15" t="n">
        <v>24</v>
      </c>
      <c r="M54" s="3" t="inlineStr">
        <is>
          <t>3К26</t>
        </is>
      </c>
      <c r="N54" s="70" t="inlineStr">
        <is>
          <t>К</t>
        </is>
      </c>
    </row>
    <row r="55">
      <c r="A55" s="15">
        <f>IF(B55&lt;&gt;"", COUNTA($B$2:B55), "")</f>
        <v/>
      </c>
      <c r="B55" s="14" t="inlineStr">
        <is>
          <t>Термометр биметаллический</t>
        </is>
      </c>
      <c r="C55" s="10" t="inlineStr">
        <is>
          <t>ТБ-2</t>
        </is>
      </c>
      <c r="D55" s="11" t="inlineStr">
        <is>
          <t>755</t>
        </is>
      </c>
      <c r="E55" s="10" t="n">
        <v>2010</v>
      </c>
      <c r="F55" s="10" t="inlineStr">
        <is>
          <t>­50…100 °C</t>
        </is>
      </c>
      <c r="G55" s="10" t="n">
        <v>1</v>
      </c>
      <c r="H55" s="26" t="inlineStr">
        <is>
          <t>Тг на выходе 2 секции АВО</t>
        </is>
      </c>
      <c r="I55" s="8" t="inlineStr">
        <is>
          <t>ГПА 64 АВОГ</t>
        </is>
      </c>
      <c r="J55" s="15" t="inlineStr">
        <is>
          <t>АСУ,А и ТМ (КЦ № 6)</t>
        </is>
      </c>
      <c r="K55" s="15" t="n">
        <v>2012</v>
      </c>
      <c r="L55" s="15" t="n">
        <v>24</v>
      </c>
      <c r="M55" s="3" t="inlineStr">
        <is>
          <t>3К26</t>
        </is>
      </c>
      <c r="N55" s="70" t="inlineStr">
        <is>
          <t>К</t>
        </is>
      </c>
    </row>
    <row r="56">
      <c r="A56" s="15">
        <f>IF(B56&lt;&gt;"", COUNTA($B$2:B56), "")</f>
        <v/>
      </c>
      <c r="B56" s="14" t="inlineStr">
        <is>
          <t>Термометр биметаллический</t>
        </is>
      </c>
      <c r="C56" s="10" t="inlineStr">
        <is>
          <t>ТБ-2</t>
        </is>
      </c>
      <c r="D56" s="10" t="n">
        <v>761</v>
      </c>
      <c r="E56" s="10" t="n">
        <v>2010</v>
      </c>
      <c r="F56" s="10" t="inlineStr">
        <is>
          <t>­50…100 °C</t>
        </is>
      </c>
      <c r="G56" s="10" t="n">
        <v>1</v>
      </c>
      <c r="H56" s="26" t="inlineStr">
        <is>
          <t>Тг на выходе 3 секции АВО</t>
        </is>
      </c>
      <c r="I56" s="8" t="inlineStr">
        <is>
          <t>ГПА 64 АВОГ</t>
        </is>
      </c>
      <c r="J56" s="15" t="inlineStr">
        <is>
          <t>АСУ,А и ТМ (КЦ № 6)</t>
        </is>
      </c>
      <c r="K56" s="15" t="n">
        <v>2012</v>
      </c>
      <c r="L56" s="15" t="n">
        <v>24</v>
      </c>
      <c r="M56" s="3" t="inlineStr">
        <is>
          <t>3К26</t>
        </is>
      </c>
      <c r="N56" s="70" t="inlineStr">
        <is>
          <t>К</t>
        </is>
      </c>
    </row>
    <row r="57">
      <c r="A57" s="15">
        <f>IF(B57&lt;&gt;"", COUNTA($B$2:B57), "")</f>
        <v/>
      </c>
      <c r="B57" s="14" t="inlineStr">
        <is>
          <t>Термометр биметаллический</t>
        </is>
      </c>
      <c r="C57" s="10" t="inlineStr">
        <is>
          <t>ТБ-2</t>
        </is>
      </c>
      <c r="D57" s="11" t="inlineStr">
        <is>
          <t>832</t>
        </is>
      </c>
      <c r="E57" s="10" t="n">
        <v>2010</v>
      </c>
      <c r="F57" s="10" t="inlineStr">
        <is>
          <t>­50…100 °C</t>
        </is>
      </c>
      <c r="G57" s="10" t="n">
        <v>1</v>
      </c>
      <c r="H57" s="26" t="inlineStr">
        <is>
          <t>Тг на выходе 4 секции АВО</t>
        </is>
      </c>
      <c r="I57" s="8" t="inlineStr">
        <is>
          <t>ГПА 64 АВОГ</t>
        </is>
      </c>
      <c r="J57" s="15" t="inlineStr">
        <is>
          <t>АСУ,А и ТМ (КЦ № 6)</t>
        </is>
      </c>
      <c r="K57" s="15" t="n">
        <v>2012</v>
      </c>
      <c r="L57" s="15" t="n">
        <v>24</v>
      </c>
      <c r="M57" s="3" t="inlineStr">
        <is>
          <t>3К26</t>
        </is>
      </c>
      <c r="N57" s="70" t="inlineStr">
        <is>
          <t>К</t>
        </is>
      </c>
    </row>
    <row r="58">
      <c r="A58" s="15">
        <f>IF(B58&lt;&gt;"", COUNTA($B$2:B58), "")</f>
        <v/>
      </c>
      <c r="B58" s="14" t="inlineStr">
        <is>
          <t>Термометр биметаллический</t>
        </is>
      </c>
      <c r="C58" s="10" t="inlineStr">
        <is>
          <t>ТБ-2</t>
        </is>
      </c>
      <c r="D58" s="11" t="inlineStr">
        <is>
          <t>781</t>
        </is>
      </c>
      <c r="E58" s="10" t="n">
        <v>2010</v>
      </c>
      <c r="F58" s="10" t="inlineStr">
        <is>
          <t>­50…100 °C</t>
        </is>
      </c>
      <c r="G58" s="10" t="n">
        <v>1</v>
      </c>
      <c r="H58" s="26" t="inlineStr">
        <is>
          <t>Тг на выходе 5 секции АВО</t>
        </is>
      </c>
      <c r="I58" s="8" t="inlineStr">
        <is>
          <t>ГПА 64 АВОГ</t>
        </is>
      </c>
      <c r="J58" s="15" t="inlineStr">
        <is>
          <t>АСУ,А и ТМ (КЦ № 6)</t>
        </is>
      </c>
      <c r="K58" s="15" t="n">
        <v>2012</v>
      </c>
      <c r="L58" s="15" t="n">
        <v>24</v>
      </c>
      <c r="M58" s="3" t="inlineStr">
        <is>
          <t>3К26</t>
        </is>
      </c>
      <c r="N58" s="70" t="inlineStr">
        <is>
          <t>К</t>
        </is>
      </c>
    </row>
    <row r="59">
      <c r="A59" s="15">
        <f>IF(B59&lt;&gt;"", COUNTA($B$2:B59), "")</f>
        <v/>
      </c>
      <c r="B59" s="14" t="inlineStr">
        <is>
          <t>Термометр биметаллический</t>
        </is>
      </c>
      <c r="C59" s="10" t="inlineStr">
        <is>
          <t>ТБ-2</t>
        </is>
      </c>
      <c r="D59" s="11" t="inlineStr">
        <is>
          <t>783</t>
        </is>
      </c>
      <c r="E59" s="10" t="n">
        <v>2010</v>
      </c>
      <c r="F59" s="10" t="inlineStr">
        <is>
          <t>­50…100 °C</t>
        </is>
      </c>
      <c r="G59" s="10" t="n">
        <v>1</v>
      </c>
      <c r="H59" s="26" t="inlineStr">
        <is>
          <t>Тг на выходе 6 секции АВО</t>
        </is>
      </c>
      <c r="I59" s="8" t="inlineStr">
        <is>
          <t>ГПА 64 АВОГ</t>
        </is>
      </c>
      <c r="J59" s="15" t="inlineStr">
        <is>
          <t>АСУ,А и ТМ (КЦ № 6)</t>
        </is>
      </c>
      <c r="K59" s="15" t="n">
        <v>2012</v>
      </c>
      <c r="L59" s="15" t="n">
        <v>24</v>
      </c>
      <c r="M59" s="3" t="inlineStr">
        <is>
          <t>3К26</t>
        </is>
      </c>
      <c r="N59" s="70" t="inlineStr">
        <is>
          <t>К</t>
        </is>
      </c>
    </row>
    <row r="60">
      <c r="A60" s="15">
        <f>IF(B60&lt;&gt;"", COUNTA($B$2:B60), "")</f>
        <v/>
      </c>
      <c r="B60" s="14" t="inlineStr">
        <is>
          <t>Термометр биметаллический</t>
        </is>
      </c>
      <c r="C60" s="10" t="inlineStr">
        <is>
          <t>ТБ-2</t>
        </is>
      </c>
      <c r="D60" s="10" t="n">
        <v>785</v>
      </c>
      <c r="E60" s="10" t="n">
        <v>2010</v>
      </c>
      <c r="F60" s="10" t="inlineStr">
        <is>
          <t>­50…100 °C</t>
        </is>
      </c>
      <c r="G60" s="10" t="n">
        <v>1</v>
      </c>
      <c r="H60" s="26" t="inlineStr">
        <is>
          <t>Тг на выходе 7 секции АВО</t>
        </is>
      </c>
      <c r="I60" s="8" t="inlineStr">
        <is>
          <t>ГПА 64 АВОГ</t>
        </is>
      </c>
      <c r="J60" s="15" t="inlineStr">
        <is>
          <t>АСУ,А и ТМ (КЦ № 6)</t>
        </is>
      </c>
      <c r="K60" s="15" t="n">
        <v>2012</v>
      </c>
      <c r="L60" s="15" t="n">
        <v>24</v>
      </c>
      <c r="M60" s="3" t="inlineStr">
        <is>
          <t>3К26</t>
        </is>
      </c>
      <c r="N60" s="70" t="inlineStr">
        <is>
          <t>К</t>
        </is>
      </c>
    </row>
    <row r="61">
      <c r="A61" s="15">
        <f>IF(B61&lt;&gt;"", COUNTA($B$2:B61), "")</f>
        <v/>
      </c>
      <c r="B61" s="14" t="inlineStr">
        <is>
          <t>Термометр биметаллический</t>
        </is>
      </c>
      <c r="C61" s="10" t="inlineStr">
        <is>
          <t>ТБ-2</t>
        </is>
      </c>
      <c r="D61" s="10" t="n">
        <v>818</v>
      </c>
      <c r="E61" s="10" t="n">
        <v>2010</v>
      </c>
      <c r="F61" s="10" t="inlineStr">
        <is>
          <t>­50…100 °C</t>
        </is>
      </c>
      <c r="G61" s="10" t="n">
        <v>1</v>
      </c>
      <c r="H61" s="26" t="inlineStr">
        <is>
          <t>Тг на выходе 8 секции АВО</t>
        </is>
      </c>
      <c r="I61" s="8" t="inlineStr">
        <is>
          <t>ГПА 64 АВОГ</t>
        </is>
      </c>
      <c r="J61" s="15" t="inlineStr">
        <is>
          <t>АСУ,А и ТМ (КЦ № 6)</t>
        </is>
      </c>
      <c r="K61" s="15" t="n">
        <v>2012</v>
      </c>
      <c r="L61" s="15" t="n">
        <v>24</v>
      </c>
      <c r="M61" s="3" t="inlineStr">
        <is>
          <t>3К26</t>
        </is>
      </c>
      <c r="N61" s="70" t="inlineStr">
        <is>
          <t>К</t>
        </is>
      </c>
    </row>
    <row r="62">
      <c r="A62" s="15">
        <f>IF(B62&lt;&gt;"", COUNTA($B$2:B62), "")</f>
        <v/>
      </c>
      <c r="B62" s="280" t="inlineStr">
        <is>
          <t>Манометр технический</t>
        </is>
      </c>
      <c r="C62" s="26" t="inlineStr">
        <is>
          <t>МП4-УУ2</t>
        </is>
      </c>
      <c r="D62" s="11" t="inlineStr">
        <is>
          <t>80360</t>
        </is>
      </c>
      <c r="E62" s="10" t="n">
        <v>2010</v>
      </c>
      <c r="F62" s="10" t="inlineStr">
        <is>
          <t>0…160 кгс/см2</t>
        </is>
      </c>
      <c r="G62" s="10" t="n">
        <v>1.5</v>
      </c>
      <c r="H62" s="26" t="inlineStr">
        <is>
          <t>Р газа на входе АВО</t>
        </is>
      </c>
      <c r="I62" s="8" t="inlineStr">
        <is>
          <t>ГПА 64 АВОГ</t>
        </is>
      </c>
      <c r="J62" s="15" t="inlineStr">
        <is>
          <t>АСУ,А и ТМ (КЦ № 6)</t>
        </is>
      </c>
      <c r="K62" s="15" t="n">
        <v>2012</v>
      </c>
      <c r="L62" s="15" t="n">
        <v>12</v>
      </c>
      <c r="M62" s="3" t="inlineStr">
        <is>
          <t>1К26</t>
        </is>
      </c>
      <c r="N62" s="70" t="inlineStr">
        <is>
          <t>К</t>
        </is>
      </c>
    </row>
    <row r="63">
      <c r="A63" s="15">
        <f>IF(B63&lt;&gt;"", COUNTA($B$2:B63), "")</f>
        <v/>
      </c>
      <c r="B63" s="280" t="inlineStr">
        <is>
          <t>Манометр технический</t>
        </is>
      </c>
      <c r="C63" s="26" t="inlineStr">
        <is>
          <t>МП4-УУ2</t>
        </is>
      </c>
      <c r="D63" s="11" t="inlineStr">
        <is>
          <t>15142</t>
        </is>
      </c>
      <c r="E63" s="10" t="n">
        <v>2010</v>
      </c>
      <c r="F63" s="10" t="inlineStr">
        <is>
          <t>0…160 кгс/см3</t>
        </is>
      </c>
      <c r="G63" s="10" t="n">
        <v>1.5</v>
      </c>
      <c r="H63" s="26" t="inlineStr">
        <is>
          <t>Р газа на выходе АВО</t>
        </is>
      </c>
      <c r="I63" s="8" t="inlineStr">
        <is>
          <t>ГПА 64 АВОГ</t>
        </is>
      </c>
      <c r="J63" s="15" t="inlineStr">
        <is>
          <t>АСУ,А и ТМ (КЦ № 6)</t>
        </is>
      </c>
      <c r="K63" s="15" t="n">
        <v>2012</v>
      </c>
      <c r="L63" s="15" t="n">
        <v>12</v>
      </c>
      <c r="M63" s="3" t="inlineStr">
        <is>
          <t>1К26</t>
        </is>
      </c>
      <c r="N63" s="70" t="inlineStr">
        <is>
          <t>К</t>
        </is>
      </c>
    </row>
    <row r="64">
      <c r="A64" s="15">
        <f>IF(B64&lt;&gt;"", COUNTA($B$2:B64), "")</f>
        <v/>
      </c>
      <c r="B64" s="280" t="inlineStr">
        <is>
          <t>Манометр технический</t>
        </is>
      </c>
      <c r="C64" s="26" t="inlineStr">
        <is>
          <t>МП4-УУ2</t>
        </is>
      </c>
      <c r="D64" s="11" t="inlineStr">
        <is>
          <t>15116</t>
        </is>
      </c>
      <c r="E64" s="10" t="n">
        <v>2010</v>
      </c>
      <c r="F64" s="26" t="inlineStr">
        <is>
          <t>0…16 кгс/см2</t>
        </is>
      </c>
      <c r="G64" s="10" t="n">
        <v>1.5</v>
      </c>
      <c r="H64" s="26" t="inlineStr">
        <is>
          <t>Р имп. воздуха кр. 6к</t>
        </is>
      </c>
      <c r="I64" s="8" t="inlineStr">
        <is>
          <t>ГПА 64 АВОГ</t>
        </is>
      </c>
      <c r="J64" s="15" t="inlineStr">
        <is>
          <t>АСУ,А и ТМ (КЦ № 6)</t>
        </is>
      </c>
      <c r="K64" s="15" t="n">
        <v>2012</v>
      </c>
      <c r="L64" s="15" t="n">
        <v>12</v>
      </c>
      <c r="M64" s="3" t="inlineStr">
        <is>
          <t>1К26</t>
        </is>
      </c>
      <c r="N64" s="70" t="inlineStr">
        <is>
          <t>К</t>
        </is>
      </c>
    </row>
    <row r="65" ht="22.5" customHeight="1" s="151">
      <c r="A65" s="15">
        <f>IF(B65&lt;&gt;"", COUNTA($B$2:B65), "")</f>
        <v/>
      </c>
      <c r="B65" s="16" t="inlineStr">
        <is>
          <t>Термометр сопротивления</t>
        </is>
      </c>
      <c r="C65" s="3" t="inlineStr">
        <is>
          <t>ТСП 012.56ОВ 100П/А/4</t>
        </is>
      </c>
      <c r="D65" s="3" t="inlineStr">
        <is>
          <t>6</t>
        </is>
      </c>
      <c r="E65" s="17" t="inlineStr">
        <is>
          <t>2013</t>
        </is>
      </c>
      <c r="F65" s="17" t="inlineStr">
        <is>
          <t>-60…200 °С</t>
        </is>
      </c>
      <c r="G65" s="17" t="inlineStr">
        <is>
          <t>B</t>
        </is>
      </c>
      <c r="H65" s="3" t="inlineStr">
        <is>
          <t>Температура газа на выходе АВО перед краном 6к</t>
        </is>
      </c>
      <c r="I65" s="8" t="inlineStr">
        <is>
          <t>ГПА 64 АВОГ</t>
        </is>
      </c>
      <c r="J65" s="15" t="inlineStr">
        <is>
          <t>АСУ,А и ТМ (КЦ № 6)</t>
        </is>
      </c>
      <c r="K65" s="15" t="n"/>
      <c r="L65" s="26" t="n"/>
      <c r="M65" s="3" t="n"/>
      <c r="N65" s="70" t="n"/>
    </row>
    <row r="66" ht="22.5" customHeight="1" s="151">
      <c r="A66" s="15">
        <f>IF(B66&lt;&gt;"", COUNTA($B$2:B66), "")</f>
        <v/>
      </c>
      <c r="B66" s="16" t="inlineStr">
        <is>
          <t>Термометр сопротивления</t>
        </is>
      </c>
      <c r="C66" s="3" t="inlineStr">
        <is>
          <t>ТСП 012.56ОВ 100П/А/4</t>
        </is>
      </c>
      <c r="D66" s="3" t="inlineStr">
        <is>
          <t>3</t>
        </is>
      </c>
      <c r="E66" s="17" t="inlineStr">
        <is>
          <t>2013</t>
        </is>
      </c>
      <c r="F66" s="17" t="inlineStr">
        <is>
          <t>-60…200 °С</t>
        </is>
      </c>
      <c r="G66" s="17" t="inlineStr">
        <is>
          <t>B</t>
        </is>
      </c>
      <c r="H66" s="3" t="inlineStr">
        <is>
          <t>Температура газа на выходе АВО перед краном 2</t>
        </is>
      </c>
      <c r="I66" s="8" t="inlineStr">
        <is>
          <t>ГПА 64 АВОГ</t>
        </is>
      </c>
      <c r="J66" s="15" t="inlineStr">
        <is>
          <t>АСУ,А и ТМ (КЦ № 6)</t>
        </is>
      </c>
      <c r="K66" s="15" t="n"/>
      <c r="L66" s="26" t="n"/>
      <c r="M66" s="3" t="n"/>
      <c r="N66" s="70" t="n"/>
    </row>
    <row r="67" ht="22.5" customHeight="1" s="151">
      <c r="A67" s="15">
        <f>IF(B67&lt;&gt;"", COUNTA($B$2:B67), "")</f>
        <v/>
      </c>
      <c r="B67" s="73" t="inlineStr">
        <is>
          <t>Преобразователь избыточного давления</t>
        </is>
      </c>
      <c r="C67" s="15" t="inlineStr">
        <is>
          <t>YOKOGAVA EJX110А-EНS5J-B19DM/KF21/QR</t>
        </is>
      </c>
      <c r="D67" s="15" t="inlineStr">
        <is>
          <t>91M439682.217</t>
        </is>
      </c>
      <c r="E67" s="14" t="n">
        <v>2012</v>
      </c>
      <c r="F67" s="14" t="inlineStr">
        <is>
          <t xml:space="preserve">0…160 кПa </t>
        </is>
      </c>
      <c r="G67" s="17" t="inlineStr">
        <is>
          <t>0,04</t>
        </is>
      </c>
      <c r="H67" s="15" t="inlineStr">
        <is>
          <t>Перепад давления на АВО газа</t>
        </is>
      </c>
      <c r="I67" s="8" t="inlineStr">
        <is>
          <t>ГПА 64 АВОГ</t>
        </is>
      </c>
      <c r="J67" s="15" t="inlineStr">
        <is>
          <t>АСУ,А и ТМ (КЦ № 6)</t>
        </is>
      </c>
      <c r="K67" s="15" t="n">
        <v>2012</v>
      </c>
      <c r="L67" s="14" t="n">
        <v>60</v>
      </c>
      <c r="M67" s="3" t="inlineStr">
        <is>
          <t>15.02.2016</t>
        </is>
      </c>
      <c r="N67" s="70" t="inlineStr">
        <is>
          <t>К</t>
        </is>
      </c>
    </row>
    <row r="68" ht="22.5" customHeight="1" s="151">
      <c r="A68" s="15">
        <f>IF(B68&lt;&gt;"", COUNTA($B$2:B68), "")</f>
        <v/>
      </c>
      <c r="B68" s="73" t="inlineStr">
        <is>
          <t>Преобразователь избыточного давления</t>
        </is>
      </c>
      <c r="C68" s="15" t="inlineStr">
        <is>
          <t>YOKOGAVA EJX530А-EDS9N-019DL/KF21/QR</t>
        </is>
      </c>
      <c r="D68" s="15" t="inlineStr">
        <is>
          <t>91M439731.217</t>
        </is>
      </c>
      <c r="E68" s="14" t="n">
        <v>2012</v>
      </c>
      <c r="F68" s="14" t="inlineStr">
        <is>
          <t>0…16 МПа</t>
        </is>
      </c>
      <c r="G68" s="17" t="inlineStr">
        <is>
          <t>0,1</t>
        </is>
      </c>
      <c r="H68" s="15" t="inlineStr">
        <is>
          <t>Давление газа на выходе АВО (до крана №2)</t>
        </is>
      </c>
      <c r="I68" s="8" t="inlineStr">
        <is>
          <t>ГПА 64 АВОГ</t>
        </is>
      </c>
      <c r="J68" s="15" t="inlineStr">
        <is>
          <t>АСУ,А и ТМ (КЦ № 6)</t>
        </is>
      </c>
      <c r="K68" s="15" t="n">
        <v>2012</v>
      </c>
      <c r="L68" s="14" t="n">
        <v>60</v>
      </c>
      <c r="M68" s="3" t="inlineStr">
        <is>
          <t>15.02.2016</t>
        </is>
      </c>
      <c r="N68" s="70" t="inlineStr">
        <is>
          <t>К</t>
        </is>
      </c>
    </row>
    <row r="69">
      <c r="A69" s="15">
        <f>IF(B69&lt;&gt;"", COUNTA($B$2:B69), "")</f>
        <v/>
      </c>
      <c r="B69" s="16" t="inlineStr">
        <is>
          <t>Термометр сопротивления</t>
        </is>
      </c>
      <c r="C69" s="3" t="inlineStr">
        <is>
          <t xml:space="preserve">Метран 256-04 100П/В/3    </t>
        </is>
      </c>
      <c r="D69" s="3" t="inlineStr">
        <is>
          <t>2025080</t>
        </is>
      </c>
      <c r="E69" s="17" t="inlineStr">
        <is>
          <t>2011</t>
        </is>
      </c>
      <c r="F69" s="17" t="inlineStr">
        <is>
          <t>-50…130 °С</t>
        </is>
      </c>
      <c r="G69" s="17" t="inlineStr">
        <is>
          <t>B</t>
        </is>
      </c>
      <c r="H69" s="3" t="inlineStr">
        <is>
          <t>Температура масла на выходе МОД</t>
        </is>
      </c>
      <c r="I69" s="15" t="inlineStr">
        <is>
          <t>ГПА 64</t>
        </is>
      </c>
      <c r="J69" s="15" t="inlineStr">
        <is>
          <t>АСУ,А и ТМ (КЦ № 6)</t>
        </is>
      </c>
      <c r="K69" s="15" t="n"/>
      <c r="L69" s="26" t="n"/>
      <c r="M69" s="3" t="n"/>
      <c r="N69" s="70" t="n"/>
    </row>
    <row r="70">
      <c r="A70" s="15">
        <f>IF(B70&lt;&gt;"", COUNTA($B$2:B70), "")</f>
        <v/>
      </c>
      <c r="B70" s="16" t="inlineStr">
        <is>
          <t>Термометр сопротивления</t>
        </is>
      </c>
      <c r="C70" s="17" t="inlineStr">
        <is>
          <t>Метран 256-04 100П/В/3</t>
        </is>
      </c>
      <c r="D70" s="3" t="inlineStr">
        <is>
          <t>2025075</t>
        </is>
      </c>
      <c r="E70" s="14" t="n">
        <v>2011</v>
      </c>
      <c r="F70" s="17" t="inlineStr">
        <is>
          <t>-50…200 °С</t>
        </is>
      </c>
      <c r="G70" s="17" t="inlineStr">
        <is>
          <t>B</t>
        </is>
      </c>
      <c r="H70" s="3" t="inlineStr">
        <is>
          <t>Температура масла на входе в МОД</t>
        </is>
      </c>
      <c r="I70" s="15" t="inlineStr">
        <is>
          <t>ГПА 64</t>
        </is>
      </c>
      <c r="J70" s="15" t="inlineStr">
        <is>
          <t>АСУ,А и ТМ (КЦ № 6)</t>
        </is>
      </c>
      <c r="K70" s="15" t="n">
        <v>2012</v>
      </c>
      <c r="L70" s="14" t="n">
        <v>36</v>
      </c>
      <c r="M70" s="3" t="n"/>
      <c r="N70" s="70" t="n"/>
    </row>
    <row r="71">
      <c r="A71" s="15">
        <f>IF(B71&lt;&gt;"", COUNTA($B$2:B71), "")</f>
        <v/>
      </c>
      <c r="B71" s="16" t="inlineStr">
        <is>
          <t>Термометр сопротивления</t>
        </is>
      </c>
      <c r="C71" s="3" t="inlineStr">
        <is>
          <t xml:space="preserve">ТСП 011.101        </t>
        </is>
      </c>
      <c r="D71" s="3" t="inlineStr">
        <is>
          <t>26</t>
        </is>
      </c>
      <c r="E71" s="17" t="inlineStr">
        <is>
          <t>2011</t>
        </is>
      </c>
      <c r="F71" s="17" t="inlineStr">
        <is>
          <t>-50…130 °С</t>
        </is>
      </c>
      <c r="G71" s="17" t="inlineStr">
        <is>
          <t>B</t>
        </is>
      </c>
      <c r="H71" s="3" t="inlineStr">
        <is>
          <t>Температура секции МОД</t>
        </is>
      </c>
      <c r="I71" s="15" t="inlineStr">
        <is>
          <t>ГПА 64</t>
        </is>
      </c>
      <c r="J71" s="15" t="inlineStr">
        <is>
          <t>АСУ,А и ТМ (КЦ № 6)</t>
        </is>
      </c>
      <c r="K71" s="15" t="n"/>
      <c r="L71" s="26" t="n"/>
      <c r="M71" s="3" t="n"/>
      <c r="N71" s="70" t="n"/>
    </row>
    <row r="72" ht="22.5" customHeight="1" s="151">
      <c r="A72" s="15">
        <f>IF(B72&lt;&gt;"", COUNTA($B$2:B72), "")</f>
        <v/>
      </c>
      <c r="B72" s="16" t="inlineStr">
        <is>
          <t>Термометр сопротивления</t>
        </is>
      </c>
      <c r="C72" s="17" t="inlineStr">
        <is>
          <t>ТСП 012П 100П/В/4</t>
        </is>
      </c>
      <c r="D72" s="15" t="n">
        <v>10</v>
      </c>
      <c r="E72" s="15" t="n">
        <v>2013</v>
      </c>
      <c r="F72" s="17" t="inlineStr">
        <is>
          <t>-50…200 °С</t>
        </is>
      </c>
      <c r="G72" s="17" t="inlineStr">
        <is>
          <t>B</t>
        </is>
      </c>
      <c r="H72" s="17" t="inlineStr">
        <is>
          <t>Температура поверхности электронагревателей МОД</t>
        </is>
      </c>
      <c r="I72" s="15" t="inlineStr">
        <is>
          <t>ГПА 64</t>
        </is>
      </c>
      <c r="J72" s="15" t="inlineStr">
        <is>
          <t>АСУ,А и ТМ (КЦ № 6)</t>
        </is>
      </c>
      <c r="K72" s="15" t="n">
        <v>2012</v>
      </c>
      <c r="L72" s="14" t="n">
        <v>24</v>
      </c>
      <c r="M72" s="3" t="n"/>
      <c r="N72" s="70" t="n"/>
    </row>
    <row r="73" ht="22.5" customHeight="1" s="151">
      <c r="A73" s="15">
        <f>IF(B73&lt;&gt;"", COUNTA($B$2:B73), "")</f>
        <v/>
      </c>
      <c r="B73" s="280" t="inlineStr">
        <is>
          <t>Выключатель давления</t>
        </is>
      </c>
      <c r="C73" s="10" t="inlineStr">
        <is>
          <t>Садко 44 ТЖИУ 406422.004</t>
        </is>
      </c>
      <c r="D73" s="71" t="n">
        <v>124602</v>
      </c>
      <c r="E73" s="10" t="n">
        <v>2011</v>
      </c>
      <c r="F73" s="14" t="inlineStr">
        <is>
          <t>0,04…0,15 МПа</t>
        </is>
      </c>
      <c r="G73" s="10" t="n"/>
      <c r="H73" s="15" t="inlineStr">
        <is>
          <t>Перепад давления масла на фильтрах смазки после МОД</t>
        </is>
      </c>
      <c r="I73" s="15" t="inlineStr">
        <is>
          <t>ГПА 64</t>
        </is>
      </c>
      <c r="J73" s="15" t="inlineStr">
        <is>
          <t>АСУ,А и ТМ (КЦ № 6)</t>
        </is>
      </c>
      <c r="K73" s="15" t="n">
        <v>2012</v>
      </c>
      <c r="L73" s="15" t="n"/>
      <c r="M73" s="3" t="n"/>
      <c r="N73" s="70" t="n"/>
    </row>
    <row r="74" ht="22.5" customHeight="1" s="151">
      <c r="A74" s="15">
        <f>IF(B74&lt;&gt;"", COUNTA($B$2:B74), "")</f>
        <v/>
      </c>
      <c r="B74" s="280" t="inlineStr">
        <is>
          <t>Выключатель давления</t>
        </is>
      </c>
      <c r="C74" s="10" t="inlineStr">
        <is>
          <t>Садко 44 ТЖИУ 406422.004</t>
        </is>
      </c>
      <c r="D74" s="71" t="n">
        <v>124780</v>
      </c>
      <c r="E74" s="10" t="n">
        <v>2011</v>
      </c>
      <c r="F74" s="14" t="inlineStr">
        <is>
          <t>0,01…0,04 МПа</t>
        </is>
      </c>
      <c r="G74" s="10" t="n"/>
      <c r="H74" s="15" t="inlineStr">
        <is>
          <t>Перепад давления масла на фильтрах двигателя</t>
        </is>
      </c>
      <c r="I74" s="15" t="inlineStr">
        <is>
          <t>ГПА 64</t>
        </is>
      </c>
      <c r="J74" s="15" t="inlineStr">
        <is>
          <t>АСУ,А и ТМ (КЦ № 6)</t>
        </is>
      </c>
      <c r="K74" s="15" t="n">
        <v>2012</v>
      </c>
      <c r="L74" s="15" t="n"/>
      <c r="M74" s="3" t="n"/>
      <c r="N74" s="70" t="n"/>
    </row>
    <row r="75" ht="22.5" customHeight="1" s="151">
      <c r="A75" s="15">
        <f>IF(B75&lt;&gt;"", COUNTA($B$2:B75), "")</f>
        <v/>
      </c>
      <c r="B75" s="280" t="inlineStr">
        <is>
          <t>Выключатель давления</t>
        </is>
      </c>
      <c r="C75" s="10" t="inlineStr">
        <is>
          <t>Садко 107 ТЖИУ 406423.004</t>
        </is>
      </c>
      <c r="D75" s="71" t="n">
        <v>257619</v>
      </c>
      <c r="E75" s="10" t="n">
        <v>2015</v>
      </c>
      <c r="F75" s="14" t="inlineStr">
        <is>
          <t>0,09…0,5 МПа</t>
        </is>
      </c>
      <c r="G75" s="10" t="n"/>
      <c r="H75" s="15" t="inlineStr">
        <is>
          <t>Давление масла на входе в фильтр  маслобака</t>
        </is>
      </c>
      <c r="I75" s="15" t="inlineStr">
        <is>
          <t>ГПА 64</t>
        </is>
      </c>
      <c r="J75" s="15" t="inlineStr">
        <is>
          <t>АСУ,А и ТМ (КЦ № 6)</t>
        </is>
      </c>
      <c r="K75" s="15" t="n">
        <v>2012</v>
      </c>
      <c r="L75" s="15" t="n"/>
      <c r="M75" s="3" t="n"/>
      <c r="N75" s="70" t="n"/>
    </row>
    <row r="76" ht="22.5" customHeight="1" s="151">
      <c r="A76" s="15">
        <f>IF(B76&lt;&gt;"", COUNTA($B$2:B76), "")</f>
        <v/>
      </c>
      <c r="B76" s="280" t="inlineStr">
        <is>
          <t>Выключатель давления</t>
        </is>
      </c>
      <c r="C76" s="10" t="inlineStr">
        <is>
          <t>Садко 44 ТЖИУ 406422.004</t>
        </is>
      </c>
      <c r="D76" s="71" t="n">
        <v>124601</v>
      </c>
      <c r="E76" s="10" t="n">
        <v>2011</v>
      </c>
      <c r="F76" s="14" t="inlineStr">
        <is>
          <t>0,04…0,15 МПа</t>
        </is>
      </c>
      <c r="G76" s="10" t="n"/>
      <c r="H76" s="15" t="inlineStr">
        <is>
          <t>Перепад давления запирающего воздуха на фильтре</t>
        </is>
      </c>
      <c r="I76" s="15" t="inlineStr">
        <is>
          <t>ГПА 64</t>
        </is>
      </c>
      <c r="J76" s="15" t="inlineStr">
        <is>
          <t>АСУ,А и ТМ (КЦ № 6)</t>
        </is>
      </c>
      <c r="K76" s="15" t="n">
        <v>2012</v>
      </c>
      <c r="L76" s="15" t="n"/>
      <c r="M76" s="3" t="n"/>
      <c r="N76" s="70" t="n"/>
    </row>
    <row r="77">
      <c r="A77" s="15">
        <f>IF(B77&lt;&gt;"", COUNTA($B$2:B77), "")</f>
        <v/>
      </c>
      <c r="B77" s="280" t="inlineStr">
        <is>
          <t>Выключатель давления</t>
        </is>
      </c>
      <c r="C77" s="10" t="inlineStr">
        <is>
          <t>Садко 107 ТЖИУ 406423.004</t>
        </is>
      </c>
      <c r="D77" s="71" t="n">
        <v>122937</v>
      </c>
      <c r="E77" s="10" t="n">
        <v>2011</v>
      </c>
      <c r="F77" s="14" t="inlineStr">
        <is>
          <t>3…6 МПа</t>
        </is>
      </c>
      <c r="G77" s="10" t="n"/>
      <c r="H77" s="15" t="inlineStr">
        <is>
          <t>Сигнализатор обрыва металлорукава</t>
        </is>
      </c>
      <c r="I77" s="15" t="inlineStr">
        <is>
          <t>ГПА 64</t>
        </is>
      </c>
      <c r="J77" s="15" t="inlineStr">
        <is>
          <t>АСУ,А и ТМ (КЦ № 6)</t>
        </is>
      </c>
      <c r="K77" s="15" t="n">
        <v>2012</v>
      </c>
      <c r="L77" s="15" t="n"/>
      <c r="M77" s="3" t="n"/>
      <c r="N77" s="70" t="n"/>
    </row>
    <row r="78" ht="33.75" customHeight="1" s="151">
      <c r="A78" s="15">
        <f>IF(B78&lt;&gt;"", COUNTA($B$2:B78), "")</f>
        <v/>
      </c>
      <c r="B78" s="16" t="inlineStr">
        <is>
          <t>Термометр сопротивления</t>
        </is>
      </c>
      <c r="C78" s="3" t="inlineStr">
        <is>
          <t>ТСП 012.60 Pt100/В/3</t>
        </is>
      </c>
      <c r="D78" s="3" t="inlineStr">
        <is>
          <t>505</t>
        </is>
      </c>
      <c r="E78" s="17" t="inlineStr">
        <is>
          <t>2011</t>
        </is>
      </c>
      <c r="F78" s="17" t="inlineStr">
        <is>
          <t>-60…200 °С</t>
        </is>
      </c>
      <c r="G78" s="17" t="inlineStr">
        <is>
          <t>B</t>
        </is>
      </c>
      <c r="H78" s="3" t="inlineStr">
        <is>
          <t>Температура защитного воздуха на выходе оболочки опорно-упорного подшипника (задний)</t>
        </is>
      </c>
      <c r="I78" s="15" t="inlineStr">
        <is>
          <t>ГПА 64</t>
        </is>
      </c>
      <c r="J78" s="15" t="inlineStr">
        <is>
          <t>АСУ,А и ТМ (КЦ № 6)</t>
        </is>
      </c>
      <c r="K78" s="15" t="n"/>
      <c r="L78" s="26" t="n"/>
      <c r="M78" s="3" t="n"/>
      <c r="N78" s="70" t="n"/>
    </row>
    <row r="79">
      <c r="A79" s="15">
        <f>IF(B79&lt;&gt;"", COUNTA($B$2:B79), "")</f>
        <v/>
      </c>
      <c r="B79" s="3" t="inlineStr">
        <is>
          <t xml:space="preserve">Расходомер                 </t>
        </is>
      </c>
      <c r="C79" s="15" t="inlineStr">
        <is>
          <t xml:space="preserve">СУРГ 1.000 </t>
        </is>
      </c>
      <c r="D79" s="15" t="inlineStr">
        <is>
          <t>01.1361</t>
        </is>
      </c>
      <c r="E79" s="15" t="n">
        <v>2011</v>
      </c>
      <c r="F79" s="14" t="inlineStr">
        <is>
          <t xml:space="preserve">0…100000 кг/час </t>
        </is>
      </c>
      <c r="G79" s="18" t="n">
        <v>0.03</v>
      </c>
      <c r="H79" s="15" t="inlineStr">
        <is>
          <t xml:space="preserve"> (Наддув) под кожухом двигателя</t>
        </is>
      </c>
      <c r="I79" s="15" t="inlineStr">
        <is>
          <t>ГПА 64</t>
        </is>
      </c>
      <c r="J79" s="15" t="inlineStr">
        <is>
          <t>АСУ,А и ТМ (КЦ № 6)</t>
        </is>
      </c>
      <c r="K79" s="15" t="n">
        <v>2012</v>
      </c>
      <c r="L79" s="14" t="n">
        <v>36</v>
      </c>
      <c r="M79" s="3" t="n"/>
      <c r="N79" s="70" t="n"/>
    </row>
    <row r="80" ht="22.5" customHeight="1" s="151">
      <c r="A80" s="15">
        <f>IF(B80&lt;&gt;"", COUNTA($B$2:B80), "")</f>
        <v/>
      </c>
      <c r="B80" s="73" t="inlineStr">
        <is>
          <t>Преобразователь избыточного давления</t>
        </is>
      </c>
      <c r="C80" s="15" t="inlineStr">
        <is>
          <t>Метран 150 TG2</t>
        </is>
      </c>
      <c r="D80" s="15" t="n">
        <v>1009062</v>
      </c>
      <c r="E80" s="15" t="n">
        <v>2011</v>
      </c>
      <c r="F80" s="14" t="inlineStr">
        <is>
          <t xml:space="preserve">0…600 кПa </t>
        </is>
      </c>
      <c r="G80" s="17" t="inlineStr">
        <is>
          <t>0,075</t>
        </is>
      </c>
      <c r="H80" s="15" t="inlineStr">
        <is>
          <t>Давление газа на выходе 1-ой ступени ТУ ПКВ</t>
        </is>
      </c>
      <c r="I80" s="15" t="inlineStr">
        <is>
          <t>ГПА 64</t>
        </is>
      </c>
      <c r="J80" s="15" t="inlineStr">
        <is>
          <t>АСУ,А и ТМ (КЦ № 6)</t>
        </is>
      </c>
      <c r="K80" s="15" t="n">
        <v>2012</v>
      </c>
      <c r="L80" s="14" t="n">
        <v>36</v>
      </c>
      <c r="M80" s="3" t="inlineStr">
        <is>
          <t>15.02.2016</t>
        </is>
      </c>
      <c r="N80" s="70" t="inlineStr">
        <is>
          <t>К</t>
        </is>
      </c>
    </row>
    <row r="81" ht="22.5" customHeight="1" s="151">
      <c r="A81" s="15">
        <f>IF(B81&lt;&gt;"", COUNTA($B$2:B81), "")</f>
        <v/>
      </c>
      <c r="B81" s="73" t="inlineStr">
        <is>
          <t>Преобразователь избыточного давления</t>
        </is>
      </c>
      <c r="C81" s="15" t="inlineStr">
        <is>
          <t>Метран 150 TG2</t>
        </is>
      </c>
      <c r="D81" s="15" t="n">
        <v>1066249</v>
      </c>
      <c r="E81" s="15" t="n">
        <v>2011</v>
      </c>
      <c r="F81" s="14" t="inlineStr">
        <is>
          <t xml:space="preserve">0…600 кПa </t>
        </is>
      </c>
      <c r="G81" s="17" t="inlineStr">
        <is>
          <t>0,075</t>
        </is>
      </c>
      <c r="H81" s="15" t="inlineStr">
        <is>
          <t>Давление газа на выходе 1-ой ступени ТУ ЗКВ</t>
        </is>
      </c>
      <c r="I81" s="15" t="inlineStr">
        <is>
          <t>ГПА 64</t>
        </is>
      </c>
      <c r="J81" s="15" t="inlineStr">
        <is>
          <t>АСУ,А и ТМ (КЦ № 6)</t>
        </is>
      </c>
      <c r="K81" s="15" t="n">
        <v>2012</v>
      </c>
      <c r="L81" s="14" t="n">
        <v>36</v>
      </c>
      <c r="M81" s="3" t="inlineStr">
        <is>
          <t>15.02.2016</t>
        </is>
      </c>
      <c r="N81" s="70" t="inlineStr">
        <is>
          <t>К</t>
        </is>
      </c>
    </row>
    <row r="82" ht="22.5" customHeight="1" s="151">
      <c r="A82" s="15">
        <f>IF(B82&lt;&gt;"", COUNTA($B$2:B82), "")</f>
        <v/>
      </c>
      <c r="B82" s="73" t="inlineStr">
        <is>
          <t>Преобразователь избыточного давления</t>
        </is>
      </c>
      <c r="C82" s="14" t="inlineStr">
        <is>
          <t>Метран 150 TG4</t>
        </is>
      </c>
      <c r="D82" s="14" t="n">
        <v>6112273</v>
      </c>
      <c r="E82" s="14" t="n">
        <v>2019</v>
      </c>
      <c r="F82" s="14" t="inlineStr">
        <is>
          <t>0…16 МПа</t>
        </is>
      </c>
      <c r="G82" s="17" t="inlineStr">
        <is>
          <t>0,075</t>
        </is>
      </c>
      <c r="H82" s="14" t="inlineStr">
        <is>
          <t>Давление газа на выходе бустерной компрессорной установки</t>
        </is>
      </c>
      <c r="I82" s="15" t="inlineStr">
        <is>
          <t>ГПА 64</t>
        </is>
      </c>
      <c r="J82" s="15" t="inlineStr">
        <is>
          <t>АСУ,А и ТМ (КЦ № 6)</t>
        </is>
      </c>
      <c r="K82" s="15" t="n">
        <v>2019</v>
      </c>
      <c r="L82" s="14" t="n"/>
      <c r="M82" s="3" t="n"/>
      <c r="N82" s="70" t="n"/>
    </row>
    <row r="83" ht="22.5" customHeight="1" s="151">
      <c r="A83" s="15">
        <f>IF(B83&lt;&gt;"", COUNTA($B$2:B83), "")</f>
        <v/>
      </c>
      <c r="B83" s="73" t="inlineStr">
        <is>
          <t>Преобразователь избыточного давления</t>
        </is>
      </c>
      <c r="C83" s="14" t="inlineStr">
        <is>
          <t>Метран 150 CD4</t>
        </is>
      </c>
      <c r="D83" s="14" t="n">
        <v>6112270</v>
      </c>
      <c r="E83" s="14" t="n">
        <v>2019</v>
      </c>
      <c r="F83" s="14" t="inlineStr">
        <is>
          <t>0…500 кПа</t>
        </is>
      </c>
      <c r="G83" s="17" t="inlineStr">
        <is>
          <t>0,075</t>
        </is>
      </c>
      <c r="H83" s="14" t="inlineStr">
        <is>
          <t>Перепад давления газа на фильтре бустерной компрессорной установки</t>
        </is>
      </c>
      <c r="I83" s="15" t="inlineStr">
        <is>
          <t>ГПА 64</t>
        </is>
      </c>
      <c r="J83" s="15" t="inlineStr">
        <is>
          <t>АСУ,А и ТМ (КЦ № 6)</t>
        </is>
      </c>
      <c r="K83" s="15" t="n">
        <v>2019</v>
      </c>
      <c r="L83" s="14" t="n"/>
      <c r="M83" s="3" t="n"/>
      <c r="N83" s="70" t="n"/>
    </row>
    <row r="84" ht="22.5" customHeight="1" s="151">
      <c r="A84" s="15">
        <f>IF(B84&lt;&gt;"", COUNTA($B$2:B84), "")</f>
        <v/>
      </c>
      <c r="B84" s="73" t="inlineStr">
        <is>
          <t>Преобразователь избыточного давления</t>
        </is>
      </c>
      <c r="C84" s="15" t="inlineStr">
        <is>
          <t>Метран 150 CD2</t>
        </is>
      </c>
      <c r="D84" s="15" t="n">
        <v>1372838</v>
      </c>
      <c r="E84" s="15" t="n">
        <v>2011</v>
      </c>
      <c r="F84" s="14" t="inlineStr">
        <is>
          <t>0…25 кПa</t>
        </is>
      </c>
      <c r="G84" s="17" t="inlineStr">
        <is>
          <t>0,075</t>
        </is>
      </c>
      <c r="H84" s="15" t="inlineStr">
        <is>
          <t>Перепад давления газ-газ</t>
        </is>
      </c>
      <c r="I84" s="15" t="inlineStr">
        <is>
          <t>ГПА 64</t>
        </is>
      </c>
      <c r="J84" s="15" t="inlineStr">
        <is>
          <t>АСУ,А и ТМ (КЦ № 6)</t>
        </is>
      </c>
      <c r="K84" s="15" t="n">
        <v>2012</v>
      </c>
      <c r="L84" s="14" t="n">
        <v>36</v>
      </c>
      <c r="M84" s="3" t="inlineStr">
        <is>
          <t>15.02.2016</t>
        </is>
      </c>
      <c r="N84" s="70" t="inlineStr">
        <is>
          <t>К</t>
        </is>
      </c>
    </row>
    <row r="85" ht="22.5" customHeight="1" s="151">
      <c r="A85" s="15">
        <f>IF(B85&lt;&gt;"", COUNTA($B$2:B85), "")</f>
        <v/>
      </c>
      <c r="B85" s="73" t="inlineStr">
        <is>
          <t>Преобразователь избыточного давления</t>
        </is>
      </c>
      <c r="C85" s="15" t="inlineStr">
        <is>
          <t>Метран 150 CD3</t>
        </is>
      </c>
      <c r="D85" s="15" t="n">
        <v>1051197</v>
      </c>
      <c r="E85" s="15" t="n">
        <v>2011</v>
      </c>
      <c r="F85" s="14" t="inlineStr">
        <is>
          <t>0…250 кПа</t>
        </is>
      </c>
      <c r="G85" s="17" t="inlineStr">
        <is>
          <t>0,075</t>
        </is>
      </c>
      <c r="H85" s="15" t="inlineStr">
        <is>
          <t>Перепад давления газа на фильтрах панели ТГДУ</t>
        </is>
      </c>
      <c r="I85" s="15" t="inlineStr">
        <is>
          <t>ГПА 64</t>
        </is>
      </c>
      <c r="J85" s="15" t="inlineStr">
        <is>
          <t>АСУ,А и ТМ (КЦ № 6)</t>
        </is>
      </c>
      <c r="K85" s="15" t="n">
        <v>2012</v>
      </c>
      <c r="L85" s="14" t="n">
        <v>36</v>
      </c>
      <c r="M85" s="3" t="inlineStr">
        <is>
          <t>15.02.2016</t>
        </is>
      </c>
      <c r="N85" s="70" t="inlineStr">
        <is>
          <t>К</t>
        </is>
      </c>
    </row>
    <row r="86" ht="22.5" customHeight="1" s="151">
      <c r="A86" s="15">
        <f>IF(B86&lt;&gt;"", COUNTA($B$2:B86), "")</f>
        <v/>
      </c>
      <c r="B86" s="73" t="inlineStr">
        <is>
          <t>Преобразователь избыточного давления</t>
        </is>
      </c>
      <c r="C86" s="15" t="inlineStr">
        <is>
          <t xml:space="preserve">Метран 150 CD1 </t>
        </is>
      </c>
      <c r="D86" s="15" t="n">
        <v>1372828</v>
      </c>
      <c r="E86" s="15" t="n">
        <v>2011</v>
      </c>
      <c r="F86" s="14" t="inlineStr">
        <is>
          <t>0…0,63 кПа</t>
        </is>
      </c>
      <c r="G86" s="17" t="inlineStr">
        <is>
          <t>0,075</t>
        </is>
      </c>
      <c r="H86" s="15" t="inlineStr">
        <is>
          <t>Перепад давления воздуха на мультициклонных блоках (фильтрах)</t>
        </is>
      </c>
      <c r="I86" s="15" t="inlineStr">
        <is>
          <t>ГПА 64</t>
        </is>
      </c>
      <c r="J86" s="15" t="inlineStr">
        <is>
          <t>АСУ,А и ТМ (КЦ № 6)</t>
        </is>
      </c>
      <c r="K86" s="15" t="n">
        <v>2012</v>
      </c>
      <c r="L86" s="14" t="n">
        <v>36</v>
      </c>
      <c r="M86" s="3" t="inlineStr">
        <is>
          <t>15.02.2016</t>
        </is>
      </c>
      <c r="N86" s="70" t="inlineStr">
        <is>
          <t>К</t>
        </is>
      </c>
    </row>
    <row r="87" ht="22.5" customHeight="1" s="151">
      <c r="A87" s="15">
        <f>IF(B87&lt;&gt;"", COUNTA($B$2:B87), "")</f>
        <v/>
      </c>
      <c r="B87" s="73" t="inlineStr">
        <is>
          <t>Преобразователь избыточного давления</t>
        </is>
      </c>
      <c r="C87" s="15" t="inlineStr">
        <is>
          <t xml:space="preserve">Метран 150 CD1 </t>
        </is>
      </c>
      <c r="D87" s="15" t="n">
        <v>1372830</v>
      </c>
      <c r="E87" s="15" t="n">
        <v>2011</v>
      </c>
      <c r="F87" s="14" t="inlineStr">
        <is>
          <t>0…1,6 кПа</t>
        </is>
      </c>
      <c r="G87" s="17" t="inlineStr">
        <is>
          <t>0,075</t>
        </is>
      </c>
      <c r="H87" s="15" t="inlineStr">
        <is>
          <t>Перепад давления воздуха на кассетных фильтрах</t>
        </is>
      </c>
      <c r="I87" s="15" t="inlineStr">
        <is>
          <t>ГПА 64</t>
        </is>
      </c>
      <c r="J87" s="15" t="inlineStr">
        <is>
          <t>АСУ,А и ТМ (КЦ № 6)</t>
        </is>
      </c>
      <c r="K87" s="15" t="n">
        <v>2012</v>
      </c>
      <c r="L87" s="14" t="n">
        <v>36</v>
      </c>
      <c r="M87" s="3" t="inlineStr">
        <is>
          <t>15.02.2016</t>
        </is>
      </c>
      <c r="N87" s="70" t="inlineStr">
        <is>
          <t>К</t>
        </is>
      </c>
    </row>
    <row r="88" ht="22.5" customHeight="1" s="151">
      <c r="A88" s="15">
        <f>IF(B88&lt;&gt;"", COUNTA($B$2:B88), "")</f>
        <v/>
      </c>
      <c r="B88" s="73" t="inlineStr">
        <is>
          <t>Преобразователь избыточного давления</t>
        </is>
      </c>
      <c r="C88" s="15" t="inlineStr">
        <is>
          <t>YOKOGAVA EJX530А-EDS9N-019DL/KF21/QR</t>
        </is>
      </c>
      <c r="D88" s="15" t="inlineStr">
        <is>
          <t>91M439729.217</t>
        </is>
      </c>
      <c r="E88" s="14" t="n">
        <v>2012</v>
      </c>
      <c r="F88" s="14" t="inlineStr">
        <is>
          <t>0…16 МПа</t>
        </is>
      </c>
      <c r="G88" s="17" t="inlineStr">
        <is>
          <t>0,1</t>
        </is>
      </c>
      <c r="H88" s="15" t="inlineStr">
        <is>
          <t>Давление газа на выходе АВО (после крана №2)</t>
        </is>
      </c>
      <c r="I88" s="15" t="inlineStr">
        <is>
          <t>ГПА 64</t>
        </is>
      </c>
      <c r="J88" s="15" t="inlineStr">
        <is>
          <t>АСУ,А и ТМ (КЦ № 6)</t>
        </is>
      </c>
      <c r="K88" s="15" t="n">
        <v>2012</v>
      </c>
      <c r="L88" s="14" t="n">
        <v>60</v>
      </c>
      <c r="M88" s="3" t="inlineStr">
        <is>
          <t>15.02.2016</t>
        </is>
      </c>
      <c r="N88" s="70" t="inlineStr">
        <is>
          <t>К</t>
        </is>
      </c>
    </row>
    <row r="89" ht="22.5" customHeight="1" s="151">
      <c r="A89" s="15">
        <f>IF(B89&lt;&gt;"", COUNTA($B$2:B89), "")</f>
        <v/>
      </c>
      <c r="B89" s="73" t="inlineStr">
        <is>
          <t>Преобразователь избыточного давления</t>
        </is>
      </c>
      <c r="C89" s="15" t="inlineStr">
        <is>
          <t>YOKOGAVA EJX110А-EНS5J-B19DM/KF21/QR</t>
        </is>
      </c>
      <c r="D89" s="15" t="inlineStr">
        <is>
          <t>91M439685.217</t>
        </is>
      </c>
      <c r="E89" s="14" t="n">
        <v>2012</v>
      </c>
      <c r="F89" s="14" t="inlineStr">
        <is>
          <t>0…0,16 МПа</t>
        </is>
      </c>
      <c r="G89" s="17" t="inlineStr">
        <is>
          <t>0,04</t>
        </is>
      </c>
      <c r="H89" s="15" t="inlineStr">
        <is>
          <t>Перепад давлений газа на сетке перед компрессором (защитная решетка)</t>
        </is>
      </c>
      <c r="I89" s="15" t="inlineStr">
        <is>
          <t>ГПА 64</t>
        </is>
      </c>
      <c r="J89" s="15" t="inlineStr">
        <is>
          <t>АСУ,А и ТМ (КЦ № 6)</t>
        </is>
      </c>
      <c r="K89" s="15" t="n">
        <v>2012</v>
      </c>
      <c r="L89" s="14" t="n">
        <v>60</v>
      </c>
      <c r="M89" s="3" t="inlineStr">
        <is>
          <t>15.02.2016</t>
        </is>
      </c>
      <c r="N89" s="70" t="inlineStr">
        <is>
          <t>К</t>
        </is>
      </c>
    </row>
    <row r="90" ht="22.5" customHeight="1" s="151">
      <c r="A90" s="15">
        <f>IF(B90&lt;&gt;"", COUNTA($B$2:B90), "")</f>
        <v/>
      </c>
      <c r="B90" s="73" t="inlineStr">
        <is>
          <t>Преобразователь избыточного давления</t>
        </is>
      </c>
      <c r="C90" s="15" t="inlineStr">
        <is>
          <t>YOKOGAVA EJX110А-EНS5J-B19DM/KF21/QR</t>
        </is>
      </c>
      <c r="D90" s="15" t="inlineStr">
        <is>
          <t>91M439688.217</t>
        </is>
      </c>
      <c r="E90" s="14" t="n">
        <v>2012</v>
      </c>
      <c r="F90" s="14" t="inlineStr">
        <is>
          <t>0…400 кПа</t>
        </is>
      </c>
      <c r="G90" s="17" t="inlineStr">
        <is>
          <t>0,04</t>
        </is>
      </c>
      <c r="H90" s="15" t="inlineStr">
        <is>
          <t>Перепад давления газа на кране №1</t>
        </is>
      </c>
      <c r="I90" s="15" t="inlineStr">
        <is>
          <t>ГПА 64</t>
        </is>
      </c>
      <c r="J90" s="15" t="inlineStr">
        <is>
          <t>АСУ,А и ТМ (КЦ № 6)</t>
        </is>
      </c>
      <c r="K90" s="15" t="n">
        <v>2012</v>
      </c>
      <c r="L90" s="14" t="n">
        <v>60</v>
      </c>
      <c r="M90" s="3" t="inlineStr">
        <is>
          <t>15.02.2016</t>
        </is>
      </c>
      <c r="N90" s="70" t="inlineStr">
        <is>
          <t>К</t>
        </is>
      </c>
    </row>
    <row r="91" ht="22.5" customHeight="1" s="151">
      <c r="A91" s="15">
        <f>IF(B91&lt;&gt;"", COUNTA($B$2:B91), "")</f>
        <v/>
      </c>
      <c r="B91" s="73" t="inlineStr">
        <is>
          <t>Преобразователь избыточного давления</t>
        </is>
      </c>
      <c r="C91" s="15" t="inlineStr">
        <is>
          <t>Honeywell STG-97L</t>
        </is>
      </c>
      <c r="D91" s="15" t="inlineStr">
        <is>
          <t>10W46 C3278548003002</t>
        </is>
      </c>
      <c r="E91" s="14" t="n">
        <v>2010</v>
      </c>
      <c r="F91" s="14" t="inlineStr">
        <is>
          <t>0…4 МПа</t>
        </is>
      </c>
      <c r="G91" s="14" t="n">
        <v>0.075</v>
      </c>
      <c r="H91" s="15" t="inlineStr">
        <is>
          <t>Давление воздуха за КВД</t>
        </is>
      </c>
      <c r="I91" s="15" t="inlineStr">
        <is>
          <t>ГПА 64</t>
        </is>
      </c>
      <c r="J91" s="15" t="inlineStr">
        <is>
          <t>АСУ,А и ТМ (КЦ № 6)</t>
        </is>
      </c>
      <c r="K91" s="15" t="n">
        <v>2012</v>
      </c>
      <c r="L91" s="14" t="n">
        <v>36</v>
      </c>
      <c r="M91" s="3" t="inlineStr">
        <is>
          <t>16.02.2016</t>
        </is>
      </c>
      <c r="N91" s="70" t="inlineStr">
        <is>
          <t>К</t>
        </is>
      </c>
    </row>
    <row r="92" ht="22.5" customHeight="1" s="151">
      <c r="A92" s="15">
        <f>IF(B92&lt;&gt;"", COUNTA($B$2:B92), "")</f>
        <v/>
      </c>
      <c r="B92" s="73" t="inlineStr">
        <is>
          <t>Преобразователь избыточного давления</t>
        </is>
      </c>
      <c r="C92" s="15" t="inlineStr">
        <is>
          <t>Honeywell STG-97L</t>
        </is>
      </c>
      <c r="D92" s="15" t="inlineStr">
        <is>
          <t>11W03 C3287149003072</t>
        </is>
      </c>
      <c r="E92" s="15" t="n">
        <v>2011</v>
      </c>
      <c r="F92" s="14" t="inlineStr">
        <is>
          <t>0…10 МПа</t>
        </is>
      </c>
      <c r="G92" s="14" t="n">
        <v>0.075</v>
      </c>
      <c r="H92" s="15" t="inlineStr">
        <is>
          <t>Давление газа на входе компрессора</t>
        </is>
      </c>
      <c r="I92" s="15" t="inlineStr">
        <is>
          <t>ГПА 64</t>
        </is>
      </c>
      <c r="J92" s="15" t="inlineStr">
        <is>
          <t>АСУ,А и ТМ (КЦ № 6)</t>
        </is>
      </c>
      <c r="K92" s="15" t="n">
        <v>2012</v>
      </c>
      <c r="L92" s="14" t="n">
        <v>36</v>
      </c>
      <c r="M92" s="3" t="inlineStr">
        <is>
          <t>16.02.2016</t>
        </is>
      </c>
      <c r="N92" s="70" t="inlineStr">
        <is>
          <t>К</t>
        </is>
      </c>
    </row>
    <row r="93" ht="22.5" customHeight="1" s="151">
      <c r="A93" s="15">
        <f>IF(B93&lt;&gt;"", COUNTA($B$2:B93), "")</f>
        <v/>
      </c>
      <c r="B93" s="73" t="inlineStr">
        <is>
          <t>Преобразователь избыточного давления</t>
        </is>
      </c>
      <c r="C93" s="15" t="inlineStr">
        <is>
          <t>Honeywell STG-97L</t>
        </is>
      </c>
      <c r="D93" s="15" t="inlineStr">
        <is>
          <t>11W18 C3313690003001</t>
        </is>
      </c>
      <c r="E93" s="15" t="n">
        <v>2011</v>
      </c>
      <c r="F93" s="14" t="inlineStr">
        <is>
          <t>0…16 МПа</t>
        </is>
      </c>
      <c r="G93" s="14" t="n">
        <v>0.075</v>
      </c>
      <c r="H93" s="15" t="inlineStr">
        <is>
          <t>Давление газа на выходе компрессора</t>
        </is>
      </c>
      <c r="I93" s="15" t="inlineStr">
        <is>
          <t>ГПА 64</t>
        </is>
      </c>
      <c r="J93" s="15" t="inlineStr">
        <is>
          <t>АСУ,А и ТМ (КЦ № 6)</t>
        </is>
      </c>
      <c r="K93" s="15" t="n">
        <v>2012</v>
      </c>
      <c r="L93" s="14" t="n">
        <v>36</v>
      </c>
      <c r="M93" s="3" t="inlineStr">
        <is>
          <t>16.02.2016</t>
        </is>
      </c>
      <c r="N93" s="70" t="inlineStr">
        <is>
          <t>К</t>
        </is>
      </c>
    </row>
    <row r="94" ht="22.5" customHeight="1" s="151">
      <c r="A94" s="15">
        <f>IF(B94&lt;&gt;"", COUNTA($B$2:B94), "")</f>
        <v/>
      </c>
      <c r="B94" s="73" t="inlineStr">
        <is>
          <t>Преобразователь избыточного давления</t>
        </is>
      </c>
      <c r="C94" s="15" t="inlineStr">
        <is>
          <t>Honeywell STG-97L</t>
        </is>
      </c>
      <c r="D94" s="15" t="inlineStr">
        <is>
          <t>10W44 C3273987003054</t>
        </is>
      </c>
      <c r="E94" s="14" t="n">
        <v>2010</v>
      </c>
      <c r="F94" s="3" t="inlineStr">
        <is>
          <t>0…10 МПа</t>
        </is>
      </c>
      <c r="G94" s="14" t="n">
        <v>0.075</v>
      </c>
      <c r="H94" s="15" t="inlineStr">
        <is>
          <t>Давление топливного газа после отсечного клапана</t>
        </is>
      </c>
      <c r="I94" s="15" t="inlineStr">
        <is>
          <t>ГПА 64</t>
        </is>
      </c>
      <c r="J94" s="15" t="inlineStr">
        <is>
          <t>АСУ,А и ТМ (КЦ № 6)</t>
        </is>
      </c>
      <c r="K94" s="15" t="n">
        <v>2012</v>
      </c>
      <c r="L94" s="14" t="n">
        <v>36</v>
      </c>
      <c r="M94" s="3" t="inlineStr">
        <is>
          <t>16.02.2016</t>
        </is>
      </c>
      <c r="N94" s="70" t="inlineStr">
        <is>
          <t>К</t>
        </is>
      </c>
    </row>
    <row r="95" ht="22.5" customHeight="1" s="151">
      <c r="A95" s="15">
        <f>IF(B95&lt;&gt;"", COUNTA($B$2:B95), "")</f>
        <v/>
      </c>
      <c r="B95" s="73" t="inlineStr">
        <is>
          <t>Преобразователь избыточного давления</t>
        </is>
      </c>
      <c r="C95" s="15" t="inlineStr">
        <is>
          <t>Honeywell STG-97L</t>
        </is>
      </c>
      <c r="D95" s="15" t="inlineStr">
        <is>
          <t>10W44 C3273987003049</t>
        </is>
      </c>
      <c r="E95" s="15" t="n">
        <v>2011</v>
      </c>
      <c r="F95" s="3" t="inlineStr">
        <is>
          <t>0…10 МПа</t>
        </is>
      </c>
      <c r="G95" s="14" t="n">
        <v>0.075</v>
      </c>
      <c r="H95" s="15" t="inlineStr">
        <is>
          <t>Давление топливного газа перед расходомерным устройством</t>
        </is>
      </c>
      <c r="I95" s="15" t="inlineStr">
        <is>
          <t>ГПА 64</t>
        </is>
      </c>
      <c r="J95" s="15" t="inlineStr">
        <is>
          <t>АСУ,А и ТМ (КЦ № 6)</t>
        </is>
      </c>
      <c r="K95" s="15" t="n">
        <v>2012</v>
      </c>
      <c r="L95" s="14" t="n">
        <v>36</v>
      </c>
      <c r="M95" s="3" t="inlineStr">
        <is>
          <t>16.02.2016</t>
        </is>
      </c>
      <c r="N95" s="70" t="inlineStr">
        <is>
          <t>К</t>
        </is>
      </c>
    </row>
    <row r="96" ht="33.75" customHeight="1" s="151">
      <c r="A96" s="15">
        <f>IF(B96&lt;&gt;"", COUNTA($B$2:B96), "")</f>
        <v/>
      </c>
      <c r="B96" s="73" t="inlineStr">
        <is>
          <t>Преобразователь избыточного давления</t>
        </is>
      </c>
      <c r="C96" s="15" t="inlineStr">
        <is>
          <t>Honeywell STG-97L</t>
        </is>
      </c>
      <c r="D96" s="15" t="inlineStr">
        <is>
          <t>10W43 C3273987003066</t>
        </is>
      </c>
      <c r="E96" s="15" t="n">
        <v>2011</v>
      </c>
      <c r="F96" s="3" t="inlineStr">
        <is>
          <t>0…10 МПа</t>
        </is>
      </c>
      <c r="G96" s="14" t="n">
        <v>0.075</v>
      </c>
      <c r="H96" s="15" t="inlineStr">
        <is>
          <t>Давление топливного газа перед форсунками камеры сгорания (после СК)</t>
        </is>
      </c>
      <c r="I96" s="15" t="inlineStr">
        <is>
          <t>ГПА 64</t>
        </is>
      </c>
      <c r="J96" s="15" t="inlineStr">
        <is>
          <t>АСУ,А и ТМ (КЦ № 6)</t>
        </is>
      </c>
      <c r="K96" s="15" t="n">
        <v>2012</v>
      </c>
      <c r="L96" s="14" t="n">
        <v>36</v>
      </c>
      <c r="M96" s="3" t="inlineStr">
        <is>
          <t>16.02.2016</t>
        </is>
      </c>
      <c r="N96" s="70" t="inlineStr">
        <is>
          <t>К</t>
        </is>
      </c>
    </row>
    <row r="97" ht="22.5" customHeight="1" s="151">
      <c r="A97" s="15">
        <f>IF(B97&lt;&gt;"", COUNTA($B$2:B97), "")</f>
        <v/>
      </c>
      <c r="B97" s="73" t="inlineStr">
        <is>
          <t>Преобразователь избыточного давления</t>
        </is>
      </c>
      <c r="C97" s="15" t="inlineStr">
        <is>
          <t>Honeywell STG-97L</t>
        </is>
      </c>
      <c r="D97" s="15" t="inlineStr">
        <is>
          <t>10W43 C3273987003060</t>
        </is>
      </c>
      <c r="E97" s="14" t="n">
        <v>2010</v>
      </c>
      <c r="F97" s="3" t="inlineStr">
        <is>
          <t>0…2 МПа</t>
        </is>
      </c>
      <c r="G97" s="14" t="n">
        <v>0.075</v>
      </c>
      <c r="H97" s="15" t="inlineStr">
        <is>
          <t>Давление воздуха в разгрузочной полости</t>
        </is>
      </c>
      <c r="I97" s="15" t="inlineStr">
        <is>
          <t>ГПА 64</t>
        </is>
      </c>
      <c r="J97" s="15" t="inlineStr">
        <is>
          <t>АСУ,А и ТМ (КЦ № 6)</t>
        </is>
      </c>
      <c r="K97" s="15" t="n">
        <v>2012</v>
      </c>
      <c r="L97" s="14" t="n">
        <v>36</v>
      </c>
      <c r="M97" s="3" t="inlineStr">
        <is>
          <t>16.02.2016</t>
        </is>
      </c>
      <c r="N97" s="70" t="inlineStr">
        <is>
          <t>К</t>
        </is>
      </c>
    </row>
    <row r="98" ht="22.5" customHeight="1" s="151">
      <c r="A98" s="15">
        <f>IF(B98&lt;&gt;"", COUNTA($B$2:B98), "")</f>
        <v/>
      </c>
      <c r="B98" s="73" t="inlineStr">
        <is>
          <t>Преобразователь избыточного давления</t>
        </is>
      </c>
      <c r="C98" s="15" t="inlineStr">
        <is>
          <t>Honeywell STG-94L</t>
        </is>
      </c>
      <c r="D98" s="15" t="inlineStr">
        <is>
          <t>11W18 C3313690002030</t>
        </is>
      </c>
      <c r="E98" s="15" t="n">
        <v>2011</v>
      </c>
      <c r="F98" s="14" t="inlineStr">
        <is>
          <t>0…0,63 МПа</t>
        </is>
      </c>
      <c r="G98" s="14" t="n">
        <v>0.075</v>
      </c>
      <c r="H98" s="15" t="inlineStr">
        <is>
          <t>Давление масла на выходе из двигателя</t>
        </is>
      </c>
      <c r="I98" s="15" t="inlineStr">
        <is>
          <t>ГПА 64</t>
        </is>
      </c>
      <c r="J98" s="15" t="inlineStr">
        <is>
          <t>АСУ,А и ТМ (КЦ № 6)</t>
        </is>
      </c>
      <c r="K98" s="15" t="n">
        <v>2012</v>
      </c>
      <c r="L98" s="14" t="n">
        <v>36</v>
      </c>
      <c r="M98" s="3" t="inlineStr">
        <is>
          <t>16.02.2016</t>
        </is>
      </c>
      <c r="N98" s="70" t="inlineStr">
        <is>
          <t>К</t>
        </is>
      </c>
    </row>
    <row r="99" ht="22.5" customHeight="1" s="151">
      <c r="A99" s="15">
        <f>IF(B99&lt;&gt;"", COUNTA($B$2:B99), "")</f>
        <v/>
      </c>
      <c r="B99" s="73" t="inlineStr">
        <is>
          <t>Преобразователь избыточного давления</t>
        </is>
      </c>
      <c r="C99" s="15" t="inlineStr">
        <is>
          <t>Honeywell STG-94L</t>
        </is>
      </c>
      <c r="D99" s="15" t="inlineStr">
        <is>
          <t>11W17 C3313690002001</t>
        </is>
      </c>
      <c r="E99" s="15" t="n">
        <v>2011</v>
      </c>
      <c r="F99" s="14" t="inlineStr">
        <is>
          <t>0…0,63 МПа</t>
        </is>
      </c>
      <c r="G99" s="14" t="n">
        <v>0.075</v>
      </c>
      <c r="H99" s="15" t="inlineStr">
        <is>
          <t>Давление масла на входе двигателя</t>
        </is>
      </c>
      <c r="I99" s="15" t="inlineStr">
        <is>
          <t>ГПА 64</t>
        </is>
      </c>
      <c r="J99" s="15" t="inlineStr">
        <is>
          <t>АСУ,А и ТМ (КЦ № 6)</t>
        </is>
      </c>
      <c r="K99" s="15" t="n">
        <v>2012</v>
      </c>
      <c r="L99" s="14" t="n">
        <v>36</v>
      </c>
      <c r="M99" s="3" t="inlineStr">
        <is>
          <t>16.02.2016</t>
        </is>
      </c>
      <c r="N99" s="70" t="inlineStr">
        <is>
          <t>К</t>
        </is>
      </c>
    </row>
    <row r="100" ht="22.5" customHeight="1" s="151">
      <c r="A100" s="15">
        <f>IF(B100&lt;&gt;"", COUNTA($B$2:B100), "")</f>
        <v/>
      </c>
      <c r="B100" s="73" t="inlineStr">
        <is>
          <t>Преобразователь избыточного давления</t>
        </is>
      </c>
      <c r="C100" s="15" t="inlineStr">
        <is>
          <t>Honeywell STG-94L</t>
        </is>
      </c>
      <c r="D100" s="15" t="inlineStr">
        <is>
          <t>11W18 C3313690002027</t>
        </is>
      </c>
      <c r="E100" s="15" t="n">
        <v>2011</v>
      </c>
      <c r="F100" s="3" t="inlineStr">
        <is>
          <t>-100…530 кПа</t>
        </is>
      </c>
      <c r="G100" s="14" t="n">
        <v>0.075</v>
      </c>
      <c r="H100" s="15" t="inlineStr">
        <is>
          <t>Давление воздуха в средней опоре</t>
        </is>
      </c>
      <c r="I100" s="15" t="inlineStr">
        <is>
          <t>ГПА 64</t>
        </is>
      </c>
      <c r="J100" s="15" t="inlineStr">
        <is>
          <t>АСУ,А и ТМ (КЦ № 6)</t>
        </is>
      </c>
      <c r="K100" s="15" t="n">
        <v>2012</v>
      </c>
      <c r="L100" s="14" t="n">
        <v>36</v>
      </c>
      <c r="M100" s="3" t="inlineStr">
        <is>
          <t>16.02.2016</t>
        </is>
      </c>
      <c r="N100" s="70" t="inlineStr">
        <is>
          <t>К</t>
        </is>
      </c>
    </row>
    <row r="101" ht="33.75" customHeight="1" s="151">
      <c r="A101" s="15">
        <f>IF(B101&lt;&gt;"", COUNTA($B$2:B101), "")</f>
        <v/>
      </c>
      <c r="B101" s="73" t="inlineStr">
        <is>
          <t>Преобразователь избыточного давления</t>
        </is>
      </c>
      <c r="C101" s="15" t="inlineStr">
        <is>
          <t>Honeywell STG-94L</t>
        </is>
      </c>
      <c r="D101" s="15" t="inlineStr">
        <is>
          <t>11W13 C3303059004002</t>
        </is>
      </c>
      <c r="E101" s="15" t="n">
        <v>2011</v>
      </c>
      <c r="F101" s="14" t="inlineStr">
        <is>
          <t xml:space="preserve">0…1 МПа </t>
        </is>
      </c>
      <c r="G101" s="14" t="n">
        <v>0.075</v>
      </c>
      <c r="H101" s="15" t="inlineStr">
        <is>
          <t>Давление защиного воздуха на выходе ресивера Р1 (после воздушного компрессора)</t>
        </is>
      </c>
      <c r="I101" s="15" t="inlineStr">
        <is>
          <t>ГПА 64</t>
        </is>
      </c>
      <c r="J101" s="15" t="inlineStr">
        <is>
          <t>АСУ,А и ТМ (КЦ № 6)</t>
        </is>
      </c>
      <c r="K101" s="15" t="n">
        <v>2012</v>
      </c>
      <c r="L101" s="14" t="n">
        <v>36</v>
      </c>
      <c r="M101" s="3" t="inlineStr">
        <is>
          <t>16.02.2016</t>
        </is>
      </c>
      <c r="N101" s="70" t="inlineStr">
        <is>
          <t>К</t>
        </is>
      </c>
    </row>
    <row r="102" ht="22.5" customHeight="1" s="151">
      <c r="A102" s="15">
        <f>IF(B102&lt;&gt;"", COUNTA($B$2:B102), "")</f>
        <v/>
      </c>
      <c r="B102" s="73" t="inlineStr">
        <is>
          <t>Преобразователь избыточного давления</t>
        </is>
      </c>
      <c r="C102" s="15" t="inlineStr">
        <is>
          <t>Honeywell STD-930</t>
        </is>
      </c>
      <c r="D102" s="15" t="inlineStr">
        <is>
          <t>11W04 C3287149005009</t>
        </is>
      </c>
      <c r="E102" s="15" t="n">
        <v>2011</v>
      </c>
      <c r="F102" s="3" t="inlineStr">
        <is>
          <t>-34…689 кПа</t>
        </is>
      </c>
      <c r="G102" s="14" t="n">
        <v>0.075</v>
      </c>
      <c r="H102" s="15" t="inlineStr">
        <is>
          <t>Перепад воздуха на шайбе</t>
        </is>
      </c>
      <c r="I102" s="15" t="inlineStr">
        <is>
          <t>ГПА 64</t>
        </is>
      </c>
      <c r="J102" s="15" t="inlineStr">
        <is>
          <t>АСУ,А и ТМ (КЦ № 6)</t>
        </is>
      </c>
      <c r="K102" s="15" t="n">
        <v>2012</v>
      </c>
      <c r="L102" s="14" t="n">
        <v>36</v>
      </c>
      <c r="M102" s="3" t="inlineStr">
        <is>
          <t>16.02.2016</t>
        </is>
      </c>
      <c r="N102" s="70" t="inlineStr">
        <is>
          <t>К</t>
        </is>
      </c>
    </row>
    <row r="103" ht="22.5" customHeight="1" s="151">
      <c r="A103" s="15">
        <f>IF(B103&lt;&gt;"", COUNTA($B$2:B103), "")</f>
        <v/>
      </c>
      <c r="B103" s="73" t="inlineStr">
        <is>
          <t>Преобразователь избыточного давления</t>
        </is>
      </c>
      <c r="C103" s="15" t="inlineStr">
        <is>
          <t>Honeywell STD-924</t>
        </is>
      </c>
      <c r="D103" s="15" t="inlineStr">
        <is>
          <t>11W18 C3313690001036</t>
        </is>
      </c>
      <c r="E103" s="15" t="n">
        <v>2011</v>
      </c>
      <c r="F103" s="3" t="inlineStr">
        <is>
          <t>0…63 кПа</t>
        </is>
      </c>
      <c r="G103" s="14" t="n">
        <v>0.075</v>
      </c>
      <c r="H103" s="15" t="inlineStr">
        <is>
          <t>Перепад давления газа на всасывающем патрубке (конфузоре)</t>
        </is>
      </c>
      <c r="I103" s="15" t="inlineStr">
        <is>
          <t>ГПА 64</t>
        </is>
      </c>
      <c r="J103" s="15" t="inlineStr">
        <is>
          <t>АСУ,А и ТМ (КЦ № 6)</t>
        </is>
      </c>
      <c r="K103" s="15" t="n">
        <v>2012</v>
      </c>
      <c r="L103" s="14" t="n">
        <v>36</v>
      </c>
      <c r="M103" s="3" t="inlineStr">
        <is>
          <t>16.02.2016</t>
        </is>
      </c>
      <c r="N103" s="70" t="inlineStr">
        <is>
          <t>К</t>
        </is>
      </c>
    </row>
    <row r="104" ht="33.75" customHeight="1" s="151">
      <c r="A104" s="15">
        <f>IF(B104&lt;&gt;"", COUNTA($B$2:B104), "")</f>
        <v/>
      </c>
      <c r="B104" s="73" t="inlineStr">
        <is>
          <t>Преобразователь избыточного давления</t>
        </is>
      </c>
      <c r="C104" s="15" t="inlineStr">
        <is>
          <t>Honeywell STD-924</t>
        </is>
      </c>
      <c r="D104" s="15" t="inlineStr">
        <is>
          <t>11W18 C3313690001047</t>
        </is>
      </c>
      <c r="E104" s="15" t="n">
        <v>2011</v>
      </c>
      <c r="F104" s="3" t="inlineStr">
        <is>
          <t>0…4 кПа</t>
        </is>
      </c>
      <c r="G104" s="14" t="n">
        <v>0.075</v>
      </c>
      <c r="H104" s="15" t="inlineStr">
        <is>
          <t>Перепад давления между оболочкой опорного подшипника и 2-ой супенью ТУ</t>
        </is>
      </c>
      <c r="I104" s="15" t="inlineStr">
        <is>
          <t>ГПА 64</t>
        </is>
      </c>
      <c r="J104" s="15" t="inlineStr">
        <is>
          <t>АСУ,А и ТМ (КЦ № 6)</t>
        </is>
      </c>
      <c r="K104" s="15" t="n">
        <v>2012</v>
      </c>
      <c r="L104" s="14" t="n">
        <v>36</v>
      </c>
      <c r="M104" s="3" t="inlineStr">
        <is>
          <t>16.02.2016</t>
        </is>
      </c>
      <c r="N104" s="70" t="inlineStr">
        <is>
          <t>К</t>
        </is>
      </c>
    </row>
    <row r="105" ht="33.75" customHeight="1" s="151">
      <c r="A105" s="15">
        <f>IF(B105&lt;&gt;"", COUNTA($B$2:B105), "")</f>
        <v/>
      </c>
      <c r="B105" s="73" t="inlineStr">
        <is>
          <t>Преобразователь избыточного давления</t>
        </is>
      </c>
      <c r="C105" s="15" t="inlineStr">
        <is>
          <t>Honeywell STD-924</t>
        </is>
      </c>
      <c r="D105" s="15" t="inlineStr">
        <is>
          <t>11W17 C3313690001007</t>
        </is>
      </c>
      <c r="E105" s="15" t="n">
        <v>2011</v>
      </c>
      <c r="F105" s="3" t="inlineStr">
        <is>
          <t>0…4 кПа</t>
        </is>
      </c>
      <c r="G105" s="14" t="n">
        <v>0.075</v>
      </c>
      <c r="H105" s="15" t="inlineStr">
        <is>
          <t>Перепад давления между оболочкой опорно-упорного подшипника и 2-ой супенью ТУ</t>
        </is>
      </c>
      <c r="I105" s="15" t="inlineStr">
        <is>
          <t>ГПА 64</t>
        </is>
      </c>
      <c r="J105" s="15" t="inlineStr">
        <is>
          <t>АСУ,А и ТМ (КЦ № 6)</t>
        </is>
      </c>
      <c r="K105" s="15" t="n">
        <v>2012</v>
      </c>
      <c r="L105" s="14" t="n">
        <v>36</v>
      </c>
      <c r="M105" s="3" t="inlineStr">
        <is>
          <t>16.02.2016</t>
        </is>
      </c>
      <c r="N105" s="70" t="inlineStr">
        <is>
          <t>К</t>
        </is>
      </c>
    </row>
    <row r="106" ht="22.5" customHeight="1" s="151">
      <c r="A106" s="15">
        <f>IF(B106&lt;&gt;"", COUNTA($B$2:B106), "")</f>
        <v/>
      </c>
      <c r="B106" s="73" t="inlineStr">
        <is>
          <t>Преобразователь избыточного давления</t>
        </is>
      </c>
      <c r="C106" s="15" t="inlineStr">
        <is>
          <t>Honeywell STD-924</t>
        </is>
      </c>
      <c r="D106" s="15" t="inlineStr">
        <is>
          <t>11W17 C3313690001017</t>
        </is>
      </c>
      <c r="E106" s="15" t="n">
        <v>2011</v>
      </c>
      <c r="F106" s="3" t="inlineStr">
        <is>
          <t>0…1,6 кПа</t>
        </is>
      </c>
      <c r="G106" s="14" t="n">
        <v>0.075</v>
      </c>
      <c r="H106" s="15" t="inlineStr">
        <is>
          <t>Давление во входном сечении лемнискаты ГТД</t>
        </is>
      </c>
      <c r="I106" s="15" t="inlineStr">
        <is>
          <t>ГПА 64</t>
        </is>
      </c>
      <c r="J106" s="15" t="inlineStr">
        <is>
          <t>АСУ,А и ТМ (КЦ № 6)</t>
        </is>
      </c>
      <c r="K106" s="15" t="n">
        <v>2012</v>
      </c>
      <c r="L106" s="14" t="n">
        <v>36</v>
      </c>
      <c r="M106" s="3" t="inlineStr">
        <is>
          <t>16.02.2016</t>
        </is>
      </c>
      <c r="N106" s="70" t="inlineStr">
        <is>
          <t>К</t>
        </is>
      </c>
    </row>
    <row r="107" ht="22.5" customHeight="1" s="151">
      <c r="A107" s="15">
        <f>IF(B107&lt;&gt;"", COUNTA($B$2:B107), "")</f>
        <v/>
      </c>
      <c r="B107" s="73" t="inlineStr">
        <is>
          <t>Преобразователь избыточного давления</t>
        </is>
      </c>
      <c r="C107" s="15" t="inlineStr">
        <is>
          <t>Honeywell STD-924</t>
        </is>
      </c>
      <c r="D107" s="15" t="inlineStr">
        <is>
          <t>11W17 C3313690001014</t>
        </is>
      </c>
      <c r="E107" s="15" t="n">
        <v>2011</v>
      </c>
      <c r="F107" s="3" t="inlineStr">
        <is>
          <t>-5…100 кПа</t>
        </is>
      </c>
      <c r="G107" s="14" t="n">
        <v>0.075</v>
      </c>
      <c r="H107" s="15" t="inlineStr">
        <is>
          <t>Давление на срезе улитки ГТД</t>
        </is>
      </c>
      <c r="I107" s="15" t="inlineStr">
        <is>
          <t>ГПА 64</t>
        </is>
      </c>
      <c r="J107" s="15" t="inlineStr">
        <is>
          <t>АСУ,А и ТМ (КЦ № 6)</t>
        </is>
      </c>
      <c r="K107" s="15" t="n">
        <v>2012</v>
      </c>
      <c r="L107" s="14" t="n">
        <v>36</v>
      </c>
      <c r="M107" s="3" t="inlineStr">
        <is>
          <t>16.02.2016</t>
        </is>
      </c>
      <c r="N107" s="70" t="inlineStr">
        <is>
          <t>К</t>
        </is>
      </c>
    </row>
    <row r="108" ht="22.5" customHeight="1" s="151">
      <c r="A108" s="15">
        <f>IF(B108&lt;&gt;"", COUNTA($B$2:B108), "")</f>
        <v/>
      </c>
      <c r="B108" s="73" t="inlineStr">
        <is>
          <t>Преобразователь избыточного давления</t>
        </is>
      </c>
      <c r="C108" s="15" t="inlineStr">
        <is>
          <t>Honeywell STD-924</t>
        </is>
      </c>
      <c r="D108" s="15" t="inlineStr">
        <is>
          <t>11W17 C3313690001011</t>
        </is>
      </c>
      <c r="E108" s="15" t="n">
        <v>2011</v>
      </c>
      <c r="F108" s="3" t="inlineStr">
        <is>
          <t>0…1158,4 мм</t>
        </is>
      </c>
      <c r="G108" s="14" t="n">
        <v>0.075</v>
      </c>
      <c r="H108" s="15" t="inlineStr">
        <is>
          <t>Уровень масла в маслобаке двигателя</t>
        </is>
      </c>
      <c r="I108" s="15" t="inlineStr">
        <is>
          <t>ГПА 64</t>
        </is>
      </c>
      <c r="J108" s="15" t="inlineStr">
        <is>
          <t>АСУ,А и ТМ (КЦ № 6)</t>
        </is>
      </c>
      <c r="K108" s="15" t="n">
        <v>2012</v>
      </c>
      <c r="L108" s="14" t="n">
        <v>36</v>
      </c>
      <c r="M108" s="3" t="inlineStr">
        <is>
          <t>17.02.2016</t>
        </is>
      </c>
      <c r="N108" s="70" t="inlineStr">
        <is>
          <t>К</t>
        </is>
      </c>
    </row>
    <row r="109" ht="22.5" customHeight="1" s="151">
      <c r="A109" s="15">
        <f>IF(B109&lt;&gt;"", COUNTA($B$2:B109), "")</f>
        <v/>
      </c>
      <c r="B109" s="73" t="inlineStr">
        <is>
          <t>Преобразователь избыточного давления</t>
        </is>
      </c>
      <c r="C109" s="15" t="inlineStr">
        <is>
          <t>Honeywell STD-924</t>
        </is>
      </c>
      <c r="D109" s="15" t="inlineStr">
        <is>
          <t>11W18 C3313690001050</t>
        </is>
      </c>
      <c r="E109" s="15" t="n">
        <v>2011</v>
      </c>
      <c r="F109" s="3" t="inlineStr">
        <is>
          <t>0…2000 мм</t>
        </is>
      </c>
      <c r="G109" s="14" t="n">
        <v>0.075</v>
      </c>
      <c r="H109" s="15" t="inlineStr">
        <is>
          <t>Уровеь масла в расходном баке</t>
        </is>
      </c>
      <c r="I109" s="15" t="inlineStr">
        <is>
          <t>ГПА 64</t>
        </is>
      </c>
      <c r="J109" s="15" t="inlineStr">
        <is>
          <t>АСУ,А и ТМ (КЦ № 6)</t>
        </is>
      </c>
      <c r="K109" s="15" t="n">
        <v>2012</v>
      </c>
      <c r="L109" s="14" t="n">
        <v>36</v>
      </c>
      <c r="M109" s="3" t="inlineStr">
        <is>
          <t>17.02.2016</t>
        </is>
      </c>
      <c r="N109" s="70" t="inlineStr">
        <is>
          <t>К</t>
        </is>
      </c>
    </row>
    <row r="110" ht="22.5" customHeight="1" s="151">
      <c r="A110" s="15">
        <f>IF(B110&lt;&gt;"", COUNTA($B$2:B110), "")</f>
        <v/>
      </c>
      <c r="B110" s="73" t="inlineStr">
        <is>
          <t>Преобразователь избыточного давления</t>
        </is>
      </c>
      <c r="C110" s="15" t="inlineStr">
        <is>
          <t>Honeywell STD-924</t>
        </is>
      </c>
      <c r="D110" s="15" t="inlineStr">
        <is>
          <t>11W17 C3313690001006</t>
        </is>
      </c>
      <c r="E110" s="15" t="n">
        <v>2011</v>
      </c>
      <c r="F110" s="3" t="inlineStr">
        <is>
          <t>0…100 кПа</t>
        </is>
      </c>
      <c r="G110" s="14" t="n">
        <v>0.075</v>
      </c>
      <c r="H110" s="15" t="inlineStr">
        <is>
          <t>Перепад давлений между входной и выходной камерами Ф1</t>
        </is>
      </c>
      <c r="I110" s="15" t="inlineStr">
        <is>
          <t>ГПА 64</t>
        </is>
      </c>
      <c r="J110" s="15" t="inlineStr">
        <is>
          <t>АСУ,А и ТМ (КЦ № 6)</t>
        </is>
      </c>
      <c r="K110" s="15" t="n">
        <v>2012</v>
      </c>
      <c r="L110" s="14" t="n">
        <v>36</v>
      </c>
      <c r="M110" s="3" t="inlineStr">
        <is>
          <t>17.02.2016</t>
        </is>
      </c>
      <c r="N110" s="70" t="inlineStr">
        <is>
          <t>К</t>
        </is>
      </c>
    </row>
    <row r="111" ht="22.5" customHeight="1" s="151">
      <c r="A111" s="15">
        <f>IF(B111&lt;&gt;"", COUNTA($B$2:B111), "")</f>
        <v/>
      </c>
      <c r="B111" s="73" t="inlineStr">
        <is>
          <t>Преобразователь избыточного давления</t>
        </is>
      </c>
      <c r="C111" s="15" t="inlineStr">
        <is>
          <t>Honeywell STD-924</t>
        </is>
      </c>
      <c r="D111" s="15" t="inlineStr">
        <is>
          <t>11W17 C3313690001001</t>
        </is>
      </c>
      <c r="E111" s="15" t="n">
        <v>2011</v>
      </c>
      <c r="F111" s="3" t="inlineStr">
        <is>
          <t>0…100 кПа</t>
        </is>
      </c>
      <c r="G111" s="14" t="n">
        <v>0.075</v>
      </c>
      <c r="H111" s="15" t="inlineStr">
        <is>
          <t>Перепад давлений между входной и выходной камерами Ф2</t>
        </is>
      </c>
      <c r="I111" s="15" t="inlineStr">
        <is>
          <t>ГПА 64</t>
        </is>
      </c>
      <c r="J111" s="15" t="inlineStr">
        <is>
          <t>АСУ,А и ТМ (КЦ № 6)</t>
        </is>
      </c>
      <c r="K111" s="15" t="n">
        <v>2012</v>
      </c>
      <c r="L111" s="14" t="n">
        <v>36</v>
      </c>
      <c r="M111" s="3" t="inlineStr">
        <is>
          <t>17.02.2016</t>
        </is>
      </c>
      <c r="N111" s="70" t="inlineStr">
        <is>
          <t>К</t>
        </is>
      </c>
    </row>
    <row r="112" ht="22.5" customHeight="1" s="151">
      <c r="A112" s="15">
        <f>IF(B112&lt;&gt;"", COUNTA($B$2:B112), "")</f>
        <v/>
      </c>
      <c r="B112" s="73" t="inlineStr">
        <is>
          <t>Преобразователь избыточного давления</t>
        </is>
      </c>
      <c r="C112" s="15" t="inlineStr">
        <is>
          <t>Honeywell STD-120</t>
        </is>
      </c>
      <c r="D112" s="15" t="inlineStr">
        <is>
          <t>10W45 C3273987001098</t>
        </is>
      </c>
      <c r="E112" s="14" t="n">
        <v>2010</v>
      </c>
      <c r="F112" s="3" t="inlineStr">
        <is>
          <t>-1000…2500 Па</t>
        </is>
      </c>
      <c r="G112" s="14" t="n">
        <v>0.075</v>
      </c>
      <c r="H112" s="15" t="inlineStr">
        <is>
          <t>Давление инжектируемого потока перед сепаратором С1</t>
        </is>
      </c>
      <c r="I112" s="15" t="inlineStr">
        <is>
          <t>ГПА 64</t>
        </is>
      </c>
      <c r="J112" s="15" t="inlineStr">
        <is>
          <t>АСУ,А и ТМ (КЦ № 6)</t>
        </is>
      </c>
      <c r="K112" s="15" t="n">
        <v>2012</v>
      </c>
      <c r="L112" s="14" t="n">
        <v>36</v>
      </c>
      <c r="M112" s="3" t="inlineStr">
        <is>
          <t>17.02.2016</t>
        </is>
      </c>
      <c r="N112" s="70" t="inlineStr">
        <is>
          <t>К</t>
        </is>
      </c>
    </row>
    <row r="113" ht="22.5" customHeight="1" s="151">
      <c r="A113" s="15">
        <f>IF(B113&lt;&gt;"", COUNTA($B$2:B113), "")</f>
        <v/>
      </c>
      <c r="B113" s="73" t="inlineStr">
        <is>
          <t>Преобразователь избыточного давления</t>
        </is>
      </c>
      <c r="C113" s="15" t="inlineStr">
        <is>
          <t>Honeywell STD-120</t>
        </is>
      </c>
      <c r="D113" s="15" t="inlineStr">
        <is>
          <t>10W45 C3273987001079</t>
        </is>
      </c>
      <c r="E113" s="14" t="n">
        <v>2010</v>
      </c>
      <c r="F113" s="3" t="inlineStr">
        <is>
          <t>0…400 Па</t>
        </is>
      </c>
      <c r="G113" s="14" t="n">
        <v>0.075</v>
      </c>
      <c r="H113" s="15" t="inlineStr">
        <is>
          <t>Избыточное давление воздуха под кожухом двигателя</t>
        </is>
      </c>
      <c r="I113" s="15" t="inlineStr">
        <is>
          <t>ГПА 64</t>
        </is>
      </c>
      <c r="J113" s="15" t="inlineStr">
        <is>
          <t>АСУ,А и ТМ (КЦ № 6)</t>
        </is>
      </c>
      <c r="K113" s="15" t="n">
        <v>2012</v>
      </c>
      <c r="L113" s="14" t="n">
        <v>36</v>
      </c>
      <c r="M113" s="3" t="inlineStr">
        <is>
          <t>17.02.2016</t>
        </is>
      </c>
      <c r="N113" s="70" t="inlineStr">
        <is>
          <t>К</t>
        </is>
      </c>
    </row>
    <row r="114" ht="22.5" customHeight="1" s="151">
      <c r="A114" s="15">
        <f>IF(B114&lt;&gt;"", COUNTA($B$2:B114), "")</f>
        <v/>
      </c>
      <c r="B114" s="73" t="inlineStr">
        <is>
          <t>Преобразователь избыточного давления</t>
        </is>
      </c>
      <c r="C114" s="15" t="inlineStr">
        <is>
          <t>Honeywell STD-120</t>
        </is>
      </c>
      <c r="D114" s="15" t="inlineStr">
        <is>
          <t>10W45 C3273987001062</t>
        </is>
      </c>
      <c r="E114" s="14" t="n">
        <v>2010</v>
      </c>
      <c r="F114" s="3" t="inlineStr">
        <is>
          <t>0…10 кПа</t>
        </is>
      </c>
      <c r="G114" s="14" t="n">
        <v>0.075</v>
      </c>
      <c r="H114" s="15" t="inlineStr">
        <is>
          <t>Давление защитного воздуха на входе опорного подшипника</t>
        </is>
      </c>
      <c r="I114" s="15" t="inlineStr">
        <is>
          <t>ГПА 64</t>
        </is>
      </c>
      <c r="J114" s="15" t="inlineStr">
        <is>
          <t>АСУ,А и ТМ (КЦ № 6)</t>
        </is>
      </c>
      <c r="K114" s="15" t="n">
        <v>2012</v>
      </c>
      <c r="L114" s="14" t="n">
        <v>36</v>
      </c>
      <c r="M114" s="3" t="inlineStr">
        <is>
          <t>17.02.2016</t>
        </is>
      </c>
      <c r="N114" s="70" t="inlineStr">
        <is>
          <t>К</t>
        </is>
      </c>
    </row>
    <row r="115" ht="22.5" customHeight="1" s="151">
      <c r="A115" s="15">
        <f>IF(B115&lt;&gt;"", COUNTA($B$2:B115), "")</f>
        <v/>
      </c>
      <c r="B115" s="73" t="inlineStr">
        <is>
          <t>Преобразователь избыточного давления</t>
        </is>
      </c>
      <c r="C115" s="15" t="inlineStr">
        <is>
          <t>Honeywell STD-120</t>
        </is>
      </c>
      <c r="D115" s="15" t="inlineStr">
        <is>
          <t>10W45 C3273987001059</t>
        </is>
      </c>
      <c r="E115" s="15" t="n">
        <v>2011</v>
      </c>
      <c r="F115" s="3" t="inlineStr">
        <is>
          <t>0…4 кПа</t>
        </is>
      </c>
      <c r="G115" s="14" t="n">
        <v>0.075</v>
      </c>
      <c r="H115" s="15" t="inlineStr">
        <is>
          <t>Давление защитного воздуха на входе опорно-упорного подшипника</t>
        </is>
      </c>
      <c r="I115" s="15" t="inlineStr">
        <is>
          <t>ГПА 64</t>
        </is>
      </c>
      <c r="J115" s="15" t="inlineStr">
        <is>
          <t>АСУ,А и ТМ (КЦ № 6)</t>
        </is>
      </c>
      <c r="K115" s="15" t="n">
        <v>2012</v>
      </c>
      <c r="L115" s="14" t="n">
        <v>36</v>
      </c>
      <c r="M115" s="3" t="inlineStr">
        <is>
          <t>17.02.2016</t>
        </is>
      </c>
      <c r="N115" s="70" t="inlineStr">
        <is>
          <t>К</t>
        </is>
      </c>
    </row>
    <row r="116" ht="22.5" customHeight="1" s="151">
      <c r="A116" s="15">
        <f>IF(B116&lt;&gt;"", COUNTA($B$2:B116), "")</f>
        <v/>
      </c>
      <c r="B116" s="73" t="inlineStr">
        <is>
          <t>Преобразователь избыточного давления</t>
        </is>
      </c>
      <c r="C116" s="15" t="inlineStr">
        <is>
          <t>Honeywell STD-120</t>
        </is>
      </c>
      <c r="D116" s="15" t="inlineStr">
        <is>
          <t>10W45 C3273987001078</t>
        </is>
      </c>
      <c r="E116" s="14" t="n">
        <v>2010</v>
      </c>
      <c r="F116" s="3" t="inlineStr">
        <is>
          <t>0…10 кПа</t>
        </is>
      </c>
      <c r="G116" s="14" t="n">
        <v>0.075</v>
      </c>
      <c r="H116" s="15" t="inlineStr">
        <is>
          <t>Давление защитного воздуха на выходе оболочки опорного подшипника</t>
        </is>
      </c>
      <c r="I116" s="15" t="inlineStr">
        <is>
          <t>ГПА 64</t>
        </is>
      </c>
      <c r="J116" s="15" t="inlineStr">
        <is>
          <t>АСУ,А и ТМ (КЦ № 6)</t>
        </is>
      </c>
      <c r="K116" s="15" t="n">
        <v>2012</v>
      </c>
      <c r="L116" s="14" t="n">
        <v>36</v>
      </c>
      <c r="M116" s="3" t="inlineStr">
        <is>
          <t>17.02.2016</t>
        </is>
      </c>
      <c r="N116" s="70" t="inlineStr">
        <is>
          <t>К</t>
        </is>
      </c>
    </row>
    <row r="117" ht="33.75" customHeight="1" s="151">
      <c r="A117" s="15">
        <f>IF(B117&lt;&gt;"", COUNTA($B$2:B117), "")</f>
        <v/>
      </c>
      <c r="B117" s="73" t="inlineStr">
        <is>
          <t>Преобразователь избыточного давления</t>
        </is>
      </c>
      <c r="C117" s="15" t="inlineStr">
        <is>
          <t>Honeywell STD-120</t>
        </is>
      </c>
      <c r="D117" s="15" t="inlineStr">
        <is>
          <t>10W45 C3273987001063</t>
        </is>
      </c>
      <c r="E117" s="14" t="n">
        <v>2010</v>
      </c>
      <c r="F117" s="3" t="inlineStr">
        <is>
          <t>0…4 кПа</t>
        </is>
      </c>
      <c r="G117" s="14" t="n">
        <v>0.075</v>
      </c>
      <c r="H117" s="15" t="inlineStr">
        <is>
          <t>Давление защитного воздуха на выходе оболочки опорно-упорного подшипника</t>
        </is>
      </c>
      <c r="I117" s="15" t="inlineStr">
        <is>
          <t>ГПА 64</t>
        </is>
      </c>
      <c r="J117" s="15" t="inlineStr">
        <is>
          <t>АСУ,А и ТМ (КЦ № 6)</t>
        </is>
      </c>
      <c r="K117" s="15" t="n">
        <v>2012</v>
      </c>
      <c r="L117" s="14" t="n">
        <v>36</v>
      </c>
      <c r="M117" s="3" t="inlineStr">
        <is>
          <t>17.02.2016</t>
        </is>
      </c>
      <c r="N117" s="70" t="inlineStr">
        <is>
          <t>К</t>
        </is>
      </c>
    </row>
    <row r="118" ht="22.5" customHeight="1" s="151">
      <c r="A118" s="15">
        <f>IF(B118&lt;&gt;"", COUNTA($B$2:B118), "")</f>
        <v/>
      </c>
      <c r="B118" s="73" t="inlineStr">
        <is>
          <t>Преобразователь избыточного давления</t>
        </is>
      </c>
      <c r="C118" s="15" t="inlineStr">
        <is>
          <t>Honeywell STD-120</t>
        </is>
      </c>
      <c r="D118" s="15" t="inlineStr">
        <is>
          <t>10W45 C3273987001105</t>
        </is>
      </c>
      <c r="E118" s="14" t="n">
        <v>2010</v>
      </c>
      <c r="F118" s="3" t="inlineStr">
        <is>
          <t>0…1 кПа</t>
        </is>
      </c>
      <c r="G118" s="14" t="n">
        <v>0.075</v>
      </c>
      <c r="H118" s="15" t="inlineStr">
        <is>
          <t>Давление воздуха на входе Д (разрежение во всас. камере)</t>
        </is>
      </c>
      <c r="I118" s="15" t="inlineStr">
        <is>
          <t>ГПА 64</t>
        </is>
      </c>
      <c r="J118" s="15" t="inlineStr">
        <is>
          <t>АСУ,А и ТМ (КЦ № 6)</t>
        </is>
      </c>
      <c r="K118" s="15" t="n">
        <v>2012</v>
      </c>
      <c r="L118" s="14" t="n">
        <v>36</v>
      </c>
      <c r="M118" s="3" t="inlineStr">
        <is>
          <t>17.02.2016</t>
        </is>
      </c>
      <c r="N118" s="70" t="inlineStr">
        <is>
          <t>К</t>
        </is>
      </c>
    </row>
    <row r="119" ht="22.5" customHeight="1" s="151">
      <c r="A119" s="15">
        <f>IF(B119&lt;&gt;"", COUNTA($B$2:B119), "")</f>
        <v/>
      </c>
      <c r="B119" s="3" t="inlineStr">
        <is>
          <t xml:space="preserve">Расходомер                 </t>
        </is>
      </c>
      <c r="C119" s="3" t="inlineStr">
        <is>
          <t>KROHNE OPTISWIRL 4070/C</t>
        </is>
      </c>
      <c r="D119" s="3" t="inlineStr">
        <is>
          <t>D110000000199392</t>
        </is>
      </c>
      <c r="E119" s="15" t="n">
        <v>2011</v>
      </c>
      <c r="F119" s="17" t="inlineStr">
        <is>
          <t>1,5…15 Нм3/мин</t>
        </is>
      </c>
      <c r="G119" s="17" t="inlineStr">
        <is>
          <t>1</t>
        </is>
      </c>
      <c r="H119" s="3" t="inlineStr">
        <is>
          <t>Расход воздуха на выходе из оболочки опорно-упорного подшипника</t>
        </is>
      </c>
      <c r="I119" s="15" t="inlineStr">
        <is>
          <t>ГПА 64</t>
        </is>
      </c>
      <c r="J119" s="15" t="inlineStr">
        <is>
          <t>АСУ,А и ТМ (КЦ № 6)</t>
        </is>
      </c>
      <c r="K119" s="15" t="n">
        <v>2012</v>
      </c>
      <c r="L119" s="14" t="n">
        <v>36</v>
      </c>
      <c r="M119" s="3" t="n"/>
      <c r="N119" s="70" t="n"/>
    </row>
    <row r="120" ht="22.5" customHeight="1" s="151">
      <c r="A120" s="15">
        <f>IF(B120&lt;&gt;"", COUNTA($B$2:B120), "")</f>
        <v/>
      </c>
      <c r="B120" s="3" t="inlineStr">
        <is>
          <t xml:space="preserve">Расходомер                 </t>
        </is>
      </c>
      <c r="C120" s="3" t="inlineStr">
        <is>
          <t>KROHNE OPTISWIRL 4070/C</t>
        </is>
      </c>
      <c r="D120" s="3" t="inlineStr">
        <is>
          <t>D110000000199394</t>
        </is>
      </c>
      <c r="E120" s="15" t="n">
        <v>2011</v>
      </c>
      <c r="F120" s="17" t="inlineStr">
        <is>
          <t>1,5…15 Нм3/мин</t>
        </is>
      </c>
      <c r="G120" s="17" t="inlineStr">
        <is>
          <t>1</t>
        </is>
      </c>
      <c r="H120" s="3" t="inlineStr">
        <is>
          <t>Расход воздуха на выходе из оболочки опорного подшипника</t>
        </is>
      </c>
      <c r="I120" s="15" t="inlineStr">
        <is>
          <t>ГПА 64</t>
        </is>
      </c>
      <c r="J120" s="15" t="inlineStr">
        <is>
          <t>АСУ,А и ТМ (КЦ № 6)</t>
        </is>
      </c>
      <c r="K120" s="15" t="n">
        <v>2012</v>
      </c>
      <c r="L120" s="14" t="n">
        <v>36</v>
      </c>
      <c r="M120" s="3" t="n"/>
      <c r="N120" s="70" t="n"/>
    </row>
    <row r="121" ht="22.5" customHeight="1" s="151">
      <c r="A121" s="15">
        <f>IF(B121&lt;&gt;"", COUNTA($B$2:B121), "")</f>
        <v/>
      </c>
      <c r="B121" s="3" t="inlineStr">
        <is>
          <t xml:space="preserve">Расходомер                 </t>
        </is>
      </c>
      <c r="C121" s="3" t="inlineStr">
        <is>
          <t>KROHNE/H250</t>
        </is>
      </c>
      <c r="D121" s="3" t="inlineStr">
        <is>
          <t>D110000000182273</t>
        </is>
      </c>
      <c r="E121" s="15" t="n">
        <v>2011</v>
      </c>
      <c r="F121" s="17" t="inlineStr">
        <is>
          <t>6…60 Нм3/час</t>
        </is>
      </c>
      <c r="G121" s="17" t="inlineStr">
        <is>
          <t>1,6</t>
        </is>
      </c>
      <c r="H121" s="3" t="inlineStr">
        <is>
          <t>Расход газа на выходе первой ступени ЗКВ</t>
        </is>
      </c>
      <c r="I121" s="15" t="inlineStr">
        <is>
          <t>ГПА 64</t>
        </is>
      </c>
      <c r="J121" s="15" t="inlineStr">
        <is>
          <t>АСУ,А и ТМ (КЦ № 6)</t>
        </is>
      </c>
      <c r="K121" s="15" t="n">
        <v>2012</v>
      </c>
      <c r="L121" s="14" t="n">
        <v>36</v>
      </c>
      <c r="M121" s="3" t="n"/>
      <c r="N121" s="70" t="n"/>
    </row>
    <row r="122" ht="22.5" customHeight="1" s="151">
      <c r="A122" s="15">
        <f>IF(B122&lt;&gt;"", COUNTA($B$2:B122), "")</f>
        <v/>
      </c>
      <c r="B122" s="3" t="inlineStr">
        <is>
          <t xml:space="preserve">Расходомер                 </t>
        </is>
      </c>
      <c r="C122" s="3" t="inlineStr">
        <is>
          <t>KROHNE/H250</t>
        </is>
      </c>
      <c r="D122" s="3" t="inlineStr">
        <is>
          <t>D110000000182277</t>
        </is>
      </c>
      <c r="E122" s="15" t="n">
        <v>2011</v>
      </c>
      <c r="F122" s="17" t="inlineStr">
        <is>
          <t>6…60 Нм3/час</t>
        </is>
      </c>
      <c r="G122" s="14" t="n">
        <v>1.6</v>
      </c>
      <c r="H122" s="3" t="inlineStr">
        <is>
          <t>Расход газа на выходе первой ступени ПКВ</t>
        </is>
      </c>
      <c r="I122" s="15" t="inlineStr">
        <is>
          <t>ГПА 64</t>
        </is>
      </c>
      <c r="J122" s="15" t="inlineStr">
        <is>
          <t>АСУ,А и ТМ (КЦ № 6)</t>
        </is>
      </c>
      <c r="K122" s="15" t="n">
        <v>2012</v>
      </c>
      <c r="L122" s="14" t="n">
        <v>36</v>
      </c>
      <c r="M122" s="3" t="n"/>
      <c r="N122" s="70" t="n"/>
    </row>
    <row r="123" ht="22.5" customHeight="1" s="151">
      <c r="A123" s="15">
        <f>IF(B123&lt;&gt;"", COUNTA($B$2:B123), "")</f>
        <v/>
      </c>
      <c r="B123" s="15" t="inlineStr">
        <is>
          <t>Уравнемер</t>
        </is>
      </c>
      <c r="C123" s="14" t="inlineStr">
        <is>
          <t>KROHNE BM-26A</t>
        </is>
      </c>
      <c r="D123" s="14" t="inlineStr">
        <is>
          <t>447006647/10.13</t>
        </is>
      </c>
      <c r="E123" s="15" t="n">
        <v>2011</v>
      </c>
      <c r="F123" s="14" t="inlineStr">
        <is>
          <t>0…100 %</t>
        </is>
      </c>
      <c r="G123" s="14" t="inlineStr">
        <is>
          <t>±10 мм</t>
        </is>
      </c>
      <c r="H123" s="14" t="inlineStr">
        <is>
          <t>Уровень жидкости во входной камере Ф1/1</t>
        </is>
      </c>
      <c r="I123" s="15" t="inlineStr">
        <is>
          <t>ГПА 64</t>
        </is>
      </c>
      <c r="J123" s="15" t="inlineStr">
        <is>
          <t>АСУ,А и ТМ (КЦ № 6)</t>
        </is>
      </c>
      <c r="K123" s="15" t="n">
        <v>2012</v>
      </c>
      <c r="L123" s="14" t="n">
        <v>48</v>
      </c>
      <c r="M123" s="3" t="n"/>
      <c r="N123" s="70" t="n"/>
    </row>
    <row r="124">
      <c r="A124" s="15">
        <f>IF(B124&lt;&gt;"", COUNTA($B$2:B124), "")</f>
        <v/>
      </c>
      <c r="B124" s="15" t="inlineStr">
        <is>
          <t>Уравнемер</t>
        </is>
      </c>
      <c r="C124" s="14" t="inlineStr">
        <is>
          <t>KROHNE MS15</t>
        </is>
      </c>
      <c r="D124" s="14" t="inlineStr">
        <is>
          <t>447006647.10.18</t>
        </is>
      </c>
      <c r="E124" s="15" t="n">
        <v>2011</v>
      </c>
      <c r="F124" s="14" t="n"/>
      <c r="G124" s="14" t="n"/>
      <c r="H124" s="14" t="inlineStr">
        <is>
          <t>Нижний уровень SQ2 (Ф1/1)</t>
        </is>
      </c>
      <c r="I124" s="15" t="inlineStr">
        <is>
          <t>ГПА 64</t>
        </is>
      </c>
      <c r="J124" s="15" t="inlineStr">
        <is>
          <t>АСУ,А и ТМ (КЦ № 6)</t>
        </is>
      </c>
      <c r="K124" s="15" t="n">
        <v>2012</v>
      </c>
      <c r="L124" s="14" t="n"/>
      <c r="M124" s="3" t="n"/>
      <c r="N124" s="70" t="n"/>
    </row>
    <row r="125">
      <c r="A125" s="15">
        <f>IF(B125&lt;&gt;"", COUNTA($B$2:B125), "")</f>
        <v/>
      </c>
      <c r="B125" s="15" t="inlineStr">
        <is>
          <t>Уравнемер</t>
        </is>
      </c>
      <c r="C125" s="14" t="inlineStr">
        <is>
          <t>KROHNE MS15</t>
        </is>
      </c>
      <c r="D125" s="14" t="inlineStr">
        <is>
          <t>447006647.10.17</t>
        </is>
      </c>
      <c r="E125" s="15" t="n">
        <v>2011</v>
      </c>
      <c r="F125" s="14" t="n"/>
      <c r="G125" s="14" t="n"/>
      <c r="H125" s="14" t="inlineStr">
        <is>
          <t>Верхний уровень SQ1 (Ф1/1)</t>
        </is>
      </c>
      <c r="I125" s="15" t="inlineStr">
        <is>
          <t>ГПА 64</t>
        </is>
      </c>
      <c r="J125" s="15" t="inlineStr">
        <is>
          <t>АСУ,А и ТМ (КЦ № 6)</t>
        </is>
      </c>
      <c r="K125" s="15" t="n">
        <v>2012</v>
      </c>
      <c r="L125" s="14" t="n"/>
      <c r="M125" s="3" t="n"/>
      <c r="N125" s="70" t="n"/>
    </row>
    <row r="126">
      <c r="A126" s="15">
        <f>IF(B126&lt;&gt;"", COUNTA($B$2:B126), "")</f>
        <v/>
      </c>
      <c r="B126" s="15" t="inlineStr">
        <is>
          <t>Уравнемер</t>
        </is>
      </c>
      <c r="C126" s="14" t="inlineStr">
        <is>
          <t>KROHNE ER/EXD/AL/D</t>
        </is>
      </c>
      <c r="D126" s="14" t="inlineStr">
        <is>
          <t>447006647.10.13</t>
        </is>
      </c>
      <c r="E126" s="15" t="n">
        <v>2011</v>
      </c>
      <c r="F126" s="14" t="n"/>
      <c r="G126" s="14" t="n"/>
      <c r="H126" s="14" t="inlineStr">
        <is>
          <t>Уровень конденсата BL710 (Ф1/1)</t>
        </is>
      </c>
      <c r="I126" s="15" t="inlineStr">
        <is>
          <t>ГПА 64</t>
        </is>
      </c>
      <c r="J126" s="15" t="inlineStr">
        <is>
          <t>АСУ,А и ТМ (КЦ № 6)</t>
        </is>
      </c>
      <c r="K126" s="15" t="n">
        <v>2012</v>
      </c>
      <c r="L126" s="14" t="n"/>
      <c r="M126" s="3" t="n"/>
      <c r="N126" s="70" t="n"/>
    </row>
    <row r="127" ht="22.5" customHeight="1" s="151">
      <c r="A127" s="15">
        <f>IF(B127&lt;&gt;"", COUNTA($B$2:B127), "")</f>
        <v/>
      </c>
      <c r="B127" s="15" t="inlineStr">
        <is>
          <t>Уравнемер</t>
        </is>
      </c>
      <c r="C127" s="14" t="inlineStr">
        <is>
          <t>KROHNE BM-26A</t>
        </is>
      </c>
      <c r="D127" s="14" t="inlineStr">
        <is>
          <t>447006647/10.16</t>
        </is>
      </c>
      <c r="E127" s="15" t="n">
        <v>2011</v>
      </c>
      <c r="F127" s="14" t="inlineStr">
        <is>
          <t>0…100 %</t>
        </is>
      </c>
      <c r="G127" s="14" t="inlineStr">
        <is>
          <t>±10 мм</t>
        </is>
      </c>
      <c r="H127" s="14" t="inlineStr">
        <is>
          <t>Уровень жидкости в выходной камере Ф1/2</t>
        </is>
      </c>
      <c r="I127" s="15" t="inlineStr">
        <is>
          <t>ГПА 64</t>
        </is>
      </c>
      <c r="J127" s="15" t="inlineStr">
        <is>
          <t>АСУ,А и ТМ (КЦ № 6)</t>
        </is>
      </c>
      <c r="K127" s="15" t="n">
        <v>2012</v>
      </c>
      <c r="L127" s="14" t="n">
        <v>48</v>
      </c>
      <c r="M127" s="3" t="n"/>
      <c r="N127" s="70" t="n"/>
    </row>
    <row r="128">
      <c r="A128" s="15">
        <f>IF(B128&lt;&gt;"", COUNTA($B$2:B128), "")</f>
        <v/>
      </c>
      <c r="B128" s="15" t="inlineStr">
        <is>
          <t>Уравнемер</t>
        </is>
      </c>
      <c r="C128" s="14" t="inlineStr">
        <is>
          <t>KROHNE MS15</t>
        </is>
      </c>
      <c r="D128" s="14" t="inlineStr">
        <is>
          <t>447006647.10.20</t>
        </is>
      </c>
      <c r="E128" s="15" t="n">
        <v>2011</v>
      </c>
      <c r="F128" s="14" t="n"/>
      <c r="G128" s="14" t="n"/>
      <c r="H128" s="14" t="inlineStr">
        <is>
          <t>Нижний уровень SQ2 (Ф1/2)</t>
        </is>
      </c>
      <c r="I128" s="15" t="inlineStr">
        <is>
          <t>ГПА 64</t>
        </is>
      </c>
      <c r="J128" s="15" t="inlineStr">
        <is>
          <t>АСУ,А и ТМ (КЦ № 6)</t>
        </is>
      </c>
      <c r="K128" s="15" t="n">
        <v>2012</v>
      </c>
      <c r="L128" s="14" t="n"/>
      <c r="M128" s="3" t="n"/>
      <c r="N128" s="70" t="n"/>
    </row>
    <row r="129">
      <c r="A129" s="15">
        <f>IF(B129&lt;&gt;"", COUNTA($B$2:B129), "")</f>
        <v/>
      </c>
      <c r="B129" s="15" t="inlineStr">
        <is>
          <t>Уравнемер</t>
        </is>
      </c>
      <c r="C129" s="14" t="inlineStr">
        <is>
          <t>KROHNE MS15</t>
        </is>
      </c>
      <c r="D129" s="14" t="inlineStr">
        <is>
          <t>447006647.10.19</t>
        </is>
      </c>
      <c r="E129" s="15" t="n">
        <v>2011</v>
      </c>
      <c r="F129" s="14" t="n"/>
      <c r="G129" s="14" t="n"/>
      <c r="H129" s="14" t="inlineStr">
        <is>
          <t>Верхний уровень SQ1 (Ф1/2)</t>
        </is>
      </c>
      <c r="I129" s="15" t="inlineStr">
        <is>
          <t>ГПА 64</t>
        </is>
      </c>
      <c r="J129" s="15" t="inlineStr">
        <is>
          <t>АСУ,А и ТМ (КЦ № 6)</t>
        </is>
      </c>
      <c r="K129" s="15" t="n">
        <v>2012</v>
      </c>
      <c r="L129" s="14" t="n"/>
      <c r="M129" s="3" t="n"/>
      <c r="N129" s="70" t="n"/>
    </row>
    <row r="130">
      <c r="A130" s="15">
        <f>IF(B130&lt;&gt;"", COUNTA($B$2:B130), "")</f>
        <v/>
      </c>
      <c r="B130" s="15" t="inlineStr">
        <is>
          <t>Уравнемер</t>
        </is>
      </c>
      <c r="C130" s="14" t="inlineStr">
        <is>
          <t>KROHNE ER/EXD/AL/D</t>
        </is>
      </c>
      <c r="D130" s="14" t="inlineStr">
        <is>
          <t>447006647.10.16</t>
        </is>
      </c>
      <c r="E130" s="15" t="n">
        <v>2011</v>
      </c>
      <c r="F130" s="14" t="n"/>
      <c r="G130" s="14" t="n"/>
      <c r="H130" s="14" t="inlineStr">
        <is>
          <t>Уровень конденсата BL711 (Ф1/2)</t>
        </is>
      </c>
      <c r="I130" s="15" t="inlineStr">
        <is>
          <t>ГПА 64</t>
        </is>
      </c>
      <c r="J130" s="15" t="inlineStr">
        <is>
          <t>АСУ,А и ТМ (КЦ № 6)</t>
        </is>
      </c>
      <c r="K130" s="15" t="n">
        <v>2012</v>
      </c>
      <c r="L130" s="14" t="n"/>
      <c r="M130" s="3" t="n"/>
      <c r="N130" s="70" t="n"/>
    </row>
    <row r="131" ht="22.5" customHeight="1" s="151">
      <c r="A131" s="15">
        <f>IF(B131&lt;&gt;"", COUNTA($B$2:B131), "")</f>
        <v/>
      </c>
      <c r="B131" s="15" t="inlineStr">
        <is>
          <t>Уравнемер</t>
        </is>
      </c>
      <c r="C131" s="14" t="inlineStr">
        <is>
          <t>KROHNE BM-26A</t>
        </is>
      </c>
      <c r="D131" s="14" t="inlineStr">
        <is>
          <t>447006647/10.09</t>
        </is>
      </c>
      <c r="E131" s="15" t="n">
        <v>2011</v>
      </c>
      <c r="F131" s="14" t="inlineStr">
        <is>
          <t>0…100 %</t>
        </is>
      </c>
      <c r="G131" s="14" t="inlineStr">
        <is>
          <t>±10 мм</t>
        </is>
      </c>
      <c r="H131" s="14" t="inlineStr">
        <is>
          <t>Уровень жидкости во входной камере Ф2/1</t>
        </is>
      </c>
      <c r="I131" s="15" t="inlineStr">
        <is>
          <t>ГПА 64</t>
        </is>
      </c>
      <c r="J131" s="15" t="inlineStr">
        <is>
          <t>АСУ,А и ТМ (КЦ № 6)</t>
        </is>
      </c>
      <c r="K131" s="15" t="n">
        <v>2012</v>
      </c>
      <c r="L131" s="14" t="n">
        <v>48</v>
      </c>
      <c r="M131" s="3" t="n"/>
      <c r="N131" s="70" t="n"/>
    </row>
    <row r="132">
      <c r="A132" s="15">
        <f>IF(B132&lt;&gt;"", COUNTA($B$2:B132), "")</f>
        <v/>
      </c>
      <c r="B132" s="15" t="inlineStr">
        <is>
          <t>Уравнемер</t>
        </is>
      </c>
      <c r="C132" s="14" t="inlineStr">
        <is>
          <t>KROHNE MS15</t>
        </is>
      </c>
      <c r="D132" s="14" t="inlineStr">
        <is>
          <t>447006647.10.24</t>
        </is>
      </c>
      <c r="E132" s="15" t="n">
        <v>2011</v>
      </c>
      <c r="F132" s="14" t="n"/>
      <c r="G132" s="14" t="n"/>
      <c r="H132" s="14" t="inlineStr">
        <is>
          <t>Нижний уровень SQ2 (Ф2/1)</t>
        </is>
      </c>
      <c r="I132" s="15" t="inlineStr">
        <is>
          <t>ГПА 64</t>
        </is>
      </c>
      <c r="J132" s="15" t="inlineStr">
        <is>
          <t>АСУ,А и ТМ (КЦ № 6)</t>
        </is>
      </c>
      <c r="K132" s="15" t="n">
        <v>2012</v>
      </c>
      <c r="L132" s="14" t="n"/>
      <c r="M132" s="3" t="n"/>
      <c r="N132" s="70" t="n"/>
    </row>
    <row r="133">
      <c r="A133" s="15">
        <f>IF(B133&lt;&gt;"", COUNTA($B$2:B133), "")</f>
        <v/>
      </c>
      <c r="B133" s="15" t="inlineStr">
        <is>
          <t>Уравнемер</t>
        </is>
      </c>
      <c r="C133" s="14" t="inlineStr">
        <is>
          <t>KROHNE MS15</t>
        </is>
      </c>
      <c r="D133" s="14" t="inlineStr">
        <is>
          <t>447006647.10.23</t>
        </is>
      </c>
      <c r="E133" s="15" t="n">
        <v>2011</v>
      </c>
      <c r="F133" s="14" t="n"/>
      <c r="G133" s="14" t="n"/>
      <c r="H133" s="14" t="inlineStr">
        <is>
          <t>Верхний уровень SQ1 (Ф2/1)</t>
        </is>
      </c>
      <c r="I133" s="15" t="inlineStr">
        <is>
          <t>ГПА 64</t>
        </is>
      </c>
      <c r="J133" s="15" t="inlineStr">
        <is>
          <t>АСУ,А и ТМ (КЦ № 6)</t>
        </is>
      </c>
      <c r="K133" s="15" t="n">
        <v>2012</v>
      </c>
      <c r="L133" s="14" t="n"/>
      <c r="M133" s="3" t="n"/>
      <c r="N133" s="70" t="n"/>
    </row>
    <row r="134">
      <c r="A134" s="15">
        <f>IF(B134&lt;&gt;"", COUNTA($B$2:B134), "")</f>
        <v/>
      </c>
      <c r="B134" s="15" t="inlineStr">
        <is>
          <t>Уравнемер</t>
        </is>
      </c>
      <c r="C134" s="14" t="inlineStr">
        <is>
          <t>KROHNE ER/EXD/AL/D</t>
        </is>
      </c>
      <c r="D134" s="14" t="inlineStr">
        <is>
          <t>447006647.10.09</t>
        </is>
      </c>
      <c r="E134" s="15" t="n">
        <v>2011</v>
      </c>
      <c r="F134" s="14" t="n"/>
      <c r="G134" s="14" t="n"/>
      <c r="H134" s="14" t="inlineStr">
        <is>
          <t>Уровень конденсата BL712 (Ф2/1)</t>
        </is>
      </c>
      <c r="I134" s="15" t="inlineStr">
        <is>
          <t>ГПА 64</t>
        </is>
      </c>
      <c r="J134" s="15" t="inlineStr">
        <is>
          <t>АСУ,А и ТМ (КЦ № 6)</t>
        </is>
      </c>
      <c r="K134" s="15" t="n">
        <v>2012</v>
      </c>
      <c r="L134" s="14" t="n"/>
      <c r="M134" s="3" t="n"/>
      <c r="N134" s="70" t="n"/>
    </row>
    <row r="135" ht="22.5" customHeight="1" s="151">
      <c r="A135" s="15">
        <f>IF(B135&lt;&gt;"", COUNTA($B$2:B135), "")</f>
        <v/>
      </c>
      <c r="B135" s="15" t="inlineStr">
        <is>
          <t>Уравнемер</t>
        </is>
      </c>
      <c r="C135" s="14" t="inlineStr">
        <is>
          <t>KROHNE BM-26A</t>
        </is>
      </c>
      <c r="D135" s="14" t="inlineStr">
        <is>
          <t>447006647/10.14</t>
        </is>
      </c>
      <c r="E135" s="15" t="n">
        <v>2011</v>
      </c>
      <c r="F135" s="14" t="inlineStr">
        <is>
          <t>0…100 %</t>
        </is>
      </c>
      <c r="G135" s="14" t="inlineStr">
        <is>
          <t>±10 мм</t>
        </is>
      </c>
      <c r="H135" s="14" t="inlineStr">
        <is>
          <t>Уровень жидкости в выходной камере Ф2/2</t>
        </is>
      </c>
      <c r="I135" s="15" t="inlineStr">
        <is>
          <t>ГПА 64</t>
        </is>
      </c>
      <c r="J135" s="15" t="inlineStr">
        <is>
          <t>АСУ,А и ТМ (КЦ № 6)</t>
        </is>
      </c>
      <c r="K135" s="15" t="n">
        <v>2012</v>
      </c>
      <c r="L135" s="14" t="n">
        <v>48</v>
      </c>
      <c r="M135" s="3" t="n"/>
      <c r="N135" s="70" t="n"/>
    </row>
    <row r="136">
      <c r="A136" s="15">
        <f>IF(B136&lt;&gt;"", COUNTA($B$2:B136), "")</f>
        <v/>
      </c>
      <c r="B136" s="15" t="inlineStr">
        <is>
          <t>Уравнемер</t>
        </is>
      </c>
      <c r="C136" s="14" t="inlineStr">
        <is>
          <t>KROHNE MS15</t>
        </is>
      </c>
      <c r="D136" s="14" t="inlineStr">
        <is>
          <t>447006647.10.22</t>
        </is>
      </c>
      <c r="E136" s="15" t="n">
        <v>2011</v>
      </c>
      <c r="F136" s="14" t="n"/>
      <c r="G136" s="14" t="n"/>
      <c r="H136" s="14" t="inlineStr">
        <is>
          <t>Нижний уровень SQ2 (Ф2/2)</t>
        </is>
      </c>
      <c r="I136" s="15" t="inlineStr">
        <is>
          <t>ГПА 64</t>
        </is>
      </c>
      <c r="J136" s="15" t="inlineStr">
        <is>
          <t>АСУ,А и ТМ (КЦ № 6)</t>
        </is>
      </c>
      <c r="K136" s="15" t="n">
        <v>2012</v>
      </c>
      <c r="L136" s="14" t="n"/>
      <c r="M136" s="3" t="n"/>
      <c r="N136" s="70" t="n"/>
    </row>
    <row r="137">
      <c r="A137" s="15">
        <f>IF(B137&lt;&gt;"", COUNTA($B$2:B137), "")</f>
        <v/>
      </c>
      <c r="B137" s="15" t="inlineStr">
        <is>
          <t>Уравнемер</t>
        </is>
      </c>
      <c r="C137" s="14" t="inlineStr">
        <is>
          <t>KROHNE MS15</t>
        </is>
      </c>
      <c r="D137" s="14" t="inlineStr">
        <is>
          <t>447006647.10.21</t>
        </is>
      </c>
      <c r="E137" s="15" t="n">
        <v>2011</v>
      </c>
      <c r="F137" s="14" t="n"/>
      <c r="G137" s="14" t="n"/>
      <c r="H137" s="14" t="inlineStr">
        <is>
          <t>Верхний уровень SQ1 (Ф2/2)</t>
        </is>
      </c>
      <c r="I137" s="15" t="inlineStr">
        <is>
          <t>ГПА 64</t>
        </is>
      </c>
      <c r="J137" s="15" t="inlineStr">
        <is>
          <t>АСУ,А и ТМ (КЦ № 6)</t>
        </is>
      </c>
      <c r="K137" s="15" t="n">
        <v>2012</v>
      </c>
      <c r="L137" s="14" t="n"/>
      <c r="M137" s="3" t="n"/>
      <c r="N137" s="70" t="n"/>
    </row>
    <row r="138">
      <c r="A138" s="15">
        <f>IF(B138&lt;&gt;"", COUNTA($B$2:B138), "")</f>
        <v/>
      </c>
      <c r="B138" s="15" t="inlineStr">
        <is>
          <t>Уравнемер</t>
        </is>
      </c>
      <c r="C138" s="14" t="inlineStr">
        <is>
          <t>KROHNE ER/EXD/AL/D</t>
        </is>
      </c>
      <c r="D138" s="14" t="inlineStr">
        <is>
          <t>447006647.10.14</t>
        </is>
      </c>
      <c r="E138" s="15" t="n">
        <v>2011</v>
      </c>
      <c r="F138" s="14" t="n"/>
      <c r="G138" s="14" t="n"/>
      <c r="H138" s="14" t="inlineStr">
        <is>
          <t>Уровень конденсата BL713 (Ф2/2)</t>
        </is>
      </c>
      <c r="I138" s="15" t="inlineStr">
        <is>
          <t>ГПА 64</t>
        </is>
      </c>
      <c r="J138" s="15" t="inlineStr">
        <is>
          <t>АСУ,А и ТМ (КЦ № 6)</t>
        </is>
      </c>
      <c r="K138" s="15" t="n">
        <v>2012</v>
      </c>
      <c r="L138" s="14" t="n"/>
      <c r="M138" s="3" t="n"/>
      <c r="N138" s="70" t="n"/>
    </row>
    <row r="139" ht="22.5" customHeight="1" s="151">
      <c r="A139" s="15">
        <f>IF(B139&lt;&gt;"", COUNTA($B$2:B139), "")</f>
        <v/>
      </c>
      <c r="B139" s="15" t="inlineStr">
        <is>
          <t>Уравнемер</t>
        </is>
      </c>
      <c r="C139" s="14" t="inlineStr">
        <is>
          <t>KROHNE optiswitch 5200C</t>
        </is>
      </c>
      <c r="D139" s="14" t="n">
        <v>20408758</v>
      </c>
      <c r="E139" s="15" t="n">
        <v>2011</v>
      </c>
      <c r="F139" s="14" t="inlineStr">
        <is>
          <t>0…400 мм</t>
        </is>
      </c>
      <c r="G139" s="14" t="n"/>
      <c r="H139" s="14" t="inlineStr">
        <is>
          <t>Уровень теплоносителя в подогревателе BL1</t>
        </is>
      </c>
      <c r="I139" s="15" t="inlineStr">
        <is>
          <t>ГПА 64</t>
        </is>
      </c>
      <c r="J139" s="15" t="inlineStr">
        <is>
          <t>АСУ,А и ТМ (КЦ № 6)</t>
        </is>
      </c>
      <c r="K139" s="15" t="n">
        <v>2012</v>
      </c>
      <c r="L139" s="14" t="n"/>
      <c r="M139" s="3" t="n"/>
      <c r="N139" s="70" t="n"/>
    </row>
    <row r="140" ht="33.75" customHeight="1" s="151">
      <c r="A140" s="15">
        <f>IF(B140&lt;&gt;"", COUNTA($B$2:B140), "")</f>
        <v/>
      </c>
      <c r="B140" s="3" t="inlineStr">
        <is>
          <t xml:space="preserve">Расходомер                 </t>
        </is>
      </c>
      <c r="C140" s="14" t="inlineStr">
        <is>
          <t>Micrp Motion F200S-366-C-C-A-Z-E-ZZZ-Z (170011AFFEZZZ)</t>
        </is>
      </c>
      <c r="D140" s="14" t="inlineStr">
        <is>
          <t>sensor       14232615    (голова            3812486)</t>
        </is>
      </c>
      <c r="E140" s="15" t="n">
        <v>2011</v>
      </c>
      <c r="F140" s="14" t="inlineStr">
        <is>
          <t xml:space="preserve">0…6300 кг/час </t>
        </is>
      </c>
      <c r="G140" s="14" t="inlineStr">
        <is>
          <t>±0,5 (для газа)</t>
        </is>
      </c>
      <c r="H140" s="15" t="inlineStr">
        <is>
          <t>Расход топливного газа (коммерческий учет)</t>
        </is>
      </c>
      <c r="I140" s="15" t="inlineStr">
        <is>
          <t>ГПА 64</t>
        </is>
      </c>
      <c r="J140" s="15" t="inlineStr">
        <is>
          <t>АСУ,А и ТМ (КЦ № 6)</t>
        </is>
      </c>
      <c r="K140" s="15" t="n">
        <v>2012</v>
      </c>
      <c r="L140" s="14" t="n">
        <v>48</v>
      </c>
      <c r="M140" s="3" t="n"/>
      <c r="N140" s="70" t="n"/>
    </row>
    <row r="141" ht="33.75" customHeight="1" s="151">
      <c r="A141" s="15">
        <f>IF(B141&lt;&gt;"", COUNTA($B$2:B141), "")</f>
        <v/>
      </c>
      <c r="B141" s="14" t="inlineStr">
        <is>
          <t>Датчик вибрации</t>
        </is>
      </c>
      <c r="C141" s="8" t="inlineStr">
        <is>
          <t>ВПД 10-1,0/8,0</t>
        </is>
      </c>
      <c r="D141" s="14" t="n">
        <v>110285</v>
      </c>
      <c r="E141" s="14" t="n">
        <v>2010</v>
      </c>
      <c r="F141" s="14" t="inlineStr">
        <is>
          <t>0…500 мкм (канал)</t>
        </is>
      </c>
      <c r="G141" s="14" t="inlineStr">
        <is>
          <t>нормируется для канала измерения</t>
        </is>
      </c>
      <c r="H141" s="15" t="inlineStr">
        <is>
          <t>Размах виброперемещения со стороны привода (горизонтальная составляющая)</t>
        </is>
      </c>
      <c r="I141" s="15" t="inlineStr">
        <is>
          <t>ГПА 64</t>
        </is>
      </c>
      <c r="J141" s="15" t="inlineStr">
        <is>
          <t>АСУ,А и ТМ (КЦ № 6)</t>
        </is>
      </c>
      <c r="K141" s="15" t="n">
        <v>2012</v>
      </c>
      <c r="L141" s="14" t="n">
        <v>24</v>
      </c>
      <c r="M141" s="3" t="n"/>
      <c r="N141" s="70" t="n"/>
    </row>
    <row r="142" ht="22.5" customHeight="1" s="151">
      <c r="A142" s="15">
        <f>IF(B142&lt;&gt;"", COUNTA($B$2:B142), "")</f>
        <v/>
      </c>
      <c r="B142" s="14" t="inlineStr">
        <is>
          <t>Датчик вибрации</t>
        </is>
      </c>
      <c r="C142" s="8" t="inlineStr">
        <is>
          <t>ВПД 10-1,0/8,0</t>
        </is>
      </c>
      <c r="D142" s="14" t="n">
        <v>110300</v>
      </c>
      <c r="E142" s="14" t="n">
        <v>2010</v>
      </c>
      <c r="F142" s="14" t="inlineStr">
        <is>
          <t>0…500 мкм (канал)</t>
        </is>
      </c>
      <c r="G142" s="14" t="inlineStr">
        <is>
          <t>нормируется для канала измерения</t>
        </is>
      </c>
      <c r="H142" s="15" t="inlineStr">
        <is>
          <t>Размах виброперемещения со стороны привода (вертикальная составляющая)</t>
        </is>
      </c>
      <c r="I142" s="15" t="inlineStr">
        <is>
          <t>ГПА 64</t>
        </is>
      </c>
      <c r="J142" s="15" t="inlineStr">
        <is>
          <t>АСУ,А и ТМ (КЦ № 6)</t>
        </is>
      </c>
      <c r="K142" s="15" t="n">
        <v>2012</v>
      </c>
      <c r="L142" s="14" t="n">
        <v>24</v>
      </c>
      <c r="M142" s="3" t="n"/>
      <c r="N142" s="70" t="n"/>
    </row>
    <row r="143" ht="33.75" customHeight="1" s="151">
      <c r="A143" s="15">
        <f>IF(B143&lt;&gt;"", COUNTA($B$2:B143), "")</f>
        <v/>
      </c>
      <c r="B143" s="14" t="inlineStr">
        <is>
          <t>Датчик вибрации</t>
        </is>
      </c>
      <c r="C143" s="8" t="inlineStr">
        <is>
          <t>ВПД 10-1,0/8,0</t>
        </is>
      </c>
      <c r="D143" s="14" t="n">
        <v>110288</v>
      </c>
      <c r="E143" s="14" t="n">
        <v>2010</v>
      </c>
      <c r="F143" s="14" t="inlineStr">
        <is>
          <t>0…500 мкм (канал)</t>
        </is>
      </c>
      <c r="G143" s="14" t="inlineStr">
        <is>
          <t>нормируется для канала измерения</t>
        </is>
      </c>
      <c r="H143" s="15" t="inlineStr">
        <is>
          <t>Размах виброперемещения со стороны свободного конца (горизонтальная составляющая)</t>
        </is>
      </c>
      <c r="I143" s="15" t="inlineStr">
        <is>
          <t>ГПА 64</t>
        </is>
      </c>
      <c r="J143" s="15" t="inlineStr">
        <is>
          <t>АСУ,А и ТМ (КЦ № 6)</t>
        </is>
      </c>
      <c r="K143" s="15" t="n">
        <v>2012</v>
      </c>
      <c r="L143" s="14" t="n">
        <v>24</v>
      </c>
      <c r="M143" s="3" t="n"/>
      <c r="N143" s="70" t="n"/>
    </row>
    <row r="144" ht="33.75" customHeight="1" s="151">
      <c r="A144" s="15">
        <f>IF(B144&lt;&gt;"", COUNTA($B$2:B144), "")</f>
        <v/>
      </c>
      <c r="B144" s="14" t="inlineStr">
        <is>
          <t>Датчик вибрации</t>
        </is>
      </c>
      <c r="C144" s="8" t="inlineStr">
        <is>
          <t>ВПД 10-1,0/8,0</t>
        </is>
      </c>
      <c r="D144" s="14" t="n">
        <v>110286</v>
      </c>
      <c r="E144" s="14" t="n">
        <v>2010</v>
      </c>
      <c r="F144" s="14" t="inlineStr">
        <is>
          <t>0…500 мкм (канал)</t>
        </is>
      </c>
      <c r="G144" s="14" t="inlineStr">
        <is>
          <t>нормируется для канала измерения</t>
        </is>
      </c>
      <c r="H144" s="15" t="inlineStr">
        <is>
          <t>Размах виброперемещения со стороны свободного конца (вертикальная составляющая)</t>
        </is>
      </c>
      <c r="I144" s="15" t="inlineStr">
        <is>
          <t>ГПА 64</t>
        </is>
      </c>
      <c r="J144" s="15" t="inlineStr">
        <is>
          <t>АСУ,А и ТМ (КЦ № 6)</t>
        </is>
      </c>
      <c r="K144" s="15" t="n">
        <v>2012</v>
      </c>
      <c r="L144" s="14" t="n">
        <v>24</v>
      </c>
      <c r="M144" s="3" t="n"/>
      <c r="N144" s="70" t="n"/>
    </row>
    <row r="145" ht="22.5" customHeight="1" s="151">
      <c r="A145" s="15">
        <f>IF(B145&lt;&gt;"", COUNTA($B$2:B145), "")</f>
        <v/>
      </c>
      <c r="B145" s="14" t="inlineStr">
        <is>
          <t>Датчик вибрации</t>
        </is>
      </c>
      <c r="C145" s="8" t="inlineStr">
        <is>
          <t>ВПД 10-1,0/8,0</t>
        </is>
      </c>
      <c r="D145" s="14" t="n">
        <v>110273</v>
      </c>
      <c r="E145" s="14" t="n">
        <v>2010</v>
      </c>
      <c r="F145" s="14" t="inlineStr">
        <is>
          <t>0…500 мкм (канал)</t>
        </is>
      </c>
      <c r="G145" s="14" t="inlineStr">
        <is>
          <t>нормируется для канала измерения</t>
        </is>
      </c>
      <c r="H145" s="15" t="inlineStr">
        <is>
          <t>Размах виброперемещения в осевом направлении</t>
        </is>
      </c>
      <c r="I145" s="15" t="inlineStr">
        <is>
          <t>ГПА 64</t>
        </is>
      </c>
      <c r="J145" s="15" t="inlineStr">
        <is>
          <t>АСУ,А и ТМ (КЦ № 6)</t>
        </is>
      </c>
      <c r="K145" s="15" t="n">
        <v>2012</v>
      </c>
      <c r="L145" s="14" t="n">
        <v>24</v>
      </c>
      <c r="M145" s="3" t="n"/>
      <c r="N145" s="70" t="n"/>
    </row>
    <row r="146" ht="22.5" customHeight="1" s="151">
      <c r="A146" s="15">
        <f>IF(B146&lt;&gt;"", COUNTA($B$2:B146), "")</f>
        <v/>
      </c>
      <c r="B146" s="14" t="inlineStr">
        <is>
          <t>Датчик вибрации</t>
        </is>
      </c>
      <c r="C146" s="8" t="inlineStr">
        <is>
          <t>ВПД 10-1,0/7,0Р</t>
        </is>
      </c>
      <c r="D146" s="14" t="n">
        <v>120434</v>
      </c>
      <c r="E146" s="14" t="n">
        <v>2010</v>
      </c>
      <c r="F146" s="14" t="inlineStr">
        <is>
          <t>0…1000 мкм (канал)</t>
        </is>
      </c>
      <c r="G146" s="14" t="inlineStr">
        <is>
          <t>нормируется для канала измерения</t>
        </is>
      </c>
      <c r="H146" s="15" t="inlineStr">
        <is>
          <t>Датчик оборотов ротора нагнетателя</t>
        </is>
      </c>
      <c r="I146" s="15" t="inlineStr">
        <is>
          <t>ГПА 64</t>
        </is>
      </c>
      <c r="J146" s="15" t="inlineStr">
        <is>
          <t>АСУ,А и ТМ (КЦ № 6)</t>
        </is>
      </c>
      <c r="K146" s="15" t="n">
        <v>2012</v>
      </c>
      <c r="L146" s="14" t="n">
        <v>24</v>
      </c>
      <c r="M146" s="3" t="n"/>
      <c r="N146" s="70" t="n"/>
    </row>
    <row r="147" ht="22.5" customHeight="1" s="151">
      <c r="A147" s="15">
        <f>IF(B147&lt;&gt;"", COUNTA($B$2:B147), "")</f>
        <v/>
      </c>
      <c r="B147" s="16" t="inlineStr">
        <is>
          <t>Термометр сопротивления</t>
        </is>
      </c>
      <c r="C147" s="17" t="inlineStr">
        <is>
          <t>ТСП 012.60 Pt100/B/3</t>
        </is>
      </c>
      <c r="D147" s="3" t="inlineStr">
        <is>
          <t>458</t>
        </is>
      </c>
      <c r="E147" s="15" t="n">
        <v>2011</v>
      </c>
      <c r="F147" s="17" t="inlineStr">
        <is>
          <t>-60…200 °С</t>
        </is>
      </c>
      <c r="G147" s="17" t="inlineStr">
        <is>
          <t>B</t>
        </is>
      </c>
      <c r="H147" s="3" t="inlineStr">
        <is>
          <t>Температура масла после охладителя (на входе в двигатель)</t>
        </is>
      </c>
      <c r="I147" s="15" t="inlineStr">
        <is>
          <t>ГПА 64</t>
        </is>
      </c>
      <c r="J147" s="15" t="inlineStr">
        <is>
          <t>АСУ,А и ТМ (КЦ № 6)</t>
        </is>
      </c>
      <c r="K147" s="15" t="n">
        <v>2012</v>
      </c>
      <c r="L147" s="14" t="n">
        <v>36</v>
      </c>
      <c r="M147" s="3" t="n"/>
      <c r="N147" s="70" t="n"/>
    </row>
    <row r="148" ht="22.5" customHeight="1" s="151">
      <c r="A148" s="15">
        <f>IF(B148&lt;&gt;"", COUNTA($B$2:B148), "")</f>
        <v/>
      </c>
      <c r="B148" s="16" t="inlineStr">
        <is>
          <t>Термометр сопротивления</t>
        </is>
      </c>
      <c r="C148" s="17" t="inlineStr">
        <is>
          <t>ТСП 012.60 Pt100/B/3</t>
        </is>
      </c>
      <c r="D148" s="3" t="inlineStr">
        <is>
          <t>455</t>
        </is>
      </c>
      <c r="E148" s="15" t="n">
        <v>2011</v>
      </c>
      <c r="F148" s="17" t="inlineStr">
        <is>
          <t>-60…200 °С</t>
        </is>
      </c>
      <c r="G148" s="17" t="inlineStr">
        <is>
          <t>B</t>
        </is>
      </c>
      <c r="H148" s="3" t="inlineStr">
        <is>
          <t>Температура масла на выходе двигателя (перед маслоохладителем)</t>
        </is>
      </c>
      <c r="I148" s="15" t="inlineStr">
        <is>
          <t>ГПА 64</t>
        </is>
      </c>
      <c r="J148" s="15" t="inlineStr">
        <is>
          <t>АСУ,А и ТМ (КЦ № 6)</t>
        </is>
      </c>
      <c r="K148" s="15" t="n">
        <v>2012</v>
      </c>
      <c r="L148" s="14" t="n">
        <v>36</v>
      </c>
      <c r="M148" s="3" t="n"/>
      <c r="N148" s="70" t="n"/>
    </row>
    <row r="149">
      <c r="A149" s="15">
        <f>IF(B149&lt;&gt;"", COUNTA($B$2:B149), "")</f>
        <v/>
      </c>
      <c r="B149" s="16" t="inlineStr">
        <is>
          <t>Термометр сопротивления</t>
        </is>
      </c>
      <c r="C149" s="17" t="inlineStr">
        <is>
          <t>ТСП 012.60 Pt100/B/3</t>
        </is>
      </c>
      <c r="D149" s="3" t="inlineStr">
        <is>
          <t>573</t>
        </is>
      </c>
      <c r="E149" s="15" t="n">
        <v>2011</v>
      </c>
      <c r="F149" s="17" t="inlineStr">
        <is>
          <t>-60…200 °С</t>
        </is>
      </c>
      <c r="G149" s="17" t="inlineStr">
        <is>
          <t>B</t>
        </is>
      </c>
      <c r="H149" s="3" t="inlineStr">
        <is>
          <t>Температра масла в баке двигателя</t>
        </is>
      </c>
      <c r="I149" s="15" t="inlineStr">
        <is>
          <t>ГПА 64</t>
        </is>
      </c>
      <c r="J149" s="15" t="inlineStr">
        <is>
          <t>АСУ,А и ТМ (КЦ № 6)</t>
        </is>
      </c>
      <c r="K149" s="15" t="n">
        <v>2012</v>
      </c>
      <c r="L149" s="14" t="n">
        <v>36</v>
      </c>
      <c r="M149" s="3" t="n"/>
      <c r="N149" s="70" t="n"/>
    </row>
    <row r="150" ht="22.5" customHeight="1" s="151">
      <c r="A150" s="15">
        <f>IF(B150&lt;&gt;"", COUNTA($B$2:B150), "")</f>
        <v/>
      </c>
      <c r="B150" s="16" t="inlineStr">
        <is>
          <t>Термометр сопротивления</t>
        </is>
      </c>
      <c r="C150" s="17" t="inlineStr">
        <is>
          <t>ТСП 012.60 Pt100/B/3</t>
        </is>
      </c>
      <c r="D150" s="3" t="inlineStr">
        <is>
          <t>453</t>
        </is>
      </c>
      <c r="E150" s="15" t="n">
        <v>2011</v>
      </c>
      <c r="F150" s="17" t="inlineStr">
        <is>
          <t>-60…200 °С</t>
        </is>
      </c>
      <c r="G150" s="17" t="inlineStr">
        <is>
          <t>B</t>
        </is>
      </c>
      <c r="H150" s="3" t="inlineStr">
        <is>
          <t>Температура топливного газа перед расходомерным устройством</t>
        </is>
      </c>
      <c r="I150" s="15" t="inlineStr">
        <is>
          <t>ГПА 64</t>
        </is>
      </c>
      <c r="J150" s="15" t="inlineStr">
        <is>
          <t>АСУ,А и ТМ (КЦ № 6)</t>
        </is>
      </c>
      <c r="K150" s="15" t="n">
        <v>2012</v>
      </c>
      <c r="L150" s="14" t="n">
        <v>36</v>
      </c>
      <c r="M150" s="3" t="n"/>
      <c r="N150" s="70" t="n"/>
    </row>
    <row r="151" ht="22.5" customHeight="1" s="151">
      <c r="A151" s="15">
        <f>IF(B151&lt;&gt;"", COUNTA($B$2:B151), "")</f>
        <v/>
      </c>
      <c r="B151" s="16" t="inlineStr">
        <is>
          <t>Термометр сопротивления</t>
        </is>
      </c>
      <c r="C151" s="17" t="inlineStr">
        <is>
          <t>ТСП 012.60Сп Pt100/B/3</t>
        </is>
      </c>
      <c r="D151" s="3" t="inlineStr">
        <is>
          <t>340</t>
        </is>
      </c>
      <c r="E151" s="15" t="n">
        <v>2011</v>
      </c>
      <c r="F151" s="17" t="inlineStr">
        <is>
          <t>-60…200 °С</t>
        </is>
      </c>
      <c r="G151" s="17" t="inlineStr">
        <is>
          <t>B</t>
        </is>
      </c>
      <c r="H151" s="3" t="inlineStr">
        <is>
          <t>Температура воздуха под кожухом Д т.1</t>
        </is>
      </c>
      <c r="I151" s="15" t="inlineStr">
        <is>
          <t>ГПА 64</t>
        </is>
      </c>
      <c r="J151" s="15" t="inlineStr">
        <is>
          <t>АСУ,А и ТМ (КЦ № 6)</t>
        </is>
      </c>
      <c r="K151" s="15" t="n">
        <v>2012</v>
      </c>
      <c r="L151" s="14" t="n">
        <v>36</v>
      </c>
      <c r="M151" s="3" t="n"/>
      <c r="N151" s="70" t="n"/>
    </row>
    <row r="152" ht="22.5" customHeight="1" s="151">
      <c r="A152" s="15">
        <f>IF(B152&lt;&gt;"", COUNTA($B$2:B152), "")</f>
        <v/>
      </c>
      <c r="B152" s="16" t="inlineStr">
        <is>
          <t>Термометр сопротивления</t>
        </is>
      </c>
      <c r="C152" s="17" t="inlineStr">
        <is>
          <t>ТСП 012.60Сп Pt100/B/3</t>
        </is>
      </c>
      <c r="D152" s="3" t="inlineStr">
        <is>
          <t>341</t>
        </is>
      </c>
      <c r="E152" s="15" t="n">
        <v>2011</v>
      </c>
      <c r="F152" s="17" t="inlineStr">
        <is>
          <t>-60…200 °С</t>
        </is>
      </c>
      <c r="G152" s="17" t="inlineStr">
        <is>
          <t>B</t>
        </is>
      </c>
      <c r="H152" s="3" t="inlineStr">
        <is>
          <t>Температура воздуха под кожухом Д т.2</t>
        </is>
      </c>
      <c r="I152" s="15" t="inlineStr">
        <is>
          <t>ГПА 64</t>
        </is>
      </c>
      <c r="J152" s="15" t="inlineStr">
        <is>
          <t>АСУ,А и ТМ (КЦ № 6)</t>
        </is>
      </c>
      <c r="K152" s="15" t="n">
        <v>2012</v>
      </c>
      <c r="L152" s="14" t="n">
        <v>36</v>
      </c>
      <c r="M152" s="3" t="n"/>
      <c r="N152" s="70" t="n"/>
    </row>
    <row r="153" ht="22.5" customHeight="1" s="151">
      <c r="A153" s="15">
        <f>IF(B153&lt;&gt;"", COUNTA($B$2:B153), "")</f>
        <v/>
      </c>
      <c r="B153" s="16" t="inlineStr">
        <is>
          <t>Термометр сопротивления</t>
        </is>
      </c>
      <c r="C153" s="17" t="inlineStr">
        <is>
          <t>ТСП 012.60Сп Pt100/B/3</t>
        </is>
      </c>
      <c r="D153" s="3" t="inlineStr">
        <is>
          <t>352</t>
        </is>
      </c>
      <c r="E153" s="15" t="n">
        <v>2011</v>
      </c>
      <c r="F153" s="17" t="inlineStr">
        <is>
          <t>-60…200 °С</t>
        </is>
      </c>
      <c r="G153" s="17" t="inlineStr">
        <is>
          <t>B</t>
        </is>
      </c>
      <c r="H153" s="3" t="inlineStr">
        <is>
          <t>Температура воздуха под кожухом Д т.3</t>
        </is>
      </c>
      <c r="I153" s="15" t="inlineStr">
        <is>
          <t>ГПА 64</t>
        </is>
      </c>
      <c r="J153" s="15" t="inlineStr">
        <is>
          <t>АСУ,А и ТМ (КЦ № 6)</t>
        </is>
      </c>
      <c r="K153" s="15" t="n">
        <v>2012</v>
      </c>
      <c r="L153" s="14" t="n">
        <v>36</v>
      </c>
      <c r="M153" s="3" t="n"/>
      <c r="N153" s="70" t="n"/>
    </row>
    <row r="154" ht="22.5" customHeight="1" s="151">
      <c r="A154" s="15">
        <f>IF(B154&lt;&gt;"", COUNTA($B$2:B154), "")</f>
        <v/>
      </c>
      <c r="B154" s="16" t="inlineStr">
        <is>
          <t>Термометр сопротивления</t>
        </is>
      </c>
      <c r="C154" s="17" t="inlineStr">
        <is>
          <t>ТСП 012.60Сп Pt100/B/3</t>
        </is>
      </c>
      <c r="D154" s="3" t="inlineStr">
        <is>
          <t>348</t>
        </is>
      </c>
      <c r="E154" s="15" t="n">
        <v>2011</v>
      </c>
      <c r="F154" s="17" t="inlineStr">
        <is>
          <t>-60…200 °С</t>
        </is>
      </c>
      <c r="G154" s="17" t="inlineStr">
        <is>
          <t>B</t>
        </is>
      </c>
      <c r="H154" s="3" t="inlineStr">
        <is>
          <t>Температура воздуха под кожухом Д т.4</t>
        </is>
      </c>
      <c r="I154" s="15" t="inlineStr">
        <is>
          <t>ГПА 64</t>
        </is>
      </c>
      <c r="J154" s="15" t="inlineStr">
        <is>
          <t>АСУ,А и ТМ (КЦ № 6)</t>
        </is>
      </c>
      <c r="K154" s="15" t="n">
        <v>2012</v>
      </c>
      <c r="L154" s="14" t="n">
        <v>36</v>
      </c>
      <c r="M154" s="3" t="n"/>
      <c r="N154" s="70" t="n"/>
    </row>
    <row r="155" ht="33.75" customHeight="1" s="151">
      <c r="A155" s="15">
        <f>IF(B155&lt;&gt;"", COUNTA($B$2:B155), "")</f>
        <v/>
      </c>
      <c r="B155" s="16" t="inlineStr">
        <is>
          <t>Термометр сопротивления</t>
        </is>
      </c>
      <c r="C155" s="17" t="inlineStr">
        <is>
          <t>ТСП 012.60 Pt100/B/3</t>
        </is>
      </c>
      <c r="D155" s="3" t="inlineStr">
        <is>
          <t>572</t>
        </is>
      </c>
      <c r="E155" s="15" t="n">
        <v>2011</v>
      </c>
      <c r="F155" s="17" t="inlineStr">
        <is>
          <t>-60…200 °С</t>
        </is>
      </c>
      <c r="G155" s="17" t="inlineStr">
        <is>
          <t>B</t>
        </is>
      </c>
      <c r="H155" s="3" t="inlineStr">
        <is>
          <t>Температура защитного воздуха на выходе оболочки опорного подшипника (передний)</t>
        </is>
      </c>
      <c r="I155" s="15" t="inlineStr">
        <is>
          <t>ГПА 64</t>
        </is>
      </c>
      <c r="J155" s="15" t="inlineStr">
        <is>
          <t>АСУ,А и ТМ (КЦ № 6)</t>
        </is>
      </c>
      <c r="K155" s="15" t="n">
        <v>2012</v>
      </c>
      <c r="L155" s="14" t="n">
        <v>36</v>
      </c>
      <c r="M155" s="3" t="n"/>
      <c r="N155" s="70" t="n"/>
    </row>
    <row r="156" ht="33.75" customHeight="1" s="151">
      <c r="A156" s="15">
        <f>IF(B156&lt;&gt;"", COUNTA($B$2:B156), "")</f>
        <v/>
      </c>
      <c r="B156" s="16" t="inlineStr">
        <is>
          <t>Термометр сопротивления</t>
        </is>
      </c>
      <c r="C156" s="17" t="inlineStr">
        <is>
          <t>ТСП 012.60 Pt100/B/3</t>
        </is>
      </c>
      <c r="D156" s="3" t="inlineStr">
        <is>
          <t>460</t>
        </is>
      </c>
      <c r="E156" s="15" t="n">
        <v>2011</v>
      </c>
      <c r="F156" s="17" t="inlineStr">
        <is>
          <t>-60…200 °С</t>
        </is>
      </c>
      <c r="G156" s="17" t="inlineStr">
        <is>
          <t>B</t>
        </is>
      </c>
      <c r="H156" s="3" t="inlineStr">
        <is>
          <t>Температура защитного воздуха на входе установки фильтров перед КЭП10 (на входе ТГДУ)</t>
        </is>
      </c>
      <c r="I156" s="15" t="inlineStr">
        <is>
          <t>ГПА 64</t>
        </is>
      </c>
      <c r="J156" s="15" t="inlineStr">
        <is>
          <t>АСУ,А и ТМ (КЦ № 6)</t>
        </is>
      </c>
      <c r="K156" s="15" t="n">
        <v>2012</v>
      </c>
      <c r="L156" s="14" t="n">
        <v>36</v>
      </c>
      <c r="M156" s="3" t="n"/>
      <c r="N156" s="70" t="n"/>
    </row>
    <row r="157" ht="22.5" customHeight="1" s="151">
      <c r="A157" s="15">
        <f>IF(B157&lt;&gt;"", COUNTA($B$2:B157), "")</f>
        <v/>
      </c>
      <c r="B157" s="16" t="inlineStr">
        <is>
          <t>Термометр сопротивления</t>
        </is>
      </c>
      <c r="C157" s="17" t="inlineStr">
        <is>
          <t>ТСП 012.60 Pt100/B/3</t>
        </is>
      </c>
      <c r="D157" s="3" t="inlineStr">
        <is>
          <t>315</t>
        </is>
      </c>
      <c r="E157" s="15" t="n">
        <v>2011</v>
      </c>
      <c r="F157" s="17" t="inlineStr">
        <is>
          <t>-60…200 °С</t>
        </is>
      </c>
      <c r="G157" s="17" t="inlineStr">
        <is>
          <t>B</t>
        </is>
      </c>
      <c r="H157" s="3" t="inlineStr">
        <is>
          <t>Температура газа на выходе из компрессора</t>
        </is>
      </c>
      <c r="I157" s="15" t="inlineStr">
        <is>
          <t>ГПА 64</t>
        </is>
      </c>
      <c r="J157" s="15" t="inlineStr">
        <is>
          <t>АСУ,А и ТМ (КЦ № 6)</t>
        </is>
      </c>
      <c r="K157" s="15" t="n">
        <v>2012</v>
      </c>
      <c r="L157" s="14" t="n">
        <v>36</v>
      </c>
      <c r="M157" s="3" t="n"/>
      <c r="N157" s="70" t="n"/>
    </row>
    <row r="158">
      <c r="A158" s="15">
        <f>IF(B158&lt;&gt;"", COUNTA($B$2:B158), "")</f>
        <v/>
      </c>
      <c r="B158" s="16" t="inlineStr">
        <is>
          <t>Термометр сопротивления</t>
        </is>
      </c>
      <c r="C158" s="17" t="inlineStr">
        <is>
          <t>ТСПУ-Л-22162</t>
        </is>
      </c>
      <c r="D158" s="3" t="inlineStr">
        <is>
          <t>10</t>
        </is>
      </c>
      <c r="E158" s="14" t="n">
        <v>2011</v>
      </c>
      <c r="F158" s="10" t="inlineStr">
        <is>
          <t>­50…100 °C</t>
        </is>
      </c>
      <c r="G158" s="17" t="inlineStr">
        <is>
          <t>0,5</t>
        </is>
      </c>
      <c r="H158" s="3" t="inlineStr">
        <is>
          <t>Температура воздуха в укрытии</t>
        </is>
      </c>
      <c r="I158" s="15" t="inlineStr">
        <is>
          <t>ГПА 64</t>
        </is>
      </c>
      <c r="J158" s="15" t="inlineStr">
        <is>
          <t>АСУ,А и ТМ (КЦ № 6)</t>
        </is>
      </c>
      <c r="K158" s="15" t="n">
        <v>2012</v>
      </c>
      <c r="L158" s="14" t="n">
        <v>60</v>
      </c>
      <c r="M158" s="3" t="n"/>
      <c r="N158" s="70" t="n"/>
    </row>
    <row r="159" ht="22.5" customHeight="1" s="151">
      <c r="A159" s="15">
        <f>IF(B159&lt;&gt;"", COUNTA($B$2:B159), "")</f>
        <v/>
      </c>
      <c r="B159" s="16" t="inlineStr">
        <is>
          <t>Термометр сопротивления</t>
        </is>
      </c>
      <c r="C159" s="17" t="inlineStr">
        <is>
          <t>ТСП 012.60 Pt100/B/3</t>
        </is>
      </c>
      <c r="D159" s="3" t="inlineStr">
        <is>
          <t>386</t>
        </is>
      </c>
      <c r="E159" s="15" t="n">
        <v>2011</v>
      </c>
      <c r="F159" s="17" t="inlineStr">
        <is>
          <t>-60…200 °С</t>
        </is>
      </c>
      <c r="G159" s="17" t="inlineStr">
        <is>
          <t>B</t>
        </is>
      </c>
      <c r="H159" s="3" t="inlineStr">
        <is>
          <t>Температура теплоносителя в подогревателе буферного газа</t>
        </is>
      </c>
      <c r="I159" s="15" t="inlineStr">
        <is>
          <t>ГПА 64</t>
        </is>
      </c>
      <c r="J159" s="15" t="inlineStr">
        <is>
          <t>АСУ,А и ТМ (КЦ № 6)</t>
        </is>
      </c>
      <c r="K159" s="15" t="n">
        <v>2012</v>
      </c>
      <c r="L159" s="14" t="n">
        <v>36</v>
      </c>
      <c r="M159" s="3" t="n"/>
      <c r="N159" s="70" t="n"/>
    </row>
    <row r="160" ht="22.5" customHeight="1" s="151">
      <c r="A160" s="15">
        <f>IF(B160&lt;&gt;"", COUNTA($B$2:B160), "")</f>
        <v/>
      </c>
      <c r="B160" s="16" t="inlineStr">
        <is>
          <t>Термометр сопротивления</t>
        </is>
      </c>
      <c r="C160" s="17" t="inlineStr">
        <is>
          <t>ТСП 012.60 Pt100/B/3</t>
        </is>
      </c>
      <c r="D160" s="3" t="inlineStr">
        <is>
          <t>459</t>
        </is>
      </c>
      <c r="E160" s="15" t="n">
        <v>2011</v>
      </c>
      <c r="F160" s="17" t="inlineStr">
        <is>
          <t>-60…200 °С</t>
        </is>
      </c>
      <c r="G160" s="17" t="inlineStr">
        <is>
          <t>B</t>
        </is>
      </c>
      <c r="H160" s="3" t="inlineStr">
        <is>
          <t>Температура буферного газа на выходе подогревателя</t>
        </is>
      </c>
      <c r="I160" s="15" t="inlineStr">
        <is>
          <t>ГПА 64</t>
        </is>
      </c>
      <c r="J160" s="15" t="inlineStr">
        <is>
          <t>АСУ,А и ТМ (КЦ № 6)</t>
        </is>
      </c>
      <c r="K160" s="15" t="n">
        <v>2012</v>
      </c>
      <c r="L160" s="14" t="n">
        <v>36</v>
      </c>
      <c r="M160" s="3" t="n"/>
      <c r="N160" s="70" t="n"/>
    </row>
    <row r="161" ht="22.5" customHeight="1" s="151">
      <c r="A161" s="15">
        <f>IF(B161&lt;&gt;"", COUNTA($B$2:B161), "")</f>
        <v/>
      </c>
      <c r="B161" s="16" t="inlineStr">
        <is>
          <t>Термометр сопротивления</t>
        </is>
      </c>
      <c r="C161" s="17" t="inlineStr">
        <is>
          <t>ТСП 012.60 Pt100/B/3</t>
        </is>
      </c>
      <c r="D161" s="3" t="inlineStr">
        <is>
          <t>351</t>
        </is>
      </c>
      <c r="E161" s="15" t="n">
        <v>2011</v>
      </c>
      <c r="F161" s="17" t="inlineStr">
        <is>
          <t>-60…200 °С</t>
        </is>
      </c>
      <c r="G161" s="17" t="inlineStr">
        <is>
          <t>B</t>
        </is>
      </c>
      <c r="H161" s="3" t="inlineStr">
        <is>
          <t>Температура газа на входе в компрессор</t>
        </is>
      </c>
      <c r="I161" s="15" t="inlineStr">
        <is>
          <t>ГПА 64</t>
        </is>
      </c>
      <c r="J161" s="15" t="inlineStr">
        <is>
          <t>АСУ,А и ТМ (КЦ № 6)</t>
        </is>
      </c>
      <c r="K161" s="15" t="n">
        <v>2012</v>
      </c>
      <c r="L161" s="14" t="n">
        <v>36</v>
      </c>
      <c r="M161" s="3" t="n"/>
      <c r="N161" s="70" t="n"/>
    </row>
    <row r="162" ht="33.75" customHeight="1" s="151">
      <c r="A162" s="15">
        <f>IF(B162&lt;&gt;"", COUNTA($B$2:B162), "")</f>
        <v/>
      </c>
      <c r="B162" s="16" t="inlineStr">
        <is>
          <t>Термометр сопротивления</t>
        </is>
      </c>
      <c r="C162" s="17" t="inlineStr">
        <is>
          <t>ТСП 319М.09 Pt100/B/3</t>
        </is>
      </c>
      <c r="D162" s="3" t="inlineStr">
        <is>
          <t>1081</t>
        </is>
      </c>
      <c r="E162" s="14" t="inlineStr">
        <is>
          <t>2010</t>
        </is>
      </c>
      <c r="F162" s="39" t="inlineStr">
        <is>
          <t>-60…180 °С</t>
        </is>
      </c>
      <c r="G162" s="17" t="inlineStr">
        <is>
          <t>B</t>
        </is>
      </c>
      <c r="H162" s="17" t="inlineStr">
        <is>
          <t>Температура электромагнита опорного подшипника со стороны привода</t>
        </is>
      </c>
      <c r="I162" s="15" t="inlineStr">
        <is>
          <t>ГПА 64</t>
        </is>
      </c>
      <c r="J162" s="15" t="inlineStr">
        <is>
          <t>АСУ,А и ТМ (КЦ № 6)</t>
        </is>
      </c>
      <c r="K162" s="15" t="n">
        <v>2012</v>
      </c>
      <c r="L162" s="14" t="n">
        <v>24</v>
      </c>
      <c r="M162" s="3" t="inlineStr">
        <is>
          <t>17.02.2016</t>
        </is>
      </c>
      <c r="N162" s="70" t="inlineStr">
        <is>
          <t>К</t>
        </is>
      </c>
    </row>
    <row r="163" ht="33.75" customHeight="1" s="151">
      <c r="A163" s="15">
        <f>IF(B163&lt;&gt;"", COUNTA($B$2:B163), "")</f>
        <v/>
      </c>
      <c r="B163" s="16" t="inlineStr">
        <is>
          <t>Термометр сопротивления</t>
        </is>
      </c>
      <c r="C163" s="17" t="inlineStr">
        <is>
          <t>ТСП 319М.09 Pt100/B/3</t>
        </is>
      </c>
      <c r="D163" s="3" t="inlineStr">
        <is>
          <t>1082</t>
        </is>
      </c>
      <c r="E163" s="14" t="inlineStr">
        <is>
          <t>2010</t>
        </is>
      </c>
      <c r="F163" s="39" t="inlineStr">
        <is>
          <t>-60…180 °С</t>
        </is>
      </c>
      <c r="G163" s="17" t="inlineStr">
        <is>
          <t>B</t>
        </is>
      </c>
      <c r="H163" s="17" t="inlineStr">
        <is>
          <t>Температура электромагнита опорного подшипника со стороны свободного конца</t>
        </is>
      </c>
      <c r="I163" s="15" t="inlineStr">
        <is>
          <t>ГПА 64</t>
        </is>
      </c>
      <c r="J163" s="15" t="inlineStr">
        <is>
          <t>АСУ,А и ТМ (КЦ № 6)</t>
        </is>
      </c>
      <c r="K163" s="15" t="n">
        <v>2012</v>
      </c>
      <c r="L163" s="14" t="n">
        <v>24</v>
      </c>
      <c r="M163" s="3" t="inlineStr">
        <is>
          <t>17.02.2016</t>
        </is>
      </c>
      <c r="N163" s="70" t="inlineStr">
        <is>
          <t>К</t>
        </is>
      </c>
    </row>
    <row r="164" ht="22.5" customHeight="1" s="151">
      <c r="A164" s="15">
        <f>IF(B164&lt;&gt;"", COUNTA($B$2:B164), "")</f>
        <v/>
      </c>
      <c r="B164" s="16" t="inlineStr">
        <is>
          <t>Термометр сопротивления</t>
        </is>
      </c>
      <c r="C164" s="17" t="inlineStr">
        <is>
          <t>ТСП 319М.09 Pt100/B/3</t>
        </is>
      </c>
      <c r="D164" s="3" t="inlineStr">
        <is>
          <t>1083</t>
        </is>
      </c>
      <c r="E164" s="14" t="inlineStr">
        <is>
          <t>2010</t>
        </is>
      </c>
      <c r="F164" s="39" t="inlineStr">
        <is>
          <t>-60…180 °С</t>
        </is>
      </c>
      <c r="G164" s="17" t="inlineStr">
        <is>
          <t>B</t>
        </is>
      </c>
      <c r="H164" s="17" t="inlineStr">
        <is>
          <t>Температура левого осевого электромагнита</t>
        </is>
      </c>
      <c r="I164" s="15" t="inlineStr">
        <is>
          <t>ГПА 64</t>
        </is>
      </c>
      <c r="J164" s="15" t="inlineStr">
        <is>
          <t>АСУ,А и ТМ (КЦ № 6)</t>
        </is>
      </c>
      <c r="K164" s="15" t="n">
        <v>2012</v>
      </c>
      <c r="L164" s="14" t="n">
        <v>24</v>
      </c>
      <c r="M164" s="3" t="inlineStr">
        <is>
          <t>17.02.2016</t>
        </is>
      </c>
      <c r="N164" s="70" t="inlineStr">
        <is>
          <t>К</t>
        </is>
      </c>
    </row>
    <row r="165" ht="22.5" customHeight="1" s="151">
      <c r="A165" s="15">
        <f>IF(B165&lt;&gt;"", COUNTA($B$2:B165), "")</f>
        <v/>
      </c>
      <c r="B165" s="16" t="inlineStr">
        <is>
          <t>Термометр сопротивления</t>
        </is>
      </c>
      <c r="C165" s="17" t="inlineStr">
        <is>
          <t>ТСП 319М.09 Pt100/B/3</t>
        </is>
      </c>
      <c r="D165" s="3" t="inlineStr">
        <is>
          <t>1084</t>
        </is>
      </c>
      <c r="E165" s="14" t="inlineStr">
        <is>
          <t>2010</t>
        </is>
      </c>
      <c r="F165" s="39" t="inlineStr">
        <is>
          <t>-60…180 °С</t>
        </is>
      </c>
      <c r="G165" s="17" t="inlineStr">
        <is>
          <t>B</t>
        </is>
      </c>
      <c r="H165" s="17" t="inlineStr">
        <is>
          <t>Температура правого осевого электромагнита</t>
        </is>
      </c>
      <c r="I165" s="15" t="inlineStr">
        <is>
          <t>ГПА 64</t>
        </is>
      </c>
      <c r="J165" s="15" t="inlineStr">
        <is>
          <t>АСУ,А и ТМ (КЦ № 6)</t>
        </is>
      </c>
      <c r="K165" s="15" t="n">
        <v>2012</v>
      </c>
      <c r="L165" s="14" t="n">
        <v>24</v>
      </c>
      <c r="M165" s="3" t="inlineStr">
        <is>
          <t>17.02.2016</t>
        </is>
      </c>
      <c r="N165" s="70" t="inlineStr">
        <is>
          <t>К</t>
        </is>
      </c>
    </row>
    <row r="166">
      <c r="A166" s="15">
        <f>IF(B166&lt;&gt;"", COUNTA($B$2:B166), "")</f>
        <v/>
      </c>
      <c r="B166" s="16" t="inlineStr">
        <is>
          <t>Термометр сопротивления</t>
        </is>
      </c>
      <c r="C166" s="17" t="inlineStr">
        <is>
          <t>ТСМ 319М-05.02 50М/В/3</t>
        </is>
      </c>
      <c r="D166" s="3" t="inlineStr">
        <is>
          <t>1387</t>
        </is>
      </c>
      <c r="E166" s="14" t="inlineStr">
        <is>
          <t>2010</t>
        </is>
      </c>
      <c r="F166" s="17" t="inlineStr">
        <is>
          <t>-50…150 °С</t>
        </is>
      </c>
      <c r="G166" s="17" t="inlineStr">
        <is>
          <t>B</t>
        </is>
      </c>
      <c r="H166" s="17" t="inlineStr">
        <is>
          <t>Температура холодного спая в САУ</t>
        </is>
      </c>
      <c r="I166" s="15" t="inlineStr">
        <is>
          <t>ГПА 64</t>
        </is>
      </c>
      <c r="J166" s="15" t="inlineStr">
        <is>
          <t>АСУ,А и ТМ (КЦ № 6)</t>
        </is>
      </c>
      <c r="K166" s="15" t="n">
        <v>2012</v>
      </c>
      <c r="L166" s="15" t="n">
        <v>12</v>
      </c>
      <c r="M166" s="3" t="n"/>
      <c r="N166" s="70" t="n"/>
    </row>
    <row r="167" ht="22.5" customHeight="1" s="151">
      <c r="A167" s="15">
        <f>IF(B167&lt;&gt;"", COUNTA($B$2:B167), "")</f>
        <v/>
      </c>
      <c r="B167" s="16" t="inlineStr">
        <is>
          <t>Термометр сопротивления</t>
        </is>
      </c>
      <c r="C167" s="17" t="inlineStr">
        <is>
          <t>ТСП 012.60 Pt100/B/3</t>
        </is>
      </c>
      <c r="D167" s="3" t="inlineStr">
        <is>
          <t xml:space="preserve">326  </t>
        </is>
      </c>
      <c r="E167" s="15" t="n">
        <v>2011</v>
      </c>
      <c r="F167" s="17" t="inlineStr">
        <is>
          <t>-60…200 °С</t>
        </is>
      </c>
      <c r="G167" s="17" t="inlineStr">
        <is>
          <t>B</t>
        </is>
      </c>
      <c r="H167" s="17" t="inlineStr">
        <is>
          <t>Температура воздуха в  отсеке пожаротушения</t>
        </is>
      </c>
      <c r="I167" s="15" t="inlineStr">
        <is>
          <t>ГПА 64</t>
        </is>
      </c>
      <c r="J167" s="15" t="inlineStr">
        <is>
          <t>АСУ,А и ТМ (КЦ № 6)</t>
        </is>
      </c>
      <c r="K167" s="15" t="n">
        <v>2012</v>
      </c>
      <c r="L167" s="14" t="n">
        <v>36</v>
      </c>
      <c r="M167" s="3" t="inlineStr">
        <is>
          <t>17.02.2016</t>
        </is>
      </c>
      <c r="N167" s="70" t="inlineStr">
        <is>
          <t>К</t>
        </is>
      </c>
    </row>
    <row r="168" ht="22.5" customHeight="1" s="151">
      <c r="A168" s="15">
        <f>IF(B168&lt;&gt;"", COUNTA($B$2:B168), "")</f>
        <v/>
      </c>
      <c r="B168" s="16" t="inlineStr">
        <is>
          <t>Термометр сопротивления</t>
        </is>
      </c>
      <c r="C168" s="17" t="inlineStr">
        <is>
          <t>ТСП 012.60 Pt100/B/3</t>
        </is>
      </c>
      <c r="D168" s="3" t="inlineStr">
        <is>
          <t>504</t>
        </is>
      </c>
      <c r="E168" s="15" t="n">
        <v>2011</v>
      </c>
      <c r="F168" s="17" t="inlineStr">
        <is>
          <t>-60…200 °С</t>
        </is>
      </c>
      <c r="G168" s="17" t="inlineStr">
        <is>
          <t>B</t>
        </is>
      </c>
      <c r="H168" s="17" t="inlineStr">
        <is>
          <t>Температура воздуха в  отсеке пожаротушения</t>
        </is>
      </c>
      <c r="I168" s="15" t="inlineStr">
        <is>
          <t>ГПА 64</t>
        </is>
      </c>
      <c r="J168" s="15" t="inlineStr">
        <is>
          <t>АСУ,А и ТМ (КЦ № 6)</t>
        </is>
      </c>
      <c r="K168" s="15" t="n">
        <v>2012</v>
      </c>
      <c r="L168" s="14" t="n">
        <v>36</v>
      </c>
      <c r="M168" s="3" t="inlineStr">
        <is>
          <t>17.02.2016</t>
        </is>
      </c>
      <c r="N168" s="70" t="inlineStr">
        <is>
          <t>К</t>
        </is>
      </c>
    </row>
    <row r="169" ht="22.5" customHeight="1" s="151">
      <c r="A169" s="15">
        <f>IF(B169&lt;&gt;"", COUNTA($B$2:B169), "")</f>
        <v/>
      </c>
      <c r="B169" s="16" t="inlineStr">
        <is>
          <t>Термометр сопротивления</t>
        </is>
      </c>
      <c r="C169" s="17" t="inlineStr">
        <is>
          <t>ТСП 012.60 Pt100/B/3</t>
        </is>
      </c>
      <c r="D169" s="3" t="inlineStr">
        <is>
          <t>318</t>
        </is>
      </c>
      <c r="E169" s="15" t="n">
        <v>2011</v>
      </c>
      <c r="F169" s="17" t="inlineStr">
        <is>
          <t>-60…200 °С</t>
        </is>
      </c>
      <c r="G169" s="17" t="inlineStr">
        <is>
          <t>B</t>
        </is>
      </c>
      <c r="H169" s="17" t="inlineStr">
        <is>
          <t>Температура обогревателя в  отсеке пожаротушения</t>
        </is>
      </c>
      <c r="I169" s="15" t="inlineStr">
        <is>
          <t>ГПА 64</t>
        </is>
      </c>
      <c r="J169" s="15" t="inlineStr">
        <is>
          <t>АСУ,А и ТМ (КЦ № 6)</t>
        </is>
      </c>
      <c r="K169" s="15" t="n">
        <v>2012</v>
      </c>
      <c r="L169" s="14" t="n">
        <v>36</v>
      </c>
      <c r="M169" s="3" t="n"/>
      <c r="N169" s="70" t="n"/>
    </row>
    <row r="170" ht="22.5" customHeight="1" s="151">
      <c r="A170" s="15">
        <f>IF(B170&lt;&gt;"", COUNTA($B$2:B170), "")</f>
        <v/>
      </c>
      <c r="B170" s="16" t="inlineStr">
        <is>
          <t>Термометр сопротивления</t>
        </is>
      </c>
      <c r="C170" s="17" t="inlineStr">
        <is>
          <t>ТСП 319М.03 Pt100/B/3</t>
        </is>
      </c>
      <c r="D170" s="3" t="inlineStr">
        <is>
          <t>1081</t>
        </is>
      </c>
      <c r="E170" s="15" t="n">
        <v>2011</v>
      </c>
      <c r="F170" s="17" t="inlineStr">
        <is>
          <t>-60…200 °С</t>
        </is>
      </c>
      <c r="G170" s="17" t="inlineStr">
        <is>
          <t>B</t>
        </is>
      </c>
      <c r="H170" s="17" t="inlineStr">
        <is>
          <t>Температура воздуха в блоке автоматики</t>
        </is>
      </c>
      <c r="I170" s="15" t="inlineStr">
        <is>
          <t>ГПА 64</t>
        </is>
      </c>
      <c r="J170" s="15" t="inlineStr">
        <is>
          <t>АСУ,А и ТМ (КЦ № 6)</t>
        </is>
      </c>
      <c r="K170" s="15" t="n">
        <v>2012</v>
      </c>
      <c r="L170" s="14" t="n">
        <v>36</v>
      </c>
      <c r="M170" s="3" t="n"/>
      <c r="N170" s="70" t="n"/>
    </row>
    <row r="171" ht="22.5" customHeight="1" s="151">
      <c r="A171" s="15">
        <f>IF(B171&lt;&gt;"", COUNTA($B$2:B171), "")</f>
        <v/>
      </c>
      <c r="B171" s="16" t="inlineStr">
        <is>
          <t>Термометр сопротивления</t>
        </is>
      </c>
      <c r="C171" s="17" t="inlineStr">
        <is>
          <t>ТСП 012.60Сп Pt100/B/3</t>
        </is>
      </c>
      <c r="D171" s="3" t="inlineStr">
        <is>
          <t>466</t>
        </is>
      </c>
      <c r="E171" s="15" t="n">
        <v>2011</v>
      </c>
      <c r="F171" s="17" t="inlineStr">
        <is>
          <t>-60…200 °С</t>
        </is>
      </c>
      <c r="G171" s="17" t="inlineStr">
        <is>
          <t>B</t>
        </is>
      </c>
      <c r="H171" s="17" t="inlineStr">
        <is>
          <t xml:space="preserve">Температура атмосферного воздуха </t>
        </is>
      </c>
      <c r="I171" s="15" t="inlineStr">
        <is>
          <t>ГПА 64</t>
        </is>
      </c>
      <c r="J171" s="15" t="inlineStr">
        <is>
          <t>АСУ,А и ТМ (КЦ № 6)</t>
        </is>
      </c>
      <c r="K171" s="15" t="n">
        <v>2012</v>
      </c>
      <c r="L171" s="14" t="n">
        <v>36</v>
      </c>
      <c r="M171" s="3" t="inlineStr">
        <is>
          <t>17.02.2016</t>
        </is>
      </c>
      <c r="N171" s="70" t="inlineStr">
        <is>
          <t>К</t>
        </is>
      </c>
    </row>
    <row r="172">
      <c r="A172" s="15">
        <f>IF(B172&lt;&gt;"", COUNTA($B$2:B172), "")</f>
        <v/>
      </c>
      <c r="B172" s="16" t="inlineStr">
        <is>
          <t>Термометр сопротивления</t>
        </is>
      </c>
      <c r="C172" s="17" t="inlineStr">
        <is>
          <t>ТСМ 319М-05.02 50М/B/3</t>
        </is>
      </c>
      <c r="D172" s="3" t="inlineStr">
        <is>
          <t>1306</t>
        </is>
      </c>
      <c r="E172" s="15" t="n">
        <v>2008</v>
      </c>
      <c r="F172" s="17" t="inlineStr">
        <is>
          <t>-60…180 °С</t>
        </is>
      </c>
      <c r="G172" s="17" t="inlineStr">
        <is>
          <t>B</t>
        </is>
      </c>
      <c r="H172" s="17" t="inlineStr">
        <is>
          <t>Температура в контейнере Atlas Copco</t>
        </is>
      </c>
      <c r="I172" s="15" t="inlineStr">
        <is>
          <t>ГПА 64</t>
        </is>
      </c>
      <c r="J172" s="15" t="inlineStr">
        <is>
          <t>АСУ,А и ТМ (КЦ № 6)</t>
        </is>
      </c>
      <c r="K172" s="15" t="n">
        <v>2012</v>
      </c>
      <c r="L172" s="14" t="n">
        <v>36</v>
      </c>
      <c r="M172" s="3" t="n"/>
      <c r="N172" s="70" t="n"/>
    </row>
    <row r="173" ht="22.5" customHeight="1" s="151">
      <c r="A173" s="15">
        <f>IF(B173&lt;&gt;"", COUNTA($B$2:B173), "")</f>
        <v/>
      </c>
      <c r="B173" s="14" t="inlineStr">
        <is>
          <t>Датчик вибрации</t>
        </is>
      </c>
      <c r="C173" s="8" t="inlineStr">
        <is>
          <t>МВ-46Г</t>
        </is>
      </c>
      <c r="D173" s="14" t="n">
        <v>112692</v>
      </c>
      <c r="E173" s="15" t="n">
        <v>2011</v>
      </c>
      <c r="F173" s="14" t="inlineStr">
        <is>
          <t>0…100 мм/с</t>
        </is>
      </c>
      <c r="G173" s="17" t="inlineStr">
        <is>
          <t>B</t>
        </is>
      </c>
      <c r="H173" s="15" t="inlineStr">
        <is>
          <t>Виброскорость в зоне КНД (вертикаль)</t>
        </is>
      </c>
      <c r="I173" s="15" t="inlineStr">
        <is>
          <t>ГПА 64 (комплект)</t>
        </is>
      </c>
      <c r="J173" s="15" t="inlineStr">
        <is>
          <t>АСУ,А и ТМ (КЦ № 6)</t>
        </is>
      </c>
      <c r="K173" s="15" t="n">
        <v>2012</v>
      </c>
      <c r="L173" s="15" t="n">
        <v>12</v>
      </c>
      <c r="M173" s="3" t="n"/>
      <c r="N173" s="70" t="n"/>
    </row>
    <row r="174" ht="22.5" customHeight="1" s="151">
      <c r="A174" s="15">
        <f>IF(B174&lt;&gt;"", COUNTA($B$2:B174), "")</f>
        <v/>
      </c>
      <c r="B174" s="14" t="inlineStr">
        <is>
          <t>Датчик вибрации</t>
        </is>
      </c>
      <c r="C174" s="8" t="inlineStr">
        <is>
          <t>МВ-46Г</t>
        </is>
      </c>
      <c r="D174" s="14" t="n">
        <v>112639</v>
      </c>
      <c r="E174" s="15" t="n">
        <v>2011</v>
      </c>
      <c r="F174" s="14" t="inlineStr">
        <is>
          <t>0…100 мм/с</t>
        </is>
      </c>
      <c r="G174" s="17" t="inlineStr">
        <is>
          <t>B</t>
        </is>
      </c>
      <c r="H174" s="15" t="inlineStr">
        <is>
          <t>Виброскорость в зоне КНД (горизонталь)</t>
        </is>
      </c>
      <c r="I174" s="15" t="inlineStr">
        <is>
          <t>ГПА 64 (комплект)</t>
        </is>
      </c>
      <c r="J174" s="15" t="inlineStr">
        <is>
          <t>АСУ,А и ТМ (КЦ № 6)</t>
        </is>
      </c>
      <c r="K174" s="15" t="n">
        <v>2012</v>
      </c>
      <c r="L174" s="15" t="n">
        <v>12</v>
      </c>
      <c r="M174" s="3" t="n"/>
      <c r="N174" s="70" t="n"/>
    </row>
    <row r="175" ht="22.5" customHeight="1" s="151">
      <c r="A175" s="15">
        <f>IF(B175&lt;&gt;"", COUNTA($B$2:B175), "")</f>
        <v/>
      </c>
      <c r="B175" s="14" t="inlineStr">
        <is>
          <t>Датчик вибрации</t>
        </is>
      </c>
      <c r="C175" s="8" t="inlineStr">
        <is>
          <t>МВ-46Г</t>
        </is>
      </c>
      <c r="D175" s="14" t="n">
        <v>112697</v>
      </c>
      <c r="E175" s="15" t="n">
        <v>2011</v>
      </c>
      <c r="F175" s="14" t="inlineStr">
        <is>
          <t>0…100 мм/с</t>
        </is>
      </c>
      <c r="G175" s="17" t="inlineStr">
        <is>
          <t>B</t>
        </is>
      </c>
      <c r="H175" s="15" t="inlineStr">
        <is>
          <t>Виброскорость в зоне средней опоры (вертикаль)</t>
        </is>
      </c>
      <c r="I175" s="15" t="inlineStr">
        <is>
          <t>ГПА 64 (комплект)</t>
        </is>
      </c>
      <c r="J175" s="15" t="inlineStr">
        <is>
          <t>АСУ,А и ТМ (КЦ № 6)</t>
        </is>
      </c>
      <c r="K175" s="15" t="n">
        <v>2012</v>
      </c>
      <c r="L175" s="15" t="n">
        <v>12</v>
      </c>
      <c r="M175" s="3" t="n"/>
      <c r="N175" s="70" t="n"/>
    </row>
    <row r="176" ht="22.5" customHeight="1" s="151">
      <c r="A176" s="15">
        <f>IF(B176&lt;&gt;"", COUNTA($B$2:B176), "")</f>
        <v/>
      </c>
      <c r="B176" s="14" t="inlineStr">
        <is>
          <t>Датчик вибрации</t>
        </is>
      </c>
      <c r="C176" s="8" t="inlineStr">
        <is>
          <t>МВ-46Г</t>
        </is>
      </c>
      <c r="D176" s="14" t="n">
        <v>111612</v>
      </c>
      <c r="E176" s="15" t="n">
        <v>2011</v>
      </c>
      <c r="F176" s="14" t="inlineStr">
        <is>
          <t>0…100 мм/с</t>
        </is>
      </c>
      <c r="G176" s="17" t="inlineStr">
        <is>
          <t>B</t>
        </is>
      </c>
      <c r="H176" s="15" t="inlineStr">
        <is>
          <t>Виброскорость в зоне средней опоры (горизонталь)</t>
        </is>
      </c>
      <c r="I176" s="15" t="inlineStr">
        <is>
          <t>ГПА 64 (комплект)</t>
        </is>
      </c>
      <c r="J176" s="15" t="inlineStr">
        <is>
          <t>АСУ,А и ТМ (КЦ № 6)</t>
        </is>
      </c>
      <c r="K176" s="15" t="n">
        <v>2012</v>
      </c>
      <c r="L176" s="15" t="n">
        <v>12</v>
      </c>
      <c r="M176" s="3" t="n"/>
      <c r="N176" s="70" t="n"/>
    </row>
    <row r="177" ht="22.5" customHeight="1" s="151">
      <c r="A177" s="15">
        <f>IF(B177&lt;&gt;"", COUNTA($B$2:B177), "")</f>
        <v/>
      </c>
      <c r="B177" s="14" t="inlineStr">
        <is>
          <t>Датчик вибрации</t>
        </is>
      </c>
      <c r="C177" s="8" t="inlineStr">
        <is>
          <t>МВ-46Г</t>
        </is>
      </c>
      <c r="D177" s="14" t="n">
        <v>91505</v>
      </c>
      <c r="E177" s="15" t="n">
        <v>2011</v>
      </c>
      <c r="F177" s="14" t="inlineStr">
        <is>
          <t>0…100 мм/с</t>
        </is>
      </c>
      <c r="G177" s="17" t="inlineStr">
        <is>
          <t>B</t>
        </is>
      </c>
      <c r="H177" s="15" t="inlineStr">
        <is>
          <t>Виброскорость в зоне средней опоры (осевое направление)</t>
        </is>
      </c>
      <c r="I177" s="15" t="inlineStr">
        <is>
          <t>ГПА 64 (комплект)</t>
        </is>
      </c>
      <c r="J177" s="15" t="inlineStr">
        <is>
          <t>АСУ,А и ТМ (КЦ № 6)</t>
        </is>
      </c>
      <c r="K177" s="15" t="n">
        <v>2012</v>
      </c>
      <c r="L177" s="15" t="n">
        <v>12</v>
      </c>
      <c r="M177" s="3" t="n"/>
      <c r="N177" s="70" t="n"/>
    </row>
    <row r="178" ht="22.5" customHeight="1" s="151">
      <c r="A178" s="15">
        <f>IF(B178&lt;&gt;"", COUNTA($B$2:B178), "")</f>
        <v/>
      </c>
      <c r="B178" s="14" t="inlineStr">
        <is>
          <t>Датчик вибрации</t>
        </is>
      </c>
      <c r="C178" s="8" t="inlineStr">
        <is>
          <t>МВ-44-1Г</t>
        </is>
      </c>
      <c r="D178" s="14" t="n">
        <v>120086</v>
      </c>
      <c r="E178" s="15" t="n">
        <v>2011</v>
      </c>
      <c r="F178" s="14" t="inlineStr">
        <is>
          <t>0…100 мм/с</t>
        </is>
      </c>
      <c r="G178" s="17" t="inlineStr">
        <is>
          <t>B</t>
        </is>
      </c>
      <c r="H178" s="15" t="inlineStr">
        <is>
          <t>Виброскорость в зоне СТ (вертикаль)</t>
        </is>
      </c>
      <c r="I178" s="15" t="inlineStr">
        <is>
          <t>ГПА 64 (комплект)</t>
        </is>
      </c>
      <c r="J178" s="15" t="inlineStr">
        <is>
          <t>АСУ,А и ТМ (КЦ № 6)</t>
        </is>
      </c>
      <c r="K178" s="15" t="n">
        <v>2012</v>
      </c>
      <c r="L178" s="15" t="n">
        <v>12</v>
      </c>
      <c r="M178" s="3" t="n"/>
      <c r="N178" s="70" t="n"/>
    </row>
    <row r="179" ht="22.5" customHeight="1" s="151">
      <c r="A179" s="15">
        <f>IF(B179&lt;&gt;"", COUNTA($B$2:B179), "")</f>
        <v/>
      </c>
      <c r="B179" s="14" t="inlineStr">
        <is>
          <t>Датчик вибрации</t>
        </is>
      </c>
      <c r="C179" s="8" t="inlineStr">
        <is>
          <t>МВ-44-1Г</t>
        </is>
      </c>
      <c r="D179" s="14" t="n">
        <v>120071</v>
      </c>
      <c r="E179" s="15" t="n">
        <v>2011</v>
      </c>
      <c r="F179" s="14" t="inlineStr">
        <is>
          <t>0…100 мм/с</t>
        </is>
      </c>
      <c r="G179" s="17" t="inlineStr">
        <is>
          <t>B</t>
        </is>
      </c>
      <c r="H179" s="15" t="inlineStr">
        <is>
          <t>Виброскорость в зоне СТ (горизонталь)</t>
        </is>
      </c>
      <c r="I179" s="15" t="inlineStr">
        <is>
          <t>ГПА 64 (комплект)</t>
        </is>
      </c>
      <c r="J179" s="15" t="inlineStr">
        <is>
          <t>АСУ,А и ТМ (КЦ № 6)</t>
        </is>
      </c>
      <c r="K179" s="15" t="n">
        <v>2012</v>
      </c>
      <c r="L179" s="15" t="n">
        <v>12</v>
      </c>
      <c r="M179" s="3" t="n"/>
      <c r="N179" s="70" t="n"/>
    </row>
    <row r="180">
      <c r="A180" s="15">
        <f>IF(B180&lt;&gt;"", COUNTA($B$2:B180), "")</f>
        <v/>
      </c>
      <c r="B180" s="280" t="inlineStr">
        <is>
          <t>Манометр технический</t>
        </is>
      </c>
      <c r="C180" s="10" t="inlineStr">
        <is>
          <t>МП4-УУ2</t>
        </is>
      </c>
      <c r="D180" s="10" t="n">
        <v>6203</v>
      </c>
      <c r="E180" s="10" t="n">
        <v>2010</v>
      </c>
      <c r="F180" s="10" t="inlineStr">
        <is>
          <t>0…160 кгс/см2</t>
        </is>
      </c>
      <c r="G180" s="17" t="inlineStr">
        <is>
          <t>1,5</t>
        </is>
      </c>
      <c r="H180" s="26" t="inlineStr">
        <is>
          <t>Р газа на входе компрессора</t>
        </is>
      </c>
      <c r="I180" s="8" t="inlineStr">
        <is>
          <t>ГПА 64</t>
        </is>
      </c>
      <c r="J180" s="15" t="inlineStr">
        <is>
          <t>АСУ,А и ТМ (КЦ № 6)</t>
        </is>
      </c>
      <c r="K180" s="15" t="n">
        <v>2012</v>
      </c>
      <c r="L180" s="15" t="n">
        <v>12</v>
      </c>
      <c r="M180" s="3" t="inlineStr">
        <is>
          <t>1К26</t>
        </is>
      </c>
      <c r="N180" s="70" t="inlineStr">
        <is>
          <t>К</t>
        </is>
      </c>
    </row>
    <row r="181">
      <c r="A181" s="15">
        <f>IF(B181&lt;&gt;"", COUNTA($B$2:B181), "")</f>
        <v/>
      </c>
      <c r="B181" s="280" t="inlineStr">
        <is>
          <t>Манометр технический</t>
        </is>
      </c>
      <c r="C181" s="10" t="inlineStr">
        <is>
          <t>МП4-УУ2</t>
        </is>
      </c>
      <c r="D181" s="10" t="n">
        <v>15133</v>
      </c>
      <c r="E181" s="10" t="n">
        <v>2010</v>
      </c>
      <c r="F181" s="10" t="inlineStr">
        <is>
          <t>0…160 кгс/см3</t>
        </is>
      </c>
      <c r="G181" s="17" t="inlineStr">
        <is>
          <t>1,5</t>
        </is>
      </c>
      <c r="H181" s="26" t="inlineStr">
        <is>
          <t>Р газа на выходе компрессора</t>
        </is>
      </c>
      <c r="I181" s="8" t="inlineStr">
        <is>
          <t>ГПА 64</t>
        </is>
      </c>
      <c r="J181" s="15" t="inlineStr">
        <is>
          <t>АСУ,А и ТМ (КЦ № 6)</t>
        </is>
      </c>
      <c r="K181" s="15" t="n">
        <v>2012</v>
      </c>
      <c r="L181" s="15" t="n">
        <v>12</v>
      </c>
      <c r="M181" s="3" t="inlineStr">
        <is>
          <t>1К26</t>
        </is>
      </c>
      <c r="N181" s="70" t="inlineStr">
        <is>
          <t>К</t>
        </is>
      </c>
    </row>
    <row r="182">
      <c r="A182" s="15">
        <f>IF(B182&lt;&gt;"", COUNTA($B$2:B182), "")</f>
        <v/>
      </c>
      <c r="B182" s="280" t="inlineStr">
        <is>
          <t>Манометр технический</t>
        </is>
      </c>
      <c r="C182" s="71" t="inlineStr">
        <is>
          <t>МП4-УУ2</t>
        </is>
      </c>
      <c r="D182" s="10" t="n">
        <v>15566</v>
      </c>
      <c r="E182" s="10" t="n">
        <v>2010</v>
      </c>
      <c r="F182" s="10" t="inlineStr">
        <is>
          <t>0…16 МПа</t>
        </is>
      </c>
      <c r="G182" s="17" t="inlineStr">
        <is>
          <t>1</t>
        </is>
      </c>
      <c r="H182" s="14" t="inlineStr">
        <is>
          <t>Р газа в Ф1</t>
        </is>
      </c>
      <c r="I182" s="8" t="inlineStr">
        <is>
          <t>ГПА 64</t>
        </is>
      </c>
      <c r="J182" s="15" t="inlineStr">
        <is>
          <t>АСУ,А и ТМ (КЦ № 6)</t>
        </is>
      </c>
      <c r="K182" s="15" t="n">
        <v>2012</v>
      </c>
      <c r="L182" s="15" t="n">
        <v>12</v>
      </c>
      <c r="M182" s="22" t="inlineStr">
        <is>
          <t>26ДЯУ</t>
        </is>
      </c>
      <c r="N182" s="70" t="inlineStr">
        <is>
          <t>П</t>
        </is>
      </c>
      <c r="O182" s="66" t="n"/>
    </row>
    <row r="183">
      <c r="A183" s="15">
        <f>IF(B183&lt;&gt;"", COUNTA($B$2:B183), "")</f>
        <v/>
      </c>
      <c r="B183" s="280" t="inlineStr">
        <is>
          <t>Манометр технический</t>
        </is>
      </c>
      <c r="C183" s="71" t="inlineStr">
        <is>
          <t>МП4-УУ2</t>
        </is>
      </c>
      <c r="D183" s="10" t="n">
        <v>212032130</v>
      </c>
      <c r="E183" s="10" t="n">
        <v>2010</v>
      </c>
      <c r="F183" s="10" t="inlineStr">
        <is>
          <t>0…16 МПа</t>
        </is>
      </c>
      <c r="G183" s="17" t="inlineStr">
        <is>
          <t>1,5</t>
        </is>
      </c>
      <c r="H183" s="14" t="inlineStr">
        <is>
          <t>Р газа в Ф2</t>
        </is>
      </c>
      <c r="I183" s="8" t="inlineStr">
        <is>
          <t>ГПА 64</t>
        </is>
      </c>
      <c r="J183" s="15" t="inlineStr">
        <is>
          <t>АСУ,А и ТМ (КЦ № 6)</t>
        </is>
      </c>
      <c r="K183" s="15" t="n">
        <v>2012</v>
      </c>
      <c r="L183" s="15" t="n">
        <v>12</v>
      </c>
      <c r="M183" s="22" t="inlineStr">
        <is>
          <t>26ДЯУ</t>
        </is>
      </c>
      <c r="N183" s="70" t="inlineStr">
        <is>
          <t>П</t>
        </is>
      </c>
      <c r="O183" s="66" t="n"/>
    </row>
    <row r="184">
      <c r="A184" s="15">
        <f>IF(B184&lt;&gt;"", COUNTA($B$2:B184), "")</f>
        <v/>
      </c>
      <c r="B184" s="280" t="inlineStr">
        <is>
          <t>Манометр технический</t>
        </is>
      </c>
      <c r="C184" s="10" t="inlineStr">
        <is>
          <t>МП4-УУ2</t>
        </is>
      </c>
      <c r="D184" s="11" t="inlineStr">
        <is>
          <t>15189</t>
        </is>
      </c>
      <c r="E184" s="10" t="n">
        <v>2010</v>
      </c>
      <c r="F184" s="10" t="inlineStr">
        <is>
          <t>0…0,6 кгс/см2</t>
        </is>
      </c>
      <c r="G184" s="17" t="inlineStr">
        <is>
          <t>1,5</t>
        </is>
      </c>
      <c r="H184" s="26" t="inlineStr">
        <is>
          <t>Р воздуха после РДВ</t>
        </is>
      </c>
      <c r="I184" s="8" t="inlineStr">
        <is>
          <t>ГПА 64</t>
        </is>
      </c>
      <c r="J184" s="15" t="inlineStr">
        <is>
          <t>АСУ,А и ТМ (КЦ № 6)</t>
        </is>
      </c>
      <c r="K184" s="15" t="n">
        <v>2012</v>
      </c>
      <c r="L184" s="15" t="n">
        <v>12</v>
      </c>
      <c r="M184" s="3" t="inlineStr">
        <is>
          <t>1К26</t>
        </is>
      </c>
      <c r="N184" s="70" t="inlineStr">
        <is>
          <t>К</t>
        </is>
      </c>
    </row>
    <row r="185">
      <c r="A185" s="15">
        <f>IF(B185&lt;&gt;"", COUNTA($B$2:B185), "")</f>
        <v/>
      </c>
      <c r="B185" s="280" t="inlineStr">
        <is>
          <t>Манометр технический</t>
        </is>
      </c>
      <c r="C185" s="10" t="inlineStr">
        <is>
          <t>МП4-УУ2</t>
        </is>
      </c>
      <c r="D185" s="11" t="inlineStr">
        <is>
          <t>15248</t>
        </is>
      </c>
      <c r="E185" s="10" t="n">
        <v>2010</v>
      </c>
      <c r="F185" s="10" t="inlineStr">
        <is>
          <t>0…16 кгс/см2</t>
        </is>
      </c>
      <c r="G185" s="17" t="inlineStr">
        <is>
          <t>1,5</t>
        </is>
      </c>
      <c r="H185" s="26" t="inlineStr">
        <is>
          <t>Р воздуха на входе фильтров</t>
        </is>
      </c>
      <c r="I185" s="8" t="inlineStr">
        <is>
          <t>ГПА 64</t>
        </is>
      </c>
      <c r="J185" s="15" t="inlineStr">
        <is>
          <t>АСУ,А и ТМ (КЦ № 6)</t>
        </is>
      </c>
      <c r="K185" s="15" t="n">
        <v>2012</v>
      </c>
      <c r="L185" s="15" t="n">
        <v>12</v>
      </c>
      <c r="M185" s="3" t="inlineStr">
        <is>
          <t>1К26</t>
        </is>
      </c>
      <c r="N185" s="70" t="inlineStr">
        <is>
          <t>К</t>
        </is>
      </c>
    </row>
    <row r="186">
      <c r="A186" s="15">
        <f>IF(B186&lt;&gt;"", COUNTA($B$2:B186), "")</f>
        <v/>
      </c>
      <c r="B186" s="280" t="inlineStr">
        <is>
          <t>Манометр технический</t>
        </is>
      </c>
      <c r="C186" s="10" t="inlineStr">
        <is>
          <t>МП4-УУ2</t>
        </is>
      </c>
      <c r="D186" s="11" t="inlineStr">
        <is>
          <t>15132</t>
        </is>
      </c>
      <c r="E186" s="10" t="n">
        <v>2010</v>
      </c>
      <c r="F186" s="10" t="inlineStr">
        <is>
          <t>0…16 кгс/см2</t>
        </is>
      </c>
      <c r="G186" s="17" t="inlineStr">
        <is>
          <t>1,5</t>
        </is>
      </c>
      <c r="H186" s="26" t="inlineStr">
        <is>
          <t>Р воздуха на выходе фильтров</t>
        </is>
      </c>
      <c r="I186" s="8" t="inlineStr">
        <is>
          <t>ГПА 64</t>
        </is>
      </c>
      <c r="J186" s="15" t="inlineStr">
        <is>
          <t>АСУ,А и ТМ (КЦ № 6)</t>
        </is>
      </c>
      <c r="K186" s="15" t="n">
        <v>2012</v>
      </c>
      <c r="L186" s="15" t="n">
        <v>12</v>
      </c>
      <c r="M186" s="3" t="inlineStr">
        <is>
          <t>1К26</t>
        </is>
      </c>
      <c r="N186" s="70" t="inlineStr">
        <is>
          <t>К</t>
        </is>
      </c>
    </row>
    <row r="187" ht="22.5" customHeight="1" s="151">
      <c r="A187" s="15">
        <f>IF(B187&lt;&gt;"", COUNTA($B$2:B187), "")</f>
        <v/>
      </c>
      <c r="B187" s="280" t="inlineStr">
        <is>
          <t>Манометр технический</t>
        </is>
      </c>
      <c r="C187" s="10" t="inlineStr">
        <is>
          <t>МП4-УУ2</t>
        </is>
      </c>
      <c r="D187" s="11" t="inlineStr">
        <is>
          <t>40071</t>
        </is>
      </c>
      <c r="E187" s="10" t="n">
        <v>2010</v>
      </c>
      <c r="F187" s="10" t="inlineStr">
        <is>
          <t>0…6 кгс/см2</t>
        </is>
      </c>
      <c r="G187" s="17" t="inlineStr">
        <is>
          <t>1,5</t>
        </is>
      </c>
      <c r="H187" s="26" t="inlineStr">
        <is>
          <t>Р масла до фильтров подпитки двигателя</t>
        </is>
      </c>
      <c r="I187" s="8" t="inlineStr">
        <is>
          <t>ГПА 64</t>
        </is>
      </c>
      <c r="J187" s="15" t="inlineStr">
        <is>
          <t>АСУ,А и ТМ (КЦ № 6)</t>
        </is>
      </c>
      <c r="K187" s="15" t="n">
        <v>2012</v>
      </c>
      <c r="L187" s="15" t="n">
        <v>12</v>
      </c>
      <c r="M187" s="3" t="inlineStr">
        <is>
          <t>1К26</t>
        </is>
      </c>
      <c r="N187" s="70" t="inlineStr">
        <is>
          <t>К</t>
        </is>
      </c>
    </row>
    <row r="188" ht="22.5" customHeight="1" s="151">
      <c r="A188" s="15">
        <f>IF(B188&lt;&gt;"", COUNTA($B$2:B188), "")</f>
        <v/>
      </c>
      <c r="B188" s="280" t="inlineStr">
        <is>
          <t>Манометр технический</t>
        </is>
      </c>
      <c r="C188" s="10" t="inlineStr">
        <is>
          <t>МП4-УУ2</t>
        </is>
      </c>
      <c r="D188" s="11" t="inlineStr">
        <is>
          <t>15308</t>
        </is>
      </c>
      <c r="E188" s="10" t="n">
        <v>2010</v>
      </c>
      <c r="F188" s="10" t="inlineStr">
        <is>
          <t>0…6 кгс/см2</t>
        </is>
      </c>
      <c r="G188" s="17" t="inlineStr">
        <is>
          <t>1,5</t>
        </is>
      </c>
      <c r="H188" s="26" t="inlineStr">
        <is>
          <t>Р масла после фильтров подпитки двигателя</t>
        </is>
      </c>
      <c r="I188" s="8" t="inlineStr">
        <is>
          <t>ГПА 64</t>
        </is>
      </c>
      <c r="J188" s="15" t="inlineStr">
        <is>
          <t>АСУ,А и ТМ (КЦ № 6)</t>
        </is>
      </c>
      <c r="K188" s="15" t="n">
        <v>2012</v>
      </c>
      <c r="L188" s="15" t="n">
        <v>12</v>
      </c>
      <c r="M188" s="3" t="inlineStr">
        <is>
          <t>1К26</t>
        </is>
      </c>
      <c r="N188" s="70" t="inlineStr">
        <is>
          <t>К</t>
        </is>
      </c>
    </row>
    <row r="189">
      <c r="A189" s="15">
        <f>IF(B189&lt;&gt;"", COUNTA($B$2:B189), "")</f>
        <v/>
      </c>
      <c r="B189" s="280" t="inlineStr">
        <is>
          <t>Манометр технический</t>
        </is>
      </c>
      <c r="C189" s="10" t="inlineStr">
        <is>
          <t>МП4-УУ2</t>
        </is>
      </c>
      <c r="D189" s="11" t="inlineStr">
        <is>
          <t>15289</t>
        </is>
      </c>
      <c r="E189" s="10" t="n">
        <v>2010</v>
      </c>
      <c r="F189" s="10" t="inlineStr">
        <is>
          <t>0…6 кгс/см2</t>
        </is>
      </c>
      <c r="G189" s="17" t="inlineStr">
        <is>
          <t>1,5</t>
        </is>
      </c>
      <c r="H189" s="26" t="inlineStr">
        <is>
          <t>Р масла до фильтров смазки двигателя</t>
        </is>
      </c>
      <c r="I189" s="8" t="inlineStr">
        <is>
          <t>ГПА 64</t>
        </is>
      </c>
      <c r="J189" s="15" t="inlineStr">
        <is>
          <t>АСУ,А и ТМ (КЦ № 6)</t>
        </is>
      </c>
      <c r="K189" s="15" t="n">
        <v>2012</v>
      </c>
      <c r="L189" s="15" t="n">
        <v>12</v>
      </c>
      <c r="M189" s="3" t="inlineStr">
        <is>
          <t>1К26</t>
        </is>
      </c>
      <c r="N189" s="70" t="inlineStr">
        <is>
          <t>К</t>
        </is>
      </c>
    </row>
    <row r="190" ht="22.5" customHeight="1" s="151">
      <c r="A190" s="15">
        <f>IF(B190&lt;&gt;"", COUNTA($B$2:B190), "")</f>
        <v/>
      </c>
      <c r="B190" s="280" t="inlineStr">
        <is>
          <t>Манометр технический</t>
        </is>
      </c>
      <c r="C190" s="10" t="inlineStr">
        <is>
          <t>МП4-УУ2</t>
        </is>
      </c>
      <c r="D190" s="11" t="inlineStr">
        <is>
          <t>15273</t>
        </is>
      </c>
      <c r="E190" s="10" t="n">
        <v>2010</v>
      </c>
      <c r="F190" s="10" t="inlineStr">
        <is>
          <t>0…6 кгс/см2</t>
        </is>
      </c>
      <c r="G190" s="17" t="inlineStr">
        <is>
          <t>1,5</t>
        </is>
      </c>
      <c r="H190" s="26" t="inlineStr">
        <is>
          <t>Р масла после фильтров смазки двигателя</t>
        </is>
      </c>
      <c r="I190" s="8" t="inlineStr">
        <is>
          <t>ГПА 64</t>
        </is>
      </c>
      <c r="J190" s="15" t="inlineStr">
        <is>
          <t>АСУ,А и ТМ (КЦ № 6)</t>
        </is>
      </c>
      <c r="K190" s="15" t="n">
        <v>2012</v>
      </c>
      <c r="L190" s="15" t="n">
        <v>12</v>
      </c>
      <c r="M190" s="3" t="inlineStr">
        <is>
          <t>1К26</t>
        </is>
      </c>
      <c r="N190" s="70" t="inlineStr">
        <is>
          <t>К</t>
        </is>
      </c>
    </row>
    <row r="191" ht="22.5" customHeight="1" s="151">
      <c r="A191" s="15">
        <f>IF(B191&lt;&gt;"", COUNTA($B$2:B191), "")</f>
        <v/>
      </c>
      <c r="B191" s="280" t="inlineStr">
        <is>
          <t>Манометр технический</t>
        </is>
      </c>
      <c r="C191" s="10" t="inlineStr">
        <is>
          <t>МП4-УУ2</t>
        </is>
      </c>
      <c r="D191" s="11" t="inlineStr">
        <is>
          <t>15191</t>
        </is>
      </c>
      <c r="E191" s="10" t="n">
        <v>2010</v>
      </c>
      <c r="F191" s="10" t="inlineStr">
        <is>
          <t>0…0,6 кгс/см2</t>
        </is>
      </c>
      <c r="G191" s="17" t="inlineStr">
        <is>
          <t>1,5</t>
        </is>
      </c>
      <c r="H191" s="26" t="inlineStr">
        <is>
          <t>Р воздуха смешанного потока после эжектора С1</t>
        </is>
      </c>
      <c r="I191" s="8" t="inlineStr">
        <is>
          <t>ГПА 64</t>
        </is>
      </c>
      <c r="J191" s="15" t="inlineStr">
        <is>
          <t>АСУ,А и ТМ (КЦ № 6)</t>
        </is>
      </c>
      <c r="K191" s="15" t="n">
        <v>2012</v>
      </c>
      <c r="L191" s="15" t="n">
        <v>12</v>
      </c>
      <c r="M191" s="3" t="inlineStr">
        <is>
          <t>1К26</t>
        </is>
      </c>
      <c r="N191" s="70" t="inlineStr">
        <is>
          <t>К</t>
        </is>
      </c>
    </row>
    <row r="192" ht="22.5" customHeight="1" s="151">
      <c r="A192" s="15">
        <f>IF(B192&lt;&gt;"", COUNTA($B$2:B192), "")</f>
        <v/>
      </c>
      <c r="B192" s="280" t="inlineStr">
        <is>
          <t>Манометр технический</t>
        </is>
      </c>
      <c r="C192" s="10" t="inlineStr">
        <is>
          <t>МВП4-УУ2</t>
        </is>
      </c>
      <c r="D192" s="11" t="inlineStr">
        <is>
          <t>15319</t>
        </is>
      </c>
      <c r="E192" s="10" t="n">
        <v>2010</v>
      </c>
      <c r="F192" s="148" t="inlineStr">
        <is>
          <t>-1…1,5 кгс/см2</t>
        </is>
      </c>
      <c r="G192" s="17" t="inlineStr">
        <is>
          <t>1,5</t>
        </is>
      </c>
      <c r="H192" s="26" t="inlineStr">
        <is>
          <t>Р воздуха инжектируемого потока перед фильтром Ф1</t>
        </is>
      </c>
      <c r="I192" s="8" t="inlineStr">
        <is>
          <t>ГПА 64</t>
        </is>
      </c>
      <c r="J192" s="15" t="inlineStr">
        <is>
          <t>АСУ,А и ТМ (КЦ № 6)</t>
        </is>
      </c>
      <c r="K192" s="15" t="n">
        <v>2012</v>
      </c>
      <c r="L192" s="15" t="n">
        <v>12</v>
      </c>
      <c r="M192" s="3" t="inlineStr">
        <is>
          <t>1К26</t>
        </is>
      </c>
      <c r="N192" s="70" t="inlineStr">
        <is>
          <t>К</t>
        </is>
      </c>
    </row>
    <row r="193">
      <c r="A193" s="15">
        <f>IF(B193&lt;&gt;"", COUNTA($B$2:B193), "")</f>
        <v/>
      </c>
      <c r="B193" s="280" t="inlineStr">
        <is>
          <t>Манометр технический</t>
        </is>
      </c>
      <c r="C193" s="10" t="inlineStr">
        <is>
          <t>МП4-УУ2</t>
        </is>
      </c>
      <c r="D193" s="11" t="inlineStr">
        <is>
          <t>15294</t>
        </is>
      </c>
      <c r="E193" s="10" t="n">
        <v>2010</v>
      </c>
      <c r="F193" s="10" t="inlineStr">
        <is>
          <t>0…16 кгс/см2</t>
        </is>
      </c>
      <c r="G193" s="17" t="inlineStr">
        <is>
          <t>1,5</t>
        </is>
      </c>
      <c r="H193" s="26" t="inlineStr">
        <is>
          <t>Р воздуха активного потока перед Др1</t>
        </is>
      </c>
      <c r="I193" s="8" t="inlineStr">
        <is>
          <t>ГПА 64</t>
        </is>
      </c>
      <c r="J193" s="15" t="inlineStr">
        <is>
          <t>АСУ,А и ТМ (КЦ № 6)</t>
        </is>
      </c>
      <c r="K193" s="15" t="n">
        <v>2012</v>
      </c>
      <c r="L193" s="15" t="n">
        <v>12</v>
      </c>
      <c r="M193" s="3" t="inlineStr">
        <is>
          <t>1К26</t>
        </is>
      </c>
      <c r="N193" s="70" t="inlineStr">
        <is>
          <t>К</t>
        </is>
      </c>
    </row>
    <row r="194">
      <c r="A194" s="15">
        <f>IF(B194&lt;&gt;"", COUNTA($B$2:B194), "")</f>
        <v/>
      </c>
      <c r="B194" s="280" t="inlineStr">
        <is>
          <t>Манометр технический</t>
        </is>
      </c>
      <c r="C194" s="10" t="inlineStr">
        <is>
          <t>МП4-УУ2</t>
        </is>
      </c>
      <c r="D194" s="11" t="inlineStr">
        <is>
          <t>15309</t>
        </is>
      </c>
      <c r="E194" s="10" t="n">
        <v>2010</v>
      </c>
      <c r="F194" s="14" t="inlineStr">
        <is>
          <t>0…10 кгс/см2</t>
        </is>
      </c>
      <c r="G194" s="17" t="inlineStr">
        <is>
          <t>1,5</t>
        </is>
      </c>
      <c r="H194" s="26" t="inlineStr">
        <is>
          <t>Р воздуха активного потока после Кр1</t>
        </is>
      </c>
      <c r="I194" s="8" t="inlineStr">
        <is>
          <t>ГПА 64</t>
        </is>
      </c>
      <c r="J194" s="15" t="inlineStr">
        <is>
          <t>АСУ,А и ТМ (КЦ № 6)</t>
        </is>
      </c>
      <c r="K194" s="15" t="n">
        <v>2012</v>
      </c>
      <c r="L194" s="15" t="n">
        <v>12</v>
      </c>
      <c r="M194" s="3" t="inlineStr">
        <is>
          <t>1К26</t>
        </is>
      </c>
      <c r="N194" s="70" t="inlineStr">
        <is>
          <t>К</t>
        </is>
      </c>
    </row>
    <row r="195" ht="22.5" customHeight="1" s="151">
      <c r="A195" s="15">
        <f>IF(B195&lt;&gt;"", COUNTA($B$2:B195), "")</f>
        <v/>
      </c>
      <c r="B195" s="280" t="inlineStr">
        <is>
          <t>Манометр технический</t>
        </is>
      </c>
      <c r="C195" s="10" t="inlineStr">
        <is>
          <t>МВП4-УУ2</t>
        </is>
      </c>
      <c r="D195" s="11" t="inlineStr">
        <is>
          <t>15279</t>
        </is>
      </c>
      <c r="E195" s="10" t="n">
        <v>2010</v>
      </c>
      <c r="F195" s="148" t="inlineStr">
        <is>
          <t>-1…1,5 кгс/см2</t>
        </is>
      </c>
      <c r="G195" s="17" t="inlineStr">
        <is>
          <t>1,5</t>
        </is>
      </c>
      <c r="H195" s="26" t="inlineStr">
        <is>
          <t>Р воздуха инжектируемого потока после фильтра Ф1</t>
        </is>
      </c>
      <c r="I195" s="8" t="inlineStr">
        <is>
          <t>ГПА 64</t>
        </is>
      </c>
      <c r="J195" s="15" t="inlineStr">
        <is>
          <t>АСУ,А и ТМ (КЦ № 6)</t>
        </is>
      </c>
      <c r="K195" s="15" t="n">
        <v>2012</v>
      </c>
      <c r="L195" s="15" t="n">
        <v>12</v>
      </c>
      <c r="M195" s="3" t="inlineStr">
        <is>
          <t>1К26</t>
        </is>
      </c>
      <c r="N195" s="70" t="inlineStr">
        <is>
          <t>К</t>
        </is>
      </c>
    </row>
    <row r="196">
      <c r="A196" s="15">
        <f>IF(B196&lt;&gt;"", COUNTA($B$2:B196), "")</f>
        <v/>
      </c>
      <c r="B196" s="280" t="inlineStr">
        <is>
          <t>Манометр технический</t>
        </is>
      </c>
      <c r="C196" s="10" t="inlineStr">
        <is>
          <t>МП3-УТ2</t>
        </is>
      </c>
      <c r="D196" s="10" t="n">
        <v>1322170</v>
      </c>
      <c r="E196" s="10" t="n"/>
      <c r="F196" s="10" t="inlineStr">
        <is>
          <t>0…16 кгс/см2</t>
        </is>
      </c>
      <c r="G196" s="17" t="inlineStr">
        <is>
          <t>1,5</t>
        </is>
      </c>
      <c r="H196" s="26" t="inlineStr">
        <is>
          <t xml:space="preserve">Р воздуха в ресивере </t>
        </is>
      </c>
      <c r="I196" s="8" t="inlineStr">
        <is>
          <t>ГПА 64</t>
        </is>
      </c>
      <c r="J196" s="15" t="inlineStr">
        <is>
          <t>АСУ,А и ТМ (КЦ № 6)</t>
        </is>
      </c>
      <c r="K196" s="15" t="n">
        <v>2012</v>
      </c>
      <c r="L196" s="15" t="n">
        <v>12</v>
      </c>
      <c r="M196" s="3" t="inlineStr">
        <is>
          <t>26ДЯУ</t>
        </is>
      </c>
      <c r="N196" s="70" t="inlineStr">
        <is>
          <t>П</t>
        </is>
      </c>
      <c r="O196" s="66" t="n"/>
    </row>
    <row r="197" ht="22.5" customHeight="1" s="151">
      <c r="A197" s="15">
        <f>IF(B197&lt;&gt;"", COUNTA($B$2:B197), "")</f>
        <v/>
      </c>
      <c r="B197" s="26" t="inlineStr">
        <is>
          <t>Термометр манометрический</t>
        </is>
      </c>
      <c r="C197" s="10" t="inlineStr">
        <is>
          <t>manotherm</t>
        </is>
      </c>
      <c r="D197" s="10" t="n">
        <v>111502125</v>
      </c>
      <c r="E197" s="10" t="n">
        <v>2010</v>
      </c>
      <c r="F197" s="26" t="inlineStr">
        <is>
          <t>­20…80°С</t>
        </is>
      </c>
      <c r="G197" s="17" t="inlineStr">
        <is>
          <t>B</t>
        </is>
      </c>
      <c r="H197" s="26" t="inlineStr">
        <is>
          <t>Тг на входе в нагнетатель</t>
        </is>
      </c>
      <c r="I197" s="8" t="inlineStr">
        <is>
          <t>ГПА 64</t>
        </is>
      </c>
      <c r="J197" s="15" t="inlineStr">
        <is>
          <t>АСУ,А и ТМ (КЦ № 6)</t>
        </is>
      </c>
      <c r="K197" s="15" t="n">
        <v>2012</v>
      </c>
      <c r="L197" s="15" t="n">
        <v>24</v>
      </c>
      <c r="M197" s="3" t="inlineStr">
        <is>
          <t>3К25</t>
        </is>
      </c>
      <c r="N197" s="70" t="inlineStr">
        <is>
          <t>К</t>
        </is>
      </c>
    </row>
    <row r="198" ht="22.5" customHeight="1" s="151">
      <c r="A198" s="15">
        <f>IF(B198&lt;&gt;"", COUNTA($B$2:B198), "")</f>
        <v/>
      </c>
      <c r="B198" s="26" t="inlineStr">
        <is>
          <t>Термометр манометрический</t>
        </is>
      </c>
      <c r="C198" s="10" t="inlineStr">
        <is>
          <t>manotherm</t>
        </is>
      </c>
      <c r="D198" s="11" t="inlineStr">
        <is>
          <t>111502122</t>
        </is>
      </c>
      <c r="E198" s="10" t="n">
        <v>2010</v>
      </c>
      <c r="F198" s="26" t="inlineStr">
        <is>
          <t>0…100°С</t>
        </is>
      </c>
      <c r="G198" s="17" t="inlineStr">
        <is>
          <t>B</t>
        </is>
      </c>
      <c r="H198" s="26" t="inlineStr">
        <is>
          <t>Тг на выходе нагнетателя</t>
        </is>
      </c>
      <c r="I198" s="8" t="inlineStr">
        <is>
          <t>ГПА 64</t>
        </is>
      </c>
      <c r="J198" s="15" t="inlineStr">
        <is>
          <t>АСУ,А и ТМ (КЦ № 6)</t>
        </is>
      </c>
      <c r="K198" s="15" t="n">
        <v>2012</v>
      </c>
      <c r="L198" s="15" t="n">
        <v>24</v>
      </c>
      <c r="M198" s="3" t="inlineStr">
        <is>
          <t>3К25</t>
        </is>
      </c>
      <c r="N198" s="70" t="inlineStr">
        <is>
          <t>К</t>
        </is>
      </c>
    </row>
    <row r="199">
      <c r="A199" s="15">
        <f>IF(B199&lt;&gt;"", COUNTA($B$2:B199), "")</f>
        <v/>
      </c>
      <c r="B199" s="38" t="inlineStr">
        <is>
          <t>Термометр сопротивления</t>
        </is>
      </c>
      <c r="C199" s="39" t="inlineStr">
        <is>
          <t>ТСП 012.60 Pt100/B/3</t>
        </is>
      </c>
      <c r="D199" s="40" t="inlineStr">
        <is>
          <t>313</t>
        </is>
      </c>
      <c r="E199" s="41" t="n">
        <v>2011</v>
      </c>
      <c r="F199" s="17" t="inlineStr">
        <is>
          <t>-60…200 °С</t>
        </is>
      </c>
      <c r="G199" s="39" t="inlineStr">
        <is>
          <t>B</t>
        </is>
      </c>
      <c r="H199" s="39" t="inlineStr">
        <is>
          <t>Температура воздуха продувки</t>
        </is>
      </c>
      <c r="I199" s="41" t="inlineStr">
        <is>
          <t>ГПА 64</t>
        </is>
      </c>
      <c r="J199" s="41" t="inlineStr">
        <is>
          <t>АСУ,А и ТМ (КЦ № 6)</t>
        </is>
      </c>
      <c r="K199" s="41" t="n">
        <v>2012</v>
      </c>
      <c r="L199" s="48" t="n"/>
      <c r="M199" s="33" t="n"/>
      <c r="N199" s="43" t="n"/>
    </row>
    <row r="200" s="151">
      <c r="A200" s="15">
        <f>IF(B200&lt;&gt;"", COUNTA($B$2:B200), "")</f>
        <v/>
      </c>
      <c r="B200" s="280" t="inlineStr">
        <is>
          <t>Контроль загазованности</t>
        </is>
      </c>
      <c r="C200" s="10" t="inlineStr">
        <is>
          <t>Det-Tronics (PIRECL 21M)</t>
        </is>
      </c>
      <c r="D200" s="10" t="n">
        <v>1105066</v>
      </c>
      <c r="E200" s="41" t="n">
        <v>2011</v>
      </c>
      <c r="F200" s="33" t="n"/>
      <c r="G200" s="33" t="n"/>
      <c r="H200" s="15" t="inlineStr">
        <is>
          <t>Над нагнетателем (QT 201)</t>
        </is>
      </c>
      <c r="I200" s="15" t="inlineStr">
        <is>
          <t>ГПА 64</t>
        </is>
      </c>
      <c r="J200" s="15" t="inlineStr">
        <is>
          <t>АСУ,А и ТМ (КЦ № 6)</t>
        </is>
      </c>
      <c r="K200" s="15" t="n">
        <v>2012</v>
      </c>
      <c r="L200" s="14" t="n"/>
      <c r="M200" s="33" t="n"/>
      <c r="N200" s="70" t="n"/>
    </row>
    <row r="201" s="151">
      <c r="A201" s="15">
        <f>IF(B201&lt;&gt;"", COUNTA($B$2:B201), "")</f>
        <v/>
      </c>
      <c r="B201" s="280" t="inlineStr">
        <is>
          <t>Контроль загазованности</t>
        </is>
      </c>
      <c r="C201" s="10" t="inlineStr">
        <is>
          <t>Det-Tronics (PIRECL 21M)</t>
        </is>
      </c>
      <c r="D201" s="10" t="n">
        <v>1105029</v>
      </c>
      <c r="E201" s="41" t="n">
        <v>2011</v>
      </c>
      <c r="F201" s="33" t="n"/>
      <c r="G201" s="33" t="n"/>
      <c r="H201" s="15" t="inlineStr">
        <is>
          <t>Над подогревателем буф.газа (QT 202)</t>
        </is>
      </c>
      <c r="I201" s="15" t="inlineStr">
        <is>
          <t>ГПА 64</t>
        </is>
      </c>
      <c r="J201" s="15" t="inlineStr">
        <is>
          <t>АСУ,А и ТМ (КЦ № 6)</t>
        </is>
      </c>
      <c r="K201" s="15" t="n">
        <v>2012</v>
      </c>
      <c r="L201" s="14" t="n"/>
      <c r="M201" s="33" t="n"/>
      <c r="N201" s="33" t="n"/>
    </row>
    <row r="202" s="151">
      <c r="A202" s="210">
        <f>IF(B202&lt;&gt;"", COUNTA($B$2:B202), "")</f>
        <v/>
      </c>
      <c r="B202" s="213" t="inlineStr">
        <is>
          <t>Контроль загазованности</t>
        </is>
      </c>
      <c r="C202" s="207" t="inlineStr">
        <is>
          <t>ОГС-ПГП/М-СН4-А</t>
        </is>
      </c>
      <c r="D202" s="207" t="n">
        <v>25523</v>
      </c>
      <c r="E202" s="214" t="n">
        <v>2025</v>
      </c>
      <c r="F202" s="209" t="n"/>
      <c r="G202" s="209" t="n"/>
      <c r="H202" s="210" t="inlineStr">
        <is>
          <t>Напротив масляной консоли (QT 203)</t>
        </is>
      </c>
      <c r="I202" s="210" t="inlineStr">
        <is>
          <t>ГПА 64</t>
        </is>
      </c>
      <c r="J202" s="210" t="inlineStr">
        <is>
          <t>АСУ,А и ТМ (КЦ № 6)</t>
        </is>
      </c>
      <c r="K202" s="210" t="n">
        <v>2012</v>
      </c>
      <c r="L202" s="211" t="n"/>
      <c r="M202" s="209" t="n"/>
      <c r="N202" s="209" t="n"/>
    </row>
    <row r="203">
      <c r="A203" s="15">
        <f>IF(B203&lt;&gt;"", COUNTA($B$2:B203), "")</f>
        <v/>
      </c>
      <c r="B203" s="280" t="inlineStr">
        <is>
          <t>Контроль загазованности</t>
        </is>
      </c>
      <c r="C203" s="10" t="inlineStr">
        <is>
          <t>Det-Tronics (PIRECL 21M)</t>
        </is>
      </c>
      <c r="D203" s="10" t="n">
        <v>1105065</v>
      </c>
      <c r="E203" s="15" t="n">
        <v>2011</v>
      </c>
      <c r="F203" s="33" t="n"/>
      <c r="G203" s="33" t="n"/>
      <c r="H203" s="15" t="inlineStr">
        <is>
          <t>Под КШТ (QT100)</t>
        </is>
      </c>
      <c r="I203" s="15" t="inlineStr">
        <is>
          <t>ГПА 64</t>
        </is>
      </c>
      <c r="J203" s="15" t="inlineStr">
        <is>
          <t>АСУ,А и ТМ (КЦ № 6)</t>
        </is>
      </c>
      <c r="K203" s="15" t="n">
        <v>2012</v>
      </c>
      <c r="L203" s="14" t="n"/>
      <c r="M203" s="33" t="n"/>
      <c r="N203" s="33" t="n"/>
    </row>
    <row r="204" ht="22.5" customHeight="1" s="151">
      <c r="A204" s="15">
        <f>IF(B204&lt;&gt;"", COUNTA($B$2:B204), "")</f>
        <v/>
      </c>
      <c r="B204" s="280" t="inlineStr">
        <is>
          <t>Извещатель тепловой пожарный</t>
        </is>
      </c>
      <c r="C204" s="10" t="inlineStr">
        <is>
          <t>12-х27/21-000</t>
        </is>
      </c>
      <c r="D204" s="10" t="n">
        <v>1060</v>
      </c>
      <c r="E204" s="15" t="n">
        <v>2011</v>
      </c>
      <c r="F204" s="17" t="inlineStr">
        <is>
          <t>-60…200 °С</t>
        </is>
      </c>
      <c r="G204" s="33" t="n"/>
      <c r="H204" s="15" t="inlineStr">
        <is>
          <t>Под КШТ (ВТК 101)</t>
        </is>
      </c>
      <c r="I204" s="15" t="inlineStr">
        <is>
          <t>ГПА 64</t>
        </is>
      </c>
      <c r="J204" s="15" t="inlineStr">
        <is>
          <t>АСУ,А и ТМ (КЦ № 6)</t>
        </is>
      </c>
      <c r="K204" s="15" t="n">
        <v>2012</v>
      </c>
      <c r="L204" s="33" t="n"/>
      <c r="M204" s="33" t="n"/>
      <c r="N204" s="33" t="n"/>
    </row>
    <row r="205" ht="22.5" customHeight="1" s="151">
      <c r="A205" s="15">
        <f>IF(B205&lt;&gt;"", COUNTA($B$2:B205), "")</f>
        <v/>
      </c>
      <c r="B205" s="280" t="inlineStr">
        <is>
          <t>Извещатель тепловой пожарный</t>
        </is>
      </c>
      <c r="C205" s="10" t="inlineStr">
        <is>
          <t>12-х27/21-000</t>
        </is>
      </c>
      <c r="D205" s="10" t="n">
        <v>1047</v>
      </c>
      <c r="E205" s="15" t="n">
        <v>2011</v>
      </c>
      <c r="F205" s="17" t="inlineStr">
        <is>
          <t>-60…200 °С</t>
        </is>
      </c>
      <c r="G205" s="33" t="n"/>
      <c r="H205" s="15" t="inlineStr">
        <is>
          <t>Под КШТ (ВТК 102)</t>
        </is>
      </c>
      <c r="I205" s="15" t="inlineStr">
        <is>
          <t>ГПА 64</t>
        </is>
      </c>
      <c r="J205" s="15" t="inlineStr">
        <is>
          <t>АСУ,А и ТМ (КЦ № 6)</t>
        </is>
      </c>
      <c r="K205" s="15" t="n">
        <v>2012</v>
      </c>
      <c r="L205" s="33" t="n"/>
      <c r="M205" s="33" t="n"/>
      <c r="N205" s="33" t="n"/>
    </row>
    <row r="206" ht="22.5" customHeight="1" s="151">
      <c r="A206" s="15">
        <f>IF(B206&lt;&gt;"", COUNTA($B$2:B206), "")</f>
        <v/>
      </c>
      <c r="B206" s="280" t="inlineStr">
        <is>
          <t>Извещатель тепловой пожарный</t>
        </is>
      </c>
      <c r="C206" s="10" t="inlineStr">
        <is>
          <t>12-х27/21-000</t>
        </is>
      </c>
      <c r="D206" s="10" t="n">
        <v>1022</v>
      </c>
      <c r="E206" s="15" t="n">
        <v>2011</v>
      </c>
      <c r="F206" s="17" t="inlineStr">
        <is>
          <t>-60…200 °С</t>
        </is>
      </c>
      <c r="G206" s="33" t="n"/>
      <c r="H206" s="15" t="inlineStr">
        <is>
          <t>Под КШТ (ВТК 103)</t>
        </is>
      </c>
      <c r="I206" s="15" t="inlineStr">
        <is>
          <t>ГПА 64</t>
        </is>
      </c>
      <c r="J206" s="15" t="inlineStr">
        <is>
          <t>АСУ,А и ТМ (КЦ № 6)</t>
        </is>
      </c>
      <c r="K206" s="15" t="n">
        <v>2012</v>
      </c>
      <c r="L206" s="33" t="n"/>
      <c r="M206" s="33" t="n"/>
      <c r="N206" s="33" t="n"/>
    </row>
    <row r="207" ht="22.5" customHeight="1" s="151">
      <c r="A207" s="15">
        <f>IF(B207&lt;&gt;"", COUNTA($B$2:B207), "")</f>
        <v/>
      </c>
      <c r="B207" s="280" t="inlineStr">
        <is>
          <t>Извещатель тепловой пожарный</t>
        </is>
      </c>
      <c r="C207" s="10" t="inlineStr">
        <is>
          <t>12-х27/21-000</t>
        </is>
      </c>
      <c r="D207" s="10" t="n">
        <v>1045</v>
      </c>
      <c r="E207" s="15" t="n">
        <v>2011</v>
      </c>
      <c r="F207" s="17" t="inlineStr">
        <is>
          <t>-60…200 °С</t>
        </is>
      </c>
      <c r="G207" s="33" t="n"/>
      <c r="H207" s="15" t="inlineStr">
        <is>
          <t>Под КШТ (ВТК 104)</t>
        </is>
      </c>
      <c r="I207" s="15" t="inlineStr">
        <is>
          <t>ГПА 64</t>
        </is>
      </c>
      <c r="J207" s="15" t="inlineStr">
        <is>
          <t>АСУ,А и ТМ (КЦ № 6)</t>
        </is>
      </c>
      <c r="K207" s="15" t="n">
        <v>2012</v>
      </c>
      <c r="L207" s="33" t="n"/>
      <c r="M207" s="33" t="n"/>
      <c r="N207" s="33" t="n"/>
    </row>
    <row r="208">
      <c r="A208" s="15">
        <f>IF(B208&lt;&gt;"", COUNTA($B$2:B208), "")</f>
        <v/>
      </c>
      <c r="B208" s="280" t="inlineStr">
        <is>
          <t>Датчик пламени</t>
        </is>
      </c>
      <c r="C208" s="10" t="inlineStr">
        <is>
          <t>ИП330/3-20-А1</t>
        </is>
      </c>
      <c r="D208" s="11" t="inlineStr">
        <is>
          <t>000972</t>
        </is>
      </c>
      <c r="E208" s="15" t="n">
        <v>2011</v>
      </c>
      <c r="F208" s="33" t="n"/>
      <c r="G208" s="33" t="n"/>
      <c r="H208" s="10" t="inlineStr">
        <is>
          <t>Над входом слева (BTF201)</t>
        </is>
      </c>
      <c r="I208" s="15" t="inlineStr">
        <is>
          <t>ГПА 64</t>
        </is>
      </c>
      <c r="J208" s="15" t="inlineStr">
        <is>
          <t>АСУ,А и ТМ (КЦ № 6)</t>
        </is>
      </c>
      <c r="K208" s="15" t="n">
        <v>2012</v>
      </c>
      <c r="L208" s="33" t="n"/>
      <c r="M208" s="33" t="n"/>
      <c r="N208" s="33" t="n"/>
    </row>
    <row r="209">
      <c r="A209" s="15">
        <f>IF(B209&lt;&gt;"", COUNTA($B$2:B209), "")</f>
        <v/>
      </c>
      <c r="B209" s="280" t="inlineStr">
        <is>
          <t>Датчик пламени</t>
        </is>
      </c>
      <c r="C209" s="10" t="inlineStr">
        <is>
          <t>ИП330/3-20-А1</t>
        </is>
      </c>
      <c r="D209" s="11" t="inlineStr">
        <is>
          <t>000995</t>
        </is>
      </c>
      <c r="E209" s="15" t="n">
        <v>2011</v>
      </c>
      <c r="F209" s="33" t="n"/>
      <c r="G209" s="33" t="n"/>
      <c r="H209" s="10" t="inlineStr">
        <is>
          <t>Над входом с АВОг (BTF204)</t>
        </is>
      </c>
      <c r="I209" s="15" t="inlineStr">
        <is>
          <t>ГПА 64</t>
        </is>
      </c>
      <c r="J209" s="15" t="inlineStr">
        <is>
          <t>АСУ,А и ТМ (КЦ № 6)</t>
        </is>
      </c>
      <c r="K209" s="15" t="n">
        <v>2012</v>
      </c>
      <c r="L209" s="33" t="n"/>
      <c r="M209" s="33" t="n"/>
      <c r="N209" s="33" t="n"/>
    </row>
    <row r="210">
      <c r="A210" s="15">
        <f>IF(B210&lt;&gt;"", COUNTA($B$2:B210), "")</f>
        <v/>
      </c>
      <c r="B210" s="280" t="inlineStr">
        <is>
          <t>Датчик пламени</t>
        </is>
      </c>
      <c r="C210" s="10" t="inlineStr">
        <is>
          <t>ИП330/3-20-А1</t>
        </is>
      </c>
      <c r="D210" s="11" t="inlineStr">
        <is>
          <t>000973</t>
        </is>
      </c>
      <c r="E210" s="15" t="n">
        <v>2011</v>
      </c>
      <c r="F210" s="33" t="n"/>
      <c r="G210" s="33" t="n"/>
      <c r="H210" s="10" t="inlineStr">
        <is>
          <t>На леснице слева (BTF202)</t>
        </is>
      </c>
      <c r="I210" s="15" t="inlineStr">
        <is>
          <t>ГПА 64</t>
        </is>
      </c>
      <c r="J210" s="15" t="inlineStr">
        <is>
          <t>АСУ,А и ТМ (КЦ № 6)</t>
        </is>
      </c>
      <c r="K210" s="15" t="n">
        <v>2012</v>
      </c>
      <c r="L210" s="33" t="n"/>
      <c r="M210" s="33" t="n"/>
      <c r="N210" s="33" t="n"/>
    </row>
    <row r="211">
      <c r="A211" s="15">
        <f>IF(B211&lt;&gt;"", COUNTA($B$2:B211), "")</f>
        <v/>
      </c>
      <c r="B211" s="280" t="inlineStr">
        <is>
          <t>Датчик пламени</t>
        </is>
      </c>
      <c r="C211" s="10" t="inlineStr">
        <is>
          <t>ИП330/3-20-А1</t>
        </is>
      </c>
      <c r="D211" s="11" t="inlineStr">
        <is>
          <t>001002</t>
        </is>
      </c>
      <c r="E211" s="15" t="n">
        <v>2011</v>
      </c>
      <c r="F211" s="33" t="n"/>
      <c r="G211" s="33" t="n"/>
      <c r="H211" s="10" t="inlineStr">
        <is>
          <t>На леснице справа (BTF203)</t>
        </is>
      </c>
      <c r="I211" s="15" t="inlineStr">
        <is>
          <t>ГПА 64</t>
        </is>
      </c>
      <c r="J211" s="15" t="inlineStr">
        <is>
          <t>АСУ,А и ТМ (КЦ № 6)</t>
        </is>
      </c>
      <c r="K211" s="15" t="n">
        <v>2012</v>
      </c>
      <c r="L211" s="33" t="n"/>
      <c r="M211" s="33" t="n"/>
      <c r="N211" s="33" t="n"/>
    </row>
    <row r="212">
      <c r="A212" s="15">
        <f>IF(B212&lt;&gt;"", COUNTA($B$2:B212), "")</f>
        <v/>
      </c>
      <c r="B212" s="280" t="inlineStr">
        <is>
          <t>Датчик пламени</t>
        </is>
      </c>
      <c r="C212" s="10" t="inlineStr">
        <is>
          <t>ИП330/3-20-А1</t>
        </is>
      </c>
      <c r="D212" s="11" t="inlineStr">
        <is>
          <t>000988</t>
        </is>
      </c>
      <c r="E212" s="15" t="n">
        <v>2011</v>
      </c>
      <c r="F212" s="33" t="n"/>
      <c r="G212" s="33" t="n"/>
      <c r="H212" s="10" t="inlineStr">
        <is>
          <t>Над т.г. (BTF207)</t>
        </is>
      </c>
      <c r="I212" s="15" t="inlineStr">
        <is>
          <t>ГПА 64</t>
        </is>
      </c>
      <c r="J212" s="15" t="inlineStr">
        <is>
          <t>АСУ,А и ТМ (КЦ № 6)</t>
        </is>
      </c>
      <c r="K212" s="15" t="n">
        <v>2012</v>
      </c>
      <c r="L212" s="33" t="n"/>
      <c r="M212" s="33" t="n"/>
      <c r="N212" s="33" t="n"/>
    </row>
    <row r="213">
      <c r="A213" s="15">
        <f>IF(B213&lt;&gt;"", COUNTA($B$2:B213), "")</f>
        <v/>
      </c>
      <c r="B213" s="280" t="inlineStr">
        <is>
          <t>Датчик пламени</t>
        </is>
      </c>
      <c r="C213" s="10" t="inlineStr">
        <is>
          <t>ИП330/1-20-А1</t>
        </is>
      </c>
      <c r="D213" s="11" t="inlineStr">
        <is>
          <t>001349</t>
        </is>
      </c>
      <c r="E213" s="15" t="n">
        <v>2011</v>
      </c>
      <c r="F213" s="33" t="n"/>
      <c r="G213" s="33" t="n"/>
      <c r="H213" s="10" t="inlineStr">
        <is>
          <t>Под КШТ (BTF102)</t>
        </is>
      </c>
      <c r="I213" s="15" t="inlineStr">
        <is>
          <t>ГПА 64</t>
        </is>
      </c>
      <c r="J213" s="15" t="inlineStr">
        <is>
          <t>АСУ,А и ТМ (КЦ № 6)</t>
        </is>
      </c>
      <c r="K213" s="15" t="n">
        <v>2012</v>
      </c>
      <c r="L213" s="33" t="n"/>
      <c r="M213" s="33" t="n"/>
      <c r="N213" s="33" t="n"/>
    </row>
    <row r="214">
      <c r="A214" s="15">
        <f>IF(B214&lt;&gt;"", COUNTA($B$2:B214), "")</f>
        <v/>
      </c>
      <c r="B214" s="280" t="inlineStr">
        <is>
          <t>Датчик пламени</t>
        </is>
      </c>
      <c r="C214" s="10" t="inlineStr">
        <is>
          <t>ИП330/1-20-А1</t>
        </is>
      </c>
      <c r="D214" s="11" t="inlineStr">
        <is>
          <t>001343</t>
        </is>
      </c>
      <c r="E214" s="15" t="n">
        <v>2011</v>
      </c>
      <c r="F214" s="33" t="n"/>
      <c r="G214" s="33" t="n"/>
      <c r="H214" s="10" t="inlineStr">
        <is>
          <t>Под КШТ (BTF101)</t>
        </is>
      </c>
      <c r="I214" s="15" t="inlineStr">
        <is>
          <t>ГПА 64</t>
        </is>
      </c>
      <c r="J214" s="15" t="inlineStr">
        <is>
          <t>АСУ,А и ТМ (КЦ № 6)</t>
        </is>
      </c>
      <c r="K214" s="15" t="n">
        <v>2012</v>
      </c>
      <c r="L214" s="33" t="n"/>
      <c r="M214" s="33" t="n"/>
      <c r="N214" s="33" t="n"/>
    </row>
    <row r="215">
      <c r="A215" s="15">
        <f>IF(B215&lt;&gt;"", COUNTA($B$2:B215), "")</f>
        <v/>
      </c>
      <c r="B215" s="280" t="inlineStr">
        <is>
          <t>Датчик пламени</t>
        </is>
      </c>
      <c r="C215" s="10" t="inlineStr">
        <is>
          <t>ИП330/3-20-А1</t>
        </is>
      </c>
      <c r="D215" s="11" t="inlineStr">
        <is>
          <t>000716</t>
        </is>
      </c>
      <c r="E215" s="15" t="n">
        <v>2011</v>
      </c>
      <c r="F215" s="33" t="n"/>
      <c r="G215" s="33" t="n"/>
      <c r="H215" s="10" t="inlineStr">
        <is>
          <t>Масл.консоль (BTF211)</t>
        </is>
      </c>
      <c r="I215" s="15" t="inlineStr">
        <is>
          <t>ГПА 64</t>
        </is>
      </c>
      <c r="J215" s="15" t="inlineStr">
        <is>
          <t>АСУ,А и ТМ (КЦ № 6)</t>
        </is>
      </c>
      <c r="K215" s="15" t="n">
        <v>2012</v>
      </c>
      <c r="L215" s="33" t="n"/>
      <c r="M215" s="3" t="n"/>
      <c r="N215" s="33" t="n"/>
    </row>
    <row r="216">
      <c r="A216" s="15">
        <f>IF(B216&lt;&gt;"", COUNTA($B$2:B216), "")</f>
        <v/>
      </c>
      <c r="B216" s="280" t="inlineStr">
        <is>
          <t>Датчик пламени</t>
        </is>
      </c>
      <c r="C216" s="10" t="inlineStr">
        <is>
          <t>ИП330/3-20-А1</t>
        </is>
      </c>
      <c r="D216" s="11" t="inlineStr">
        <is>
          <t>000721</t>
        </is>
      </c>
      <c r="E216" s="15" t="n">
        <v>2011</v>
      </c>
      <c r="F216" s="33" t="n"/>
      <c r="G216" s="33" t="n"/>
      <c r="H216" s="26" t="inlineStr">
        <is>
          <t>(BTF210)</t>
        </is>
      </c>
      <c r="I216" s="15" t="inlineStr">
        <is>
          <t>ГПА 64</t>
        </is>
      </c>
      <c r="J216" s="15" t="inlineStr">
        <is>
          <t>АСУ,А и ТМ (КЦ № 6)</t>
        </is>
      </c>
      <c r="K216" s="15" t="n">
        <v>2012</v>
      </c>
      <c r="L216" s="33" t="n"/>
      <c r="M216" s="3" t="n"/>
      <c r="N216" s="33" t="n"/>
    </row>
    <row r="217">
      <c r="A217" s="15">
        <f>IF(B217&lt;&gt;"", COUNTA($B$2:B217), "")</f>
        <v/>
      </c>
      <c r="B217" s="280" t="inlineStr">
        <is>
          <t>Датчик пламени</t>
        </is>
      </c>
      <c r="C217" s="10" t="inlineStr">
        <is>
          <t>ИП330/3-20-А1</t>
        </is>
      </c>
      <c r="D217" s="11" t="inlineStr">
        <is>
          <t>000723</t>
        </is>
      </c>
      <c r="E217" s="15" t="n">
        <v>2011</v>
      </c>
      <c r="F217" s="33" t="n"/>
      <c r="G217" s="33" t="n"/>
      <c r="H217" s="26" t="inlineStr">
        <is>
          <t>(BTF208)</t>
        </is>
      </c>
      <c r="I217" s="15" t="inlineStr">
        <is>
          <t>ГПА 64</t>
        </is>
      </c>
      <c r="J217" s="15" t="inlineStr">
        <is>
          <t>АСУ,А и ТМ (КЦ № 6)</t>
        </is>
      </c>
      <c r="K217" s="15" t="n">
        <v>2012</v>
      </c>
      <c r="L217" s="33" t="n"/>
      <c r="M217" s="3" t="n"/>
      <c r="N217" s="33" t="n"/>
    </row>
    <row r="218">
      <c r="A218" s="15">
        <f>IF(B218&lt;&gt;"", COUNTA($B$2:B218), "")</f>
        <v/>
      </c>
      <c r="B218" s="280" t="inlineStr">
        <is>
          <t>Датчик пламени</t>
        </is>
      </c>
      <c r="C218" s="10" t="inlineStr">
        <is>
          <t>ИП330/3-20-А1</t>
        </is>
      </c>
      <c r="D218" s="171" t="n"/>
      <c r="E218" s="15" t="n">
        <v>2011</v>
      </c>
      <c r="F218" s="33" t="n"/>
      <c r="G218" s="33" t="n"/>
      <c r="H218" s="26" t="inlineStr">
        <is>
          <t>(BTF206)</t>
        </is>
      </c>
      <c r="I218" s="15" t="inlineStr">
        <is>
          <t>ГПА 64</t>
        </is>
      </c>
      <c r="J218" s="15" t="inlineStr">
        <is>
          <t>АСУ,А и ТМ (КЦ № 6)</t>
        </is>
      </c>
      <c r="K218" s="15" t="n">
        <v>2012</v>
      </c>
      <c r="L218" s="33" t="n"/>
      <c r="M218" s="3" t="n"/>
      <c r="N218" s="33" t="n"/>
    </row>
    <row r="219">
      <c r="A219" s="15">
        <f>IF(B219&lt;&gt;"", COUNTA($B$2:B219), "")</f>
        <v/>
      </c>
      <c r="B219" s="280" t="inlineStr">
        <is>
          <t>Датчик пламени</t>
        </is>
      </c>
      <c r="C219" s="10" t="inlineStr">
        <is>
          <t>ИП330/3-20-А1</t>
        </is>
      </c>
      <c r="D219" s="171" t="n"/>
      <c r="E219" s="15" t="n">
        <v>2011</v>
      </c>
      <c r="F219" s="33" t="n"/>
      <c r="G219" s="33" t="n"/>
      <c r="H219" s="26" t="inlineStr">
        <is>
          <t>(BTF205)</t>
        </is>
      </c>
      <c r="I219" s="15" t="inlineStr">
        <is>
          <t>ГПА 64</t>
        </is>
      </c>
      <c r="J219" s="15" t="inlineStr">
        <is>
          <t>АСУ,А и ТМ (КЦ № 6)</t>
        </is>
      </c>
      <c r="K219" s="15" t="n">
        <v>2012</v>
      </c>
      <c r="L219" s="33" t="n"/>
      <c r="N219" s="33" t="n"/>
    </row>
    <row r="220">
      <c r="A220" s="15">
        <f>IF(B220&lt;&gt;"", COUNTA($B$2:B220), "")</f>
        <v/>
      </c>
      <c r="B220" s="280" t="inlineStr">
        <is>
          <t>Датчик пламени</t>
        </is>
      </c>
      <c r="C220" s="10" t="inlineStr">
        <is>
          <t>ИП330/3-20-А1</t>
        </is>
      </c>
      <c r="D220" s="171" t="n"/>
      <c r="E220" s="15" t="n">
        <v>2011</v>
      </c>
      <c r="F220" s="33" t="n"/>
      <c r="G220" s="33" t="n"/>
      <c r="H220" s="26" t="inlineStr">
        <is>
          <t>(BTF209)</t>
        </is>
      </c>
      <c r="I220" s="15" t="inlineStr">
        <is>
          <t>ГПА 64</t>
        </is>
      </c>
      <c r="J220" s="15" t="inlineStr">
        <is>
          <t>АСУ,А и ТМ (КЦ № 6)</t>
        </is>
      </c>
      <c r="K220" s="15" t="n">
        <v>2012</v>
      </c>
      <c r="L220" s="33" t="n"/>
      <c r="N220" s="33" t="n"/>
    </row>
    <row r="221" ht="22.5" customHeight="1" s="151">
      <c r="A221" s="15">
        <f>IF(B221&lt;&gt;"", COUNTA($B$2:B221), "")</f>
        <v/>
      </c>
      <c r="B221" s="16" t="inlineStr">
        <is>
          <t>Термометр сопротивления</t>
        </is>
      </c>
      <c r="C221" s="17" t="inlineStr">
        <is>
          <t>ТСП 012.60 Pt100/В/3</t>
        </is>
      </c>
      <c r="D221" s="3" t="inlineStr">
        <is>
          <t>8489</t>
        </is>
      </c>
      <c r="E221" s="17" t="n"/>
      <c r="F221" s="17" t="inlineStr">
        <is>
          <t>-60…200 °С</t>
        </is>
      </c>
      <c r="G221" s="17" t="inlineStr">
        <is>
          <t>B</t>
        </is>
      </c>
      <c r="H221" s="17" t="inlineStr">
        <is>
          <t>Температура воздуха во всасывающей камере</t>
        </is>
      </c>
      <c r="I221" s="15" t="inlineStr">
        <is>
          <t>ГПА 64</t>
        </is>
      </c>
      <c r="J221" s="15" t="inlineStr">
        <is>
          <t>АСУ,А и ТМ (КЦ № 6)</t>
        </is>
      </c>
      <c r="K221" s="15" t="n"/>
      <c r="L221" s="26" t="n"/>
      <c r="N221" s="70" t="n"/>
    </row>
    <row r="222" ht="22.5" customHeight="1" s="151">
      <c r="A222" s="15">
        <f>IF(B222&lt;&gt;"", COUNTA($B$2:B222), "")</f>
        <v/>
      </c>
      <c r="B222" s="73" t="inlineStr">
        <is>
          <t>Преобразователь влажности и температуры</t>
        </is>
      </c>
      <c r="C222" s="8" t="inlineStr">
        <is>
          <t>ИПТВ-206/М3-03</t>
        </is>
      </c>
      <c r="D222" s="17" t="inlineStr">
        <is>
          <t xml:space="preserve">09-1963 </t>
        </is>
      </c>
      <c r="E222" s="15" t="n">
        <v>2011</v>
      </c>
      <c r="F222" s="17" t="inlineStr">
        <is>
          <t>-40…110 °С
0…100%</t>
        </is>
      </c>
      <c r="G222" s="14" t="inlineStr">
        <is>
          <t>0,4% (температура)
2% (влажность)</t>
        </is>
      </c>
      <c r="H222" s="15" t="inlineStr">
        <is>
          <t>Температура ВОУ</t>
        </is>
      </c>
      <c r="I222" s="15" t="inlineStr">
        <is>
          <t>ГПА 64</t>
        </is>
      </c>
      <c r="J222" s="15" t="inlineStr">
        <is>
          <t>АСУ,А и ТМ (КЦ № 6)</t>
        </is>
      </c>
      <c r="K222" s="15" t="n">
        <v>2012</v>
      </c>
      <c r="L222" s="14" t="n">
        <v>24</v>
      </c>
      <c r="N222" s="70" t="n"/>
    </row>
    <row r="223">
      <c r="A223" s="15">
        <f>IF(B223&lt;&gt;"", COUNTA($B$2:B223), "")</f>
        <v/>
      </c>
      <c r="B223" s="73" t="inlineStr">
        <is>
          <t> </t>
        </is>
      </c>
      <c r="C223" s="71" t="inlineStr">
        <is>
          <t>Даг - 510</t>
        </is>
      </c>
      <c r="D223" s="17" t="inlineStr">
        <is>
          <t>14011577</t>
        </is>
      </c>
      <c r="E223" s="15" t="n">
        <v>2011</v>
      </c>
      <c r="F223" s="17" t="inlineStr">
        <is>
          <t>10…400 ppm</t>
        </is>
      </c>
      <c r="G223" s="18" t="n">
        <v>0.1</v>
      </c>
      <c r="H223" s="14" t="inlineStr">
        <is>
          <t>выхлопные газы</t>
        </is>
      </c>
      <c r="I223" s="8" t="inlineStr">
        <is>
          <t>ГПА 64</t>
        </is>
      </c>
      <c r="J223" s="15" t="inlineStr">
        <is>
          <t>АСУ,А и ТМ (КЦ № 6)</t>
        </is>
      </c>
      <c r="K223" s="15" t="n">
        <v>2020</v>
      </c>
      <c r="L223" s="14" t="n">
        <v>12</v>
      </c>
      <c r="M223" t="inlineStr">
        <is>
          <t>15.09.21</t>
        </is>
      </c>
      <c r="N223" s="70" t="inlineStr">
        <is>
          <t>П</t>
        </is>
      </c>
    </row>
    <row r="224">
      <c r="A224" s="15">
        <f>IF(B224&lt;&gt;"", COUNTA($B$2:B224), "")</f>
        <v/>
      </c>
      <c r="B224" s="280" t="inlineStr">
        <is>
          <t>Манометр технический</t>
        </is>
      </c>
      <c r="C224" s="10" t="inlineStr">
        <is>
          <t>М-3ВУКсУХЛ1</t>
        </is>
      </c>
      <c r="D224" s="11" t="inlineStr">
        <is>
          <t>15611</t>
        </is>
      </c>
      <c r="E224" s="10" t="n">
        <v>2011</v>
      </c>
      <c r="F224" s="10" t="inlineStr">
        <is>
          <t>0…160 кгс/см2</t>
        </is>
      </c>
      <c r="G224" s="10" t="n">
        <v>1</v>
      </c>
      <c r="H224" s="26" t="inlineStr">
        <is>
          <t>Бустерная установка</t>
        </is>
      </c>
      <c r="I224" s="8" t="inlineStr">
        <is>
          <t>ГПА 64</t>
        </is>
      </c>
      <c r="J224" s="15" t="inlineStr">
        <is>
          <t>АСУ,А и ТМ (КЦ № 6)</t>
        </is>
      </c>
      <c r="K224" s="15" t="n">
        <v>2019</v>
      </c>
      <c r="L224" s="15" t="n">
        <v>12</v>
      </c>
      <c r="M224" s="3" t="inlineStr">
        <is>
          <t>1К26</t>
        </is>
      </c>
      <c r="N224" s="70" t="inlineStr">
        <is>
          <t>К</t>
        </is>
      </c>
    </row>
    <row r="225">
      <c r="A225" s="108" t="n"/>
      <c r="B225" s="108" t="n"/>
      <c r="C225" s="108" t="n"/>
      <c r="D225" s="108" t="n"/>
      <c r="E225" s="108" t="n"/>
      <c r="F225" s="108" t="n"/>
      <c r="G225" s="108" t="n"/>
      <c r="H225" s="108" t="n"/>
      <c r="I225" s="108" t="n"/>
      <c r="J225" s="108" t="n"/>
      <c r="K225" s="108" t="n"/>
    </row>
    <row r="226">
      <c r="A226" s="108" t="n"/>
      <c r="B226" s="108" t="n"/>
      <c r="C226" s="108" t="n"/>
      <c r="D226" s="108" t="n"/>
      <c r="E226" s="108" t="n"/>
      <c r="F226" s="108" t="n"/>
      <c r="G226" s="108" t="n"/>
      <c r="H226" s="108" t="n"/>
      <c r="I226" s="108" t="n"/>
      <c r="J226" s="108" t="n"/>
      <c r="K226" s="108" t="n"/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Лист6">
    <outlinePr summaryBelow="1" summaryRight="1"/>
    <pageSetUpPr fitToPage="1"/>
  </sheetPr>
  <dimension ref="A1:N20"/>
  <sheetViews>
    <sheetView zoomScaleNormal="100" workbookViewId="0">
      <pane ySplit="1" topLeftCell="A2" activePane="bottomLeft" state="frozen"/>
      <selection pane="bottomLeft" activeCell="D9" sqref="D9"/>
    </sheetView>
  </sheetViews>
  <sheetFormatPr baseColWidth="8" defaultRowHeight="15"/>
  <cols>
    <col width="3.140625" bestFit="1" customWidth="1" style="151" min="1" max="1"/>
    <col width="26.42578125" customWidth="1" style="151" min="2" max="2"/>
    <col width="20.85546875" customWidth="1" style="151" min="3" max="3"/>
    <col width="12.7109375" bestFit="1" customWidth="1" style="151" min="4" max="4"/>
    <col width="6.5703125" bestFit="1" customWidth="1" style="151" min="5" max="5"/>
    <col width="10.42578125" bestFit="1" customWidth="1" style="151" min="6" max="6"/>
    <col width="7.42578125" bestFit="1" customWidth="1" style="151" min="7" max="7"/>
    <col width="21" customWidth="1" style="151" min="8" max="8"/>
    <col width="7.7109375" customWidth="1" style="151" min="9" max="9"/>
    <col width="17.42578125" bestFit="1" customWidth="1" style="151" min="10" max="10"/>
    <col width="8" bestFit="1" customWidth="1" style="151" min="11" max="11"/>
    <col width="9" customWidth="1" style="151" min="12" max="12"/>
    <col width="8.85546875" bestFit="1" customWidth="1" style="151" min="13" max="13"/>
    <col width="9" bestFit="1" customWidth="1" style="151" min="14" max="14"/>
    <col width="19.7109375" customWidth="1" style="151" min="15" max="15"/>
    <col width="9.140625" customWidth="1" style="151" min="16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
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 ht="22.5" customHeight="1" s="151">
      <c r="A2" s="15">
        <f>IF(B2&lt;&gt;"", COUNTA($B$2:B2), "")</f>
        <v/>
      </c>
      <c r="B2" s="16" t="inlineStr">
        <is>
          <t>Термометр сопротивления</t>
        </is>
      </c>
      <c r="C2" s="17" t="inlineStr">
        <is>
          <t>ТСМУ 011.118 Инд</t>
        </is>
      </c>
      <c r="D2" s="3" t="inlineStr">
        <is>
          <t>22</t>
        </is>
      </c>
      <c r="E2" s="14" t="inlineStr">
        <is>
          <t>2012</t>
        </is>
      </c>
      <c r="F2" s="17" t="inlineStr">
        <is>
          <t>-50..+100 °С</t>
        </is>
      </c>
      <c r="G2" s="17" t="inlineStr">
        <is>
          <t>0,5</t>
        </is>
      </c>
      <c r="H2" s="17" t="inlineStr">
        <is>
          <t>Температура газа на входе КЦ</t>
        </is>
      </c>
      <c r="I2" s="15" t="inlineStr">
        <is>
          <t>КЦ</t>
        </is>
      </c>
      <c r="J2" s="15" t="inlineStr">
        <is>
          <t>АСУ,А и ТМ (КЦ № 6)</t>
        </is>
      </c>
      <c r="K2" s="15" t="n">
        <v>2012</v>
      </c>
      <c r="L2" s="14" t="n">
        <v>60</v>
      </c>
      <c r="M2" s="3" t="n"/>
      <c r="N2" s="70" t="n"/>
    </row>
    <row r="3" ht="22.5" customHeight="1" s="151">
      <c r="A3" s="15">
        <f>IF(B3&lt;&gt;"", COUNTA($B$2:B3), "")</f>
        <v/>
      </c>
      <c r="B3" s="16" t="inlineStr">
        <is>
          <t>Термометр сопротивления</t>
        </is>
      </c>
      <c r="C3" s="17" t="inlineStr">
        <is>
          <t>ТСМУ 011.118 Инд</t>
        </is>
      </c>
      <c r="D3" s="3" t="inlineStr">
        <is>
          <t>21</t>
        </is>
      </c>
      <c r="E3" s="14" t="inlineStr">
        <is>
          <t>2012</t>
        </is>
      </c>
      <c r="F3" s="17" t="inlineStr">
        <is>
          <t>-50..+100 °С</t>
        </is>
      </c>
      <c r="G3" s="17" t="inlineStr">
        <is>
          <t>0,5</t>
        </is>
      </c>
      <c r="H3" s="17" t="inlineStr">
        <is>
          <t>Температура газа на входе КЦ</t>
        </is>
      </c>
      <c r="I3" s="15" t="inlineStr">
        <is>
          <t>КЦ</t>
        </is>
      </c>
      <c r="J3" s="15" t="inlineStr">
        <is>
          <t>АСУ,А и ТМ (КЦ № 6)</t>
        </is>
      </c>
      <c r="K3" s="15" t="n">
        <v>2012</v>
      </c>
      <c r="L3" s="14" t="n">
        <v>60</v>
      </c>
      <c r="M3" s="3" t="n"/>
      <c r="N3" s="70" t="n"/>
    </row>
    <row r="4" ht="22.5" customHeight="1" s="151">
      <c r="A4" s="15">
        <f>IF(B4&lt;&gt;"", COUNTA($B$2:B4), "")</f>
        <v/>
      </c>
      <c r="B4" s="16" t="inlineStr">
        <is>
          <t>Термометр сопротивления</t>
        </is>
      </c>
      <c r="C4" s="17" t="inlineStr">
        <is>
          <t>ТСМУ 011.118 Инд</t>
        </is>
      </c>
      <c r="D4" s="3" t="inlineStr">
        <is>
          <t>24</t>
        </is>
      </c>
      <c r="E4" s="14" t="inlineStr">
        <is>
          <t>2012</t>
        </is>
      </c>
      <c r="F4" s="17" t="inlineStr">
        <is>
          <t>-50..+100 °С</t>
        </is>
      </c>
      <c r="G4" s="17" t="inlineStr">
        <is>
          <t>0,5</t>
        </is>
      </c>
      <c r="H4" s="17" t="inlineStr">
        <is>
          <t>Температура газа на выходе КЦ</t>
        </is>
      </c>
      <c r="I4" s="15" t="inlineStr">
        <is>
          <t>КЦ</t>
        </is>
      </c>
      <c r="J4" s="15" t="inlineStr">
        <is>
          <t>АСУ,А и ТМ (КЦ № 6)</t>
        </is>
      </c>
      <c r="K4" s="15" t="n">
        <v>2012</v>
      </c>
      <c r="L4" s="14" t="n">
        <v>60</v>
      </c>
      <c r="M4" s="3" t="n"/>
      <c r="N4" s="70" t="n"/>
    </row>
    <row r="5" ht="22.5" customHeight="1" s="151">
      <c r="A5" s="15">
        <f>IF(B5&lt;&gt;"", COUNTA($B$2:B5), "")</f>
        <v/>
      </c>
      <c r="B5" s="16" t="inlineStr">
        <is>
          <t>Термометр сопротивления</t>
        </is>
      </c>
      <c r="C5" s="17" t="inlineStr">
        <is>
          <t>ТСМУ 011.118 Инд</t>
        </is>
      </c>
      <c r="D5" s="3" t="inlineStr">
        <is>
          <t>23</t>
        </is>
      </c>
      <c r="E5" s="14" t="inlineStr">
        <is>
          <t>2012</t>
        </is>
      </c>
      <c r="F5" s="17" t="inlineStr">
        <is>
          <t>-50..+100 °С</t>
        </is>
      </c>
      <c r="G5" s="17" t="inlineStr">
        <is>
          <t>0,5</t>
        </is>
      </c>
      <c r="H5" s="17" t="inlineStr">
        <is>
          <t>Температура газа на выходе КЦ</t>
        </is>
      </c>
      <c r="I5" s="15" t="inlineStr">
        <is>
          <t>КЦ</t>
        </is>
      </c>
      <c r="J5" s="15" t="inlineStr">
        <is>
          <t>АСУ,А и ТМ (КЦ № 6)</t>
        </is>
      </c>
      <c r="K5" s="15" t="n">
        <v>2012</v>
      </c>
      <c r="L5" s="14" t="n">
        <v>60</v>
      </c>
      <c r="M5" s="3" t="n"/>
      <c r="N5" s="70" t="n"/>
    </row>
    <row r="6" ht="22.5" customHeight="1" s="151">
      <c r="A6" s="15">
        <f>IF(B6&lt;&gt;"", COUNTA($B$2:B6), "")</f>
        <v/>
      </c>
      <c r="B6" s="73" t="inlineStr">
        <is>
          <t>Преобразователь избыточного давления</t>
        </is>
      </c>
      <c r="C6" s="15" t="inlineStr">
        <is>
          <t>YOKOGAVA EJX530А</t>
        </is>
      </c>
      <c r="D6" s="15" t="inlineStr">
        <is>
          <t>91M439738.217</t>
        </is>
      </c>
      <c r="E6" s="14" t="inlineStr">
        <is>
          <t>2012</t>
        </is>
      </c>
      <c r="F6" s="14" t="inlineStr">
        <is>
          <t>0..10 MPa</t>
        </is>
      </c>
      <c r="G6" s="20" t="n">
        <v>0.001</v>
      </c>
      <c r="H6" s="15" t="inlineStr">
        <is>
          <t>Давление газа на входе в КЦ</t>
        </is>
      </c>
      <c r="I6" s="15" t="inlineStr">
        <is>
          <t>КЦ</t>
        </is>
      </c>
      <c r="J6" s="15" t="inlineStr">
        <is>
          <t>АСУ,А и ТМ (КЦ № 6)</t>
        </is>
      </c>
      <c r="K6" s="15" t="n">
        <v>2012</v>
      </c>
      <c r="L6" s="14" t="n">
        <v>60</v>
      </c>
      <c r="M6" s="3" t="n"/>
      <c r="N6" s="70" t="n"/>
    </row>
    <row r="7" ht="22.5" customHeight="1" s="151">
      <c r="A7" s="15">
        <f>IF(B7&lt;&gt;"", COUNTA($B$2:B7), "")</f>
        <v/>
      </c>
      <c r="B7" s="73" t="inlineStr">
        <is>
          <t>Преобразователь избыточного давления</t>
        </is>
      </c>
      <c r="C7" s="15" t="inlineStr">
        <is>
          <t>YOKOGAVA EJX530А</t>
        </is>
      </c>
      <c r="D7" s="15" t="inlineStr">
        <is>
          <t>91M439730.217</t>
        </is>
      </c>
      <c r="E7" s="14" t="inlineStr">
        <is>
          <t>2012</t>
        </is>
      </c>
      <c r="F7" s="14" t="inlineStr">
        <is>
          <t>0..10 MPa</t>
        </is>
      </c>
      <c r="G7" s="20" t="n">
        <v>0.001</v>
      </c>
      <c r="H7" s="15" t="inlineStr">
        <is>
          <t>Давление газа на входе в КЦ</t>
        </is>
      </c>
      <c r="I7" s="15" t="inlineStr">
        <is>
          <t>КЦ</t>
        </is>
      </c>
      <c r="J7" s="15" t="inlineStr">
        <is>
          <t>АСУ,А и ТМ (КЦ № 6)</t>
        </is>
      </c>
      <c r="K7" s="15" t="n">
        <v>2012</v>
      </c>
      <c r="L7" s="14" t="n">
        <v>60</v>
      </c>
      <c r="M7" s="3" t="n"/>
      <c r="N7" s="70" t="n"/>
    </row>
    <row r="8" ht="22.5" customHeight="1" s="151">
      <c r="A8" s="15">
        <f>IF(B8&lt;&gt;"", COUNTA($B$2:B8), "")</f>
        <v/>
      </c>
      <c r="B8" s="73" t="inlineStr">
        <is>
          <t>Преобразователь избыточного давления</t>
        </is>
      </c>
      <c r="C8" s="15" t="inlineStr">
        <is>
          <t>YOKOGAVA EJX530А</t>
        </is>
      </c>
      <c r="D8" s="15" t="inlineStr">
        <is>
          <t>91M439741.217</t>
        </is>
      </c>
      <c r="E8" s="14" t="inlineStr">
        <is>
          <t>2012</t>
        </is>
      </c>
      <c r="F8" s="14" t="inlineStr">
        <is>
          <t>0..16 MPa</t>
        </is>
      </c>
      <c r="G8" s="20" t="n">
        <v>0.001</v>
      </c>
      <c r="H8" s="15" t="inlineStr">
        <is>
          <t>Давление газа на выходе из КЦ</t>
        </is>
      </c>
      <c r="I8" s="15" t="inlineStr">
        <is>
          <t>КЦ</t>
        </is>
      </c>
      <c r="J8" s="15" t="inlineStr">
        <is>
          <t>АСУ,А и ТМ (КЦ № 6)</t>
        </is>
      </c>
      <c r="K8" s="15" t="n">
        <v>2012</v>
      </c>
      <c r="L8" s="14" t="n">
        <v>60</v>
      </c>
      <c r="M8" s="3" t="n"/>
      <c r="N8" s="70" t="n"/>
    </row>
    <row r="9" ht="22.5" customHeight="1" s="151">
      <c r="A9" s="15">
        <f>IF(B9&lt;&gt;"", COUNTA($B$2:B9), "")</f>
        <v/>
      </c>
      <c r="B9" s="73" t="inlineStr">
        <is>
          <t>Преобразователь избыточного давления</t>
        </is>
      </c>
      <c r="C9" s="15" t="inlineStr">
        <is>
          <t>YOKOGAVA EJX530А</t>
        </is>
      </c>
      <c r="D9" s="15" t="inlineStr">
        <is>
          <t>91M439740.217</t>
        </is>
      </c>
      <c r="E9" s="14" t="inlineStr">
        <is>
          <t>2012</t>
        </is>
      </c>
      <c r="F9" s="14" t="inlineStr">
        <is>
          <t>0..16 MPa</t>
        </is>
      </c>
      <c r="G9" s="20" t="n">
        <v>0.001</v>
      </c>
      <c r="H9" s="15" t="inlineStr">
        <is>
          <t>Давление газа на выходе из КЦ</t>
        </is>
      </c>
      <c r="I9" s="15" t="inlineStr">
        <is>
          <t>КЦ</t>
        </is>
      </c>
      <c r="J9" s="15" t="inlineStr">
        <is>
          <t>АСУ,А и ТМ (КЦ № 6)</t>
        </is>
      </c>
      <c r="K9" s="15" t="n">
        <v>2012</v>
      </c>
      <c r="L9" s="14" t="n">
        <v>60</v>
      </c>
      <c r="M9" s="3" t="n"/>
      <c r="N9" s="70" t="n"/>
    </row>
    <row r="10" ht="22.5" customHeight="1" s="151">
      <c r="A10" s="15">
        <f>IF(B10&lt;&gt;"", COUNTA($B$2:B10), "")</f>
        <v/>
      </c>
      <c r="B10" s="73" t="inlineStr">
        <is>
          <t>Преобразователь избыточного давления</t>
        </is>
      </c>
      <c r="C10" s="15" t="inlineStr">
        <is>
          <t>YOKOGAVA EJX530А</t>
        </is>
      </c>
      <c r="D10" s="15" t="inlineStr">
        <is>
          <t>91M439739.217</t>
        </is>
      </c>
      <c r="E10" s="14" t="inlineStr">
        <is>
          <t>2012</t>
        </is>
      </c>
      <c r="F10" s="14" t="inlineStr">
        <is>
          <t>0..10 MPa</t>
        </is>
      </c>
      <c r="G10" s="20" t="n">
        <v>0.001</v>
      </c>
      <c r="H10" s="15" t="inlineStr">
        <is>
          <t>Давление компримируемого газа</t>
        </is>
      </c>
      <c r="I10" s="15" t="inlineStr">
        <is>
          <t>КЦ</t>
        </is>
      </c>
      <c r="J10" s="15" t="inlineStr">
        <is>
          <t>АСУ,А и ТМ (КЦ № 6)</t>
        </is>
      </c>
      <c r="K10" s="15" t="n">
        <v>2012</v>
      </c>
      <c r="L10" s="14" t="n">
        <v>60</v>
      </c>
      <c r="M10" s="3" t="n"/>
      <c r="N10" s="70" t="n"/>
    </row>
    <row r="11" ht="22.5" customHeight="1" s="151">
      <c r="A11" s="15">
        <f>IF(B11&lt;&gt;"", COUNTA($B$2:B11), "")</f>
        <v/>
      </c>
      <c r="B11" s="73" t="inlineStr">
        <is>
          <t>Преобразователь избыточного давления</t>
        </is>
      </c>
      <c r="C11" s="15" t="inlineStr">
        <is>
          <t>YOKOGAVA EJX530А</t>
        </is>
      </c>
      <c r="D11" s="15" t="inlineStr">
        <is>
          <t>91M439728.217</t>
        </is>
      </c>
      <c r="E11" s="14" t="inlineStr">
        <is>
          <t>2012</t>
        </is>
      </c>
      <c r="F11" s="14" t="inlineStr">
        <is>
          <t>0..10 MPa</t>
        </is>
      </c>
      <c r="G11" s="20" t="n">
        <v>0.001</v>
      </c>
      <c r="H11" s="15" t="inlineStr">
        <is>
          <t>Давление газа в коллекторе сбора дренажа (Е-1)</t>
        </is>
      </c>
      <c r="I11" s="15" t="inlineStr">
        <is>
          <t>КЦ</t>
        </is>
      </c>
      <c r="J11" s="15" t="inlineStr">
        <is>
          <t>АСУ,А и ТМ (КЦ № 6)</t>
        </is>
      </c>
      <c r="K11" s="15" t="n">
        <v>2012</v>
      </c>
      <c r="L11" s="14" t="n">
        <v>60</v>
      </c>
      <c r="M11" s="3" t="n"/>
      <c r="N11" s="70" t="n"/>
    </row>
    <row r="12" ht="22.5" customHeight="1" s="151">
      <c r="A12" s="15">
        <f>IF(B12&lt;&gt;"", COUNTA($B$2:B12), "")</f>
        <v/>
      </c>
      <c r="B12" s="73" t="inlineStr">
        <is>
          <t>Преобразователь избыточного давления</t>
        </is>
      </c>
      <c r="C12" s="15" t="inlineStr">
        <is>
          <t>YOKOGAVA EJX110А</t>
        </is>
      </c>
      <c r="D12" s="15" t="inlineStr">
        <is>
          <t>91M439681.217</t>
        </is>
      </c>
      <c r="E12" s="14" t="n">
        <v>2012</v>
      </c>
      <c r="F12" s="14" t="inlineStr">
        <is>
          <t xml:space="preserve">0...130 кPa </t>
        </is>
      </c>
      <c r="G12" s="20" t="n">
        <v>0.0004</v>
      </c>
      <c r="H12" s="15" t="inlineStr">
        <is>
          <t>Перепад давления на установке очистки газа</t>
        </is>
      </c>
      <c r="I12" s="15" t="inlineStr">
        <is>
          <t>КЦ</t>
        </is>
      </c>
      <c r="J12" s="15" t="inlineStr">
        <is>
          <t>АСУ,А и ТМ (КЦ № 6)</t>
        </is>
      </c>
      <c r="K12" s="15" t="n">
        <v>2012</v>
      </c>
      <c r="L12" s="14" t="n">
        <v>60</v>
      </c>
      <c r="M12" s="3" t="n"/>
      <c r="N12" s="70" t="n"/>
    </row>
    <row r="13" ht="22.5" customHeight="1" s="151">
      <c r="A13" s="15">
        <f>IF(B13&lt;&gt;"", COUNTA($B$2:B13), "")</f>
        <v/>
      </c>
      <c r="B13" s="73" t="inlineStr">
        <is>
          <t>Преобразователь избыточного давления</t>
        </is>
      </c>
      <c r="C13" s="15" t="inlineStr">
        <is>
          <t>YOKOGAVA EJX110А</t>
        </is>
      </c>
      <c r="D13" s="15" t="inlineStr">
        <is>
          <t>91M439691.217</t>
        </is>
      </c>
      <c r="E13" s="14" t="n">
        <v>2012</v>
      </c>
      <c r="F13" s="14" t="inlineStr">
        <is>
          <t xml:space="preserve">0...160 кPa </t>
        </is>
      </c>
      <c r="G13" s="20" t="n">
        <v>0.0004</v>
      </c>
      <c r="H13" s="15" t="inlineStr">
        <is>
          <t>Перепад давления на кране 76</t>
        </is>
      </c>
      <c r="I13" s="15" t="inlineStr">
        <is>
          <t>КЦ</t>
        </is>
      </c>
      <c r="J13" s="15" t="inlineStr">
        <is>
          <t>АСУ,А и ТМ (КЦ № 6)</t>
        </is>
      </c>
      <c r="K13" s="15" t="n">
        <v>2012</v>
      </c>
      <c r="L13" s="14" t="n">
        <v>60</v>
      </c>
      <c r="M13" s="3" t="n"/>
      <c r="N13" s="70" t="n"/>
    </row>
    <row r="14" ht="22.5" customHeight="1" s="151">
      <c r="A14" s="15">
        <f>IF(B14&lt;&gt;"", COUNTA($B$2:B14), "")</f>
        <v/>
      </c>
      <c r="B14" s="73" t="inlineStr">
        <is>
          <t>Преобразователь избыточного давления</t>
        </is>
      </c>
      <c r="C14" s="15" t="inlineStr">
        <is>
          <t>YOKOGAVA EJX110А</t>
        </is>
      </c>
      <c r="D14" s="15" t="inlineStr">
        <is>
          <t>91M439684.217</t>
        </is>
      </c>
      <c r="E14" s="14" t="n">
        <v>2012</v>
      </c>
      <c r="F14" s="14" t="inlineStr">
        <is>
          <t xml:space="preserve">0...160 кPa </t>
        </is>
      </c>
      <c r="G14" s="20" t="n">
        <v>0.0004</v>
      </c>
      <c r="H14" s="15" t="inlineStr">
        <is>
          <t>Перепад давления на кране 86</t>
        </is>
      </c>
      <c r="I14" s="15" t="inlineStr">
        <is>
          <t>КЦ</t>
        </is>
      </c>
      <c r="J14" s="15" t="inlineStr">
        <is>
          <t>АСУ,А и ТМ (КЦ № 6)</t>
        </is>
      </c>
      <c r="K14" s="15" t="n">
        <v>2012</v>
      </c>
      <c r="L14" s="14" t="n">
        <v>60</v>
      </c>
      <c r="M14" s="3" t="n"/>
      <c r="N14" s="70" t="n"/>
    </row>
    <row r="15" ht="22.5" customHeight="1" s="151">
      <c r="A15" s="15">
        <f>IF(B15&lt;&gt;"", COUNTA($B$2:B15), "")</f>
        <v/>
      </c>
      <c r="B15" s="3" t="inlineStr">
        <is>
          <t xml:space="preserve">Расходомер                 </t>
        </is>
      </c>
      <c r="C15" s="15" t="inlineStr">
        <is>
          <t>Controlotron 1010 GCDN</t>
        </is>
      </c>
      <c r="D15" s="15" t="n">
        <v>30725</v>
      </c>
      <c r="E15" s="14" t="n">
        <v>2010</v>
      </c>
      <c r="F15" s="14" t="inlineStr">
        <is>
          <t>0,3…30 м/с</t>
        </is>
      </c>
      <c r="G15" s="20" t="n">
        <v>0.02</v>
      </c>
      <c r="H15" s="15" t="inlineStr">
        <is>
          <t>Расход технологического газа</t>
        </is>
      </c>
      <c r="I15" s="15" t="inlineStr">
        <is>
          <t>КЦ</t>
        </is>
      </c>
      <c r="J15" s="15" t="inlineStr">
        <is>
          <t>АСУ,А и ТМ (КЦ № 6)</t>
        </is>
      </c>
      <c r="K15" s="15" t="n">
        <v>2012</v>
      </c>
      <c r="L15" s="14" t="n">
        <v>48</v>
      </c>
      <c r="M15" s="3" t="n"/>
      <c r="N15" s="70" t="n"/>
    </row>
    <row r="16" ht="22.5" customHeight="1" s="151">
      <c r="A16" s="15">
        <f>IF(B16&lt;&gt;"", COUNTA($B$2:B16), "")</f>
        <v/>
      </c>
      <c r="B16" s="73" t="inlineStr">
        <is>
          <t>Преобразователь избыточного давления</t>
        </is>
      </c>
      <c r="C16" s="15" t="inlineStr">
        <is>
          <t>ТЖИУ 406</t>
        </is>
      </c>
      <c r="D16" s="15" t="n">
        <v>121955</v>
      </c>
      <c r="E16" s="15" t="n">
        <v>2011</v>
      </c>
      <c r="F16" s="15" t="inlineStr">
        <is>
          <t>0..1 MPa</t>
        </is>
      </c>
      <c r="G16" s="20" t="n">
        <v>0.0015</v>
      </c>
      <c r="H16" s="15" t="inlineStr">
        <is>
          <t>Давление в емкости Е-3</t>
        </is>
      </c>
      <c r="I16" s="15" t="inlineStr">
        <is>
          <t>КЦ</t>
        </is>
      </c>
      <c r="J16" s="15" t="inlineStr">
        <is>
          <t>АСУ,А и ТМ (КЦ № 6)</t>
        </is>
      </c>
      <c r="K16" s="15" t="n">
        <v>2012</v>
      </c>
      <c r="L16" s="14" t="n">
        <v>24</v>
      </c>
      <c r="M16" s="3" t="n"/>
      <c r="N16" s="70" t="n"/>
    </row>
    <row r="17" ht="22.5" customFormat="1" customHeight="1" s="63">
      <c r="A17" s="15">
        <f>IF(B17&lt;&gt;"", COUNTA($B$2:B17), "")</f>
        <v/>
      </c>
      <c r="B17" s="163" t="inlineStr">
        <is>
          <t>Преобразователь избыточного давления</t>
        </is>
      </c>
      <c r="C17" s="155" t="inlineStr">
        <is>
          <t>Сапфир-22р-ДУ-Вн-1-2620</t>
        </is>
      </c>
      <c r="D17" s="155" t="n">
        <v>409</v>
      </c>
      <c r="E17" s="158" t="n">
        <v>2011</v>
      </c>
      <c r="F17" s="158" t="inlineStr">
        <is>
          <t>1000 мм</t>
        </is>
      </c>
      <c r="G17" s="159" t="n">
        <v>0.005</v>
      </c>
      <c r="H17" s="155" t="inlineStr">
        <is>
          <t>Уровнь конденсата в емкости Е-3</t>
        </is>
      </c>
      <c r="I17" s="155" t="inlineStr">
        <is>
          <t>КЦ</t>
        </is>
      </c>
      <c r="J17" s="155" t="inlineStr">
        <is>
          <t>АСУ,А и ТМ (КЦ № 6)</t>
        </is>
      </c>
      <c r="K17" s="155" t="n">
        <v>2013</v>
      </c>
      <c r="L17" s="158" t="n">
        <v>24</v>
      </c>
      <c r="M17" s="160" t="n"/>
      <c r="N17" s="161" t="n"/>
    </row>
    <row r="18" ht="22.5" customHeight="1" s="151">
      <c r="A18" s="15">
        <f>IF(B18&lt;&gt;"", COUNTA($B$2:B18), "")</f>
        <v/>
      </c>
      <c r="B18" s="16" t="inlineStr">
        <is>
          <t>Термометр сопротивления</t>
        </is>
      </c>
      <c r="C18" s="14" t="inlineStr">
        <is>
          <t>ТСП 012.56</t>
        </is>
      </c>
      <c r="D18" s="14" t="n">
        <v>448</v>
      </c>
      <c r="E18" s="15" t="n">
        <v>2012</v>
      </c>
      <c r="F18" s="17" t="inlineStr">
        <is>
          <t>-60..+200 °С</t>
        </is>
      </c>
      <c r="G18" s="17" t="inlineStr">
        <is>
          <t>B</t>
        </is>
      </c>
      <c r="H18" s="15" t="inlineStr">
        <is>
          <t>Т компремируемого газа</t>
        </is>
      </c>
      <c r="I18" s="15" t="inlineStr">
        <is>
          <t>Промплощадка</t>
        </is>
      </c>
      <c r="J18" s="15" t="inlineStr">
        <is>
          <t>АСУ,А и ТМ (КЦ № 6)</t>
        </is>
      </c>
      <c r="K18" s="15" t="n">
        <v>2012</v>
      </c>
      <c r="L18" s="14" t="n">
        <v>36</v>
      </c>
      <c r="M18" s="3" t="n"/>
      <c r="N18" s="70" t="n"/>
    </row>
    <row r="19" ht="22.5" customHeight="1" s="151">
      <c r="A19" s="15">
        <f>IF(B19&lt;&gt;"", COUNTA($B$2:B19), "")</f>
        <v/>
      </c>
      <c r="B19" s="280" t="inlineStr">
        <is>
          <t>Сигнализатор уровня</t>
        </is>
      </c>
      <c r="C19" s="14" t="inlineStr">
        <is>
          <t>Велком (uts-67-0460-465-c2-p13-L-1)</t>
        </is>
      </c>
      <c r="D19" s="29" t="inlineStr">
        <is>
          <t>2А01950</t>
        </is>
      </c>
      <c r="E19" s="10" t="n">
        <v>2012</v>
      </c>
      <c r="F19" s="47" t="n"/>
      <c r="G19" s="47" t="n"/>
      <c r="H19" s="15" t="inlineStr">
        <is>
          <t>L конденсата в емкости Е-3</t>
        </is>
      </c>
      <c r="I19" s="15" t="inlineStr">
        <is>
          <t>Цех № 6</t>
        </is>
      </c>
      <c r="J19" s="15" t="inlineStr">
        <is>
          <t>АСУ,А и ТМ (КЦ № 6)</t>
        </is>
      </c>
      <c r="K19" s="47" t="n"/>
      <c r="L19" s="47" t="n"/>
      <c r="M19" s="47" t="n"/>
      <c r="N19" s="47" t="n"/>
    </row>
    <row r="20">
      <c r="A20" s="15">
        <f>IF(B20&lt;&gt;"", COUNTA($B$2:B20), "")</f>
        <v/>
      </c>
      <c r="B20" s="280" t="inlineStr">
        <is>
          <t>Манометр технический</t>
        </is>
      </c>
      <c r="C20" s="14" t="inlineStr">
        <is>
          <t>МП4-УУ2</t>
        </is>
      </c>
      <c r="D20" s="29" t="inlineStr">
        <is>
          <t>6201</t>
        </is>
      </c>
      <c r="E20" s="10" t="n">
        <v>2012</v>
      </c>
      <c r="F20" s="11" t="inlineStr">
        <is>
          <t>0..160 кгс/см²</t>
        </is>
      </c>
      <c r="G20" s="71" t="n">
        <v>1.5</v>
      </c>
      <c r="H20" s="15" t="inlineStr">
        <is>
          <t xml:space="preserve">Р имп. газа.   кран 36к  </t>
        </is>
      </c>
      <c r="I20" s="15" t="inlineStr">
        <is>
          <t>Цех № 6</t>
        </is>
      </c>
      <c r="J20" s="15" t="inlineStr">
        <is>
          <t>АСУ,А и ТМ (КЦ № 6)</t>
        </is>
      </c>
      <c r="K20" s="15" t="n">
        <v>2012</v>
      </c>
      <c r="L20" s="15" t="n">
        <v>12</v>
      </c>
      <c r="M20" s="3" t="inlineStr">
        <is>
          <t>1К26</t>
        </is>
      </c>
      <c r="N20" s="70" t="inlineStr">
        <is>
          <t>К</t>
        </is>
      </c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5" right="0.25" top="0.75" bottom="0.75" header="0.3" footer="0.3"/>
  <pageSetup orientation="landscape" paperSize="9" scale="84"/>
</worksheet>
</file>

<file path=xl/worksheets/sheet7.xml><?xml version="1.0" encoding="utf-8"?>
<worksheet xmlns="http://schemas.openxmlformats.org/spreadsheetml/2006/main">
  <sheetPr codeName="Лист7">
    <outlinePr summaryBelow="1" summaryRight="1"/>
    <pageSetUpPr fitToPage="1"/>
  </sheetPr>
  <dimension ref="A1:Z71"/>
  <sheetViews>
    <sheetView workbookViewId="0">
      <pane ySplit="1" topLeftCell="A68" activePane="bottomLeft" state="frozen"/>
      <selection pane="bottomLeft" activeCell="A8" sqref="A8:XFD8"/>
    </sheetView>
  </sheetViews>
  <sheetFormatPr baseColWidth="8" defaultRowHeight="15"/>
  <cols>
    <col width="3.140625" bestFit="1" customWidth="1" style="151" min="1" max="1"/>
    <col width="19.85546875" bestFit="1" customWidth="1" style="151" min="2" max="2"/>
    <col width="23.5703125" bestFit="1" customWidth="1" style="151" min="3" max="3"/>
    <col width="12.7109375" bestFit="1" customWidth="1" style="151" min="4" max="4"/>
    <col width="6.5703125" bestFit="1" customWidth="1" style="151" min="5" max="5"/>
    <col width="11" bestFit="1" customWidth="1" style="151" min="6" max="6"/>
    <col width="7.42578125" bestFit="1" customWidth="1" style="151" min="7" max="7"/>
    <col width="27" bestFit="1" customWidth="1" style="151" min="8" max="8"/>
    <col width="13.7109375" bestFit="1" customWidth="1" style="151" min="9" max="9"/>
    <col width="17.42578125" bestFit="1" customWidth="1" style="151" min="10" max="10"/>
    <col width="8" bestFit="1" customWidth="1" style="151" min="11" max="11"/>
    <col width="9" bestFit="1" customWidth="1" style="151" min="12" max="12"/>
    <col width="8.85546875" bestFit="1" customWidth="1" style="151" min="13" max="13"/>
    <col width="9" bestFit="1" customWidth="1" style="151" min="14" max="14"/>
    <col width="9.140625" customWidth="1" style="151" min="15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
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>
      <c r="A2" s="15">
        <f>IF(B2&lt;&gt;"", COUNTA($B$2:B2), "")</f>
        <v/>
      </c>
      <c r="B2" s="16" t="inlineStr">
        <is>
          <t>Термометр сопротивления</t>
        </is>
      </c>
      <c r="C2" s="17" t="inlineStr">
        <is>
          <t>ТСМУ 011.118 Инд</t>
        </is>
      </c>
      <c r="D2" s="3" t="n">
        <v>26</v>
      </c>
      <c r="E2" s="14" t="inlineStr">
        <is>
          <t>2012</t>
        </is>
      </c>
      <c r="F2" s="17" t="inlineStr">
        <is>
          <t>-50..+100 °С</t>
        </is>
      </c>
      <c r="G2" s="17" t="inlineStr">
        <is>
          <t>0,5</t>
        </is>
      </c>
      <c r="H2" s="17" t="inlineStr">
        <is>
          <t>Температура грунта</t>
        </is>
      </c>
      <c r="I2" s="15" t="inlineStr">
        <is>
          <t>Узел подключения</t>
        </is>
      </c>
      <c r="J2" s="15" t="inlineStr">
        <is>
          <t>АСУ,А и ТМ (КЦ № 6)</t>
        </is>
      </c>
      <c r="K2" s="15" t="n">
        <v>2012</v>
      </c>
      <c r="L2" s="14" t="n">
        <v>60</v>
      </c>
      <c r="M2" s="3" t="n"/>
      <c r="N2" s="70" t="n"/>
    </row>
    <row r="3">
      <c r="A3" s="15">
        <f>IF(B3&lt;&gt;"", COUNTA($B$2:B3), "")</f>
        <v/>
      </c>
      <c r="B3" s="16" t="inlineStr">
        <is>
          <t>Термометр сопротивления</t>
        </is>
      </c>
      <c r="C3" s="17" t="inlineStr">
        <is>
          <t>ТСМУ 011.118 Инд</t>
        </is>
      </c>
      <c r="D3" s="3" t="inlineStr">
        <is>
          <t>25</t>
        </is>
      </c>
      <c r="E3" s="14" t="inlineStr">
        <is>
          <t>2012</t>
        </is>
      </c>
      <c r="F3" s="17" t="inlineStr">
        <is>
          <t>-50..+100 °С</t>
        </is>
      </c>
      <c r="G3" s="17" t="inlineStr">
        <is>
          <t>0,5</t>
        </is>
      </c>
      <c r="H3" s="17" t="inlineStr">
        <is>
          <t>Температура газа на выходе КЦ</t>
        </is>
      </c>
      <c r="I3" s="15" t="inlineStr">
        <is>
          <t>Узел подключения</t>
        </is>
      </c>
      <c r="J3" s="15" t="inlineStr">
        <is>
          <t>АСУ,А и ТМ (КЦ № 6)</t>
        </is>
      </c>
      <c r="K3" s="15" t="n">
        <v>2012</v>
      </c>
      <c r="L3" s="14" t="n">
        <v>60</v>
      </c>
      <c r="M3" s="3" t="n"/>
      <c r="N3" s="70" t="n"/>
    </row>
    <row r="4">
      <c r="A4" s="15">
        <f>IF(B4&lt;&gt;"", COUNTA($B$2:B4), "")</f>
        <v/>
      </c>
      <c r="B4" s="16" t="inlineStr">
        <is>
          <t>Термометр сопротивления</t>
        </is>
      </c>
      <c r="C4" s="8" t="inlineStr">
        <is>
          <t>ТСПУ 014.51</t>
        </is>
      </c>
      <c r="D4" s="14" t="n">
        <v>379</v>
      </c>
      <c r="E4" s="15" t="n">
        <v>2011</v>
      </c>
      <c r="F4" s="17" t="inlineStr">
        <is>
          <t>-50..+100 °С</t>
        </is>
      </c>
      <c r="G4" s="14" t="n">
        <v>0.5</v>
      </c>
      <c r="H4" s="15" t="inlineStr">
        <is>
          <t>Температура воздуха</t>
        </is>
      </c>
      <c r="I4" s="15" t="inlineStr">
        <is>
          <t>Узел подключения</t>
        </is>
      </c>
      <c r="J4" s="15" t="inlineStr">
        <is>
          <t>АСУ,А и ТМ (КЦ № 6)</t>
        </is>
      </c>
      <c r="K4" s="15" t="n">
        <v>2011</v>
      </c>
      <c r="L4" s="14" t="n">
        <v>24</v>
      </c>
      <c r="M4" s="3" t="n"/>
      <c r="N4" s="70" t="n"/>
    </row>
    <row r="5" ht="22.5" customHeight="1" s="151">
      <c r="A5" s="15">
        <f>IF(B5&lt;&gt;"", COUNTA($B$2:B5), "")</f>
        <v/>
      </c>
      <c r="B5" s="73" t="inlineStr">
        <is>
          <t>Преобразователь избыточного давления</t>
        </is>
      </c>
      <c r="C5" s="15" t="inlineStr">
        <is>
          <t>YOKOGAWA EJX530А</t>
        </is>
      </c>
      <c r="D5" s="15" t="inlineStr">
        <is>
          <t>91M439744.217</t>
        </is>
      </c>
      <c r="E5" s="14" t="inlineStr">
        <is>
          <t>2012</t>
        </is>
      </c>
      <c r="F5" s="14" t="inlineStr">
        <is>
          <t>0..16 MPa</t>
        </is>
      </c>
      <c r="G5" s="283" t="n">
        <v>0.1</v>
      </c>
      <c r="H5" s="15" t="inlineStr">
        <is>
          <t>Давление импульсного газа</t>
        </is>
      </c>
      <c r="I5" s="15" t="inlineStr">
        <is>
          <t>Узел подключения</t>
        </is>
      </c>
      <c r="J5" s="15" t="inlineStr">
        <is>
          <t>АСУ,А и ТМ (КЦ № 6)</t>
        </is>
      </c>
      <c r="K5" s="15" t="n">
        <v>2012</v>
      </c>
      <c r="L5" s="14" t="n">
        <v>60</v>
      </c>
      <c r="M5" s="3" t="n"/>
      <c r="N5" s="70" t="n"/>
    </row>
    <row r="6" ht="22.5" customHeight="1" s="151">
      <c r="A6" s="15">
        <f>IF(B6&lt;&gt;"", COUNTA($B$2:B6), "")</f>
        <v/>
      </c>
      <c r="B6" s="73" t="inlineStr">
        <is>
          <t>Преобразователь избыточного давления</t>
        </is>
      </c>
      <c r="C6" s="15" t="inlineStr">
        <is>
          <t>YOKOGAWA EJX530А</t>
        </is>
      </c>
      <c r="D6" s="15" t="inlineStr">
        <is>
          <t>91M439746.217</t>
        </is>
      </c>
      <c r="E6" s="14" t="inlineStr">
        <is>
          <t>2012</t>
        </is>
      </c>
      <c r="F6" s="14" t="inlineStr">
        <is>
          <t>0..16 MPa</t>
        </is>
      </c>
      <c r="G6" s="283" t="n">
        <v>0.1</v>
      </c>
      <c r="H6" s="15" t="inlineStr">
        <is>
          <t>Давление газа после кр.7</t>
        </is>
      </c>
      <c r="I6" s="15" t="inlineStr">
        <is>
          <t>Узел подключения</t>
        </is>
      </c>
      <c r="J6" s="15" t="inlineStr">
        <is>
          <t>АСУ,А и ТМ (КЦ № 6)</t>
        </is>
      </c>
      <c r="K6" s="15" t="n">
        <v>2012</v>
      </c>
      <c r="L6" s="14" t="n">
        <v>60</v>
      </c>
      <c r="M6" s="3" t="n"/>
      <c r="N6" s="70" t="n"/>
    </row>
    <row r="7" ht="22.5" customHeight="1" s="151">
      <c r="A7" s="15">
        <f>IF(B7&lt;&gt;"", COUNTA($B$2:B7), "")</f>
        <v/>
      </c>
      <c r="B7" s="73" t="inlineStr">
        <is>
          <t>Преобразователь избыточного давления</t>
        </is>
      </c>
      <c r="C7" s="15" t="inlineStr">
        <is>
          <t>YOKOGAWA EJX530А</t>
        </is>
      </c>
      <c r="D7" s="15" t="inlineStr">
        <is>
          <t>91M439742.217</t>
        </is>
      </c>
      <c r="E7" s="14" t="inlineStr">
        <is>
          <t>2012</t>
        </is>
      </c>
      <c r="F7" s="14" t="inlineStr">
        <is>
          <t>0..16 MPa</t>
        </is>
      </c>
      <c r="G7" s="283" t="n">
        <v>0.1</v>
      </c>
      <c r="H7" s="15" t="inlineStr">
        <is>
          <t>Давление газа до кр.20</t>
        </is>
      </c>
      <c r="I7" s="15" t="inlineStr">
        <is>
          <t>Узел подключения</t>
        </is>
      </c>
      <c r="J7" s="15" t="inlineStr">
        <is>
          <t>АСУ,А и ТМ (КЦ № 6)</t>
        </is>
      </c>
      <c r="K7" s="15" t="n">
        <v>2012</v>
      </c>
      <c r="L7" s="14" t="n">
        <v>60</v>
      </c>
      <c r="M7" s="3" t="n"/>
      <c r="N7" s="70" t="n"/>
    </row>
    <row r="8" ht="22.5" customHeight="1" s="151">
      <c r="A8" s="15">
        <f>IF(B8&lt;&gt;"", COUNTA($B$2:B8), "")</f>
        <v/>
      </c>
      <c r="B8" s="73" t="inlineStr">
        <is>
          <t>Преобразователь избыточного давления</t>
        </is>
      </c>
      <c r="C8" s="15" t="inlineStr">
        <is>
          <t>YOKOGAWA EJX530А</t>
        </is>
      </c>
      <c r="D8" s="15" t="inlineStr">
        <is>
          <t>91M439745.217</t>
        </is>
      </c>
      <c r="E8" s="14" t="inlineStr">
        <is>
          <t>2012</t>
        </is>
      </c>
      <c r="F8" s="14" t="inlineStr">
        <is>
          <t>0..16 MPa</t>
        </is>
      </c>
      <c r="G8" s="283" t="n">
        <v>0.1</v>
      </c>
      <c r="H8" s="15" t="inlineStr">
        <is>
          <t>Давление газа после кр.20</t>
        </is>
      </c>
      <c r="I8" s="15" t="inlineStr">
        <is>
          <t>Узел подключения</t>
        </is>
      </c>
      <c r="J8" s="15" t="inlineStr">
        <is>
          <t>АСУ,А и ТМ (КЦ № 6)</t>
        </is>
      </c>
      <c r="K8" s="15" t="n">
        <v>2012</v>
      </c>
      <c r="L8" s="14" t="n">
        <v>60</v>
      </c>
      <c r="M8" s="3" t="n"/>
      <c r="N8" s="70" t="n"/>
    </row>
    <row r="9" ht="22.5" customHeight="1" s="151">
      <c r="A9" s="15">
        <f>IF(B9&lt;&gt;"", COUNTA($B$2:B9), "")</f>
        <v/>
      </c>
      <c r="B9" s="73" t="inlineStr">
        <is>
          <t>Преобразователь избыточного давления</t>
        </is>
      </c>
      <c r="C9" s="15" t="inlineStr">
        <is>
          <t>YOKOGAWA EJX530А</t>
        </is>
      </c>
      <c r="D9" s="15" t="inlineStr">
        <is>
          <t>91M439743.217</t>
        </is>
      </c>
      <c r="E9" s="14" t="inlineStr">
        <is>
          <t>2012</t>
        </is>
      </c>
      <c r="F9" s="14" t="inlineStr">
        <is>
          <t>0..16 MPa</t>
        </is>
      </c>
      <c r="G9" s="283" t="n">
        <v>0.1</v>
      </c>
      <c r="H9" s="15" t="inlineStr">
        <is>
          <t>Давление газа до кр.8</t>
        </is>
      </c>
      <c r="I9" s="15" t="inlineStr">
        <is>
          <t>Узел подключения</t>
        </is>
      </c>
      <c r="J9" s="15" t="inlineStr">
        <is>
          <t>АСУ,А и ТМ (КЦ № 6)</t>
        </is>
      </c>
      <c r="K9" s="15" t="n">
        <v>2012</v>
      </c>
      <c r="L9" s="14" t="n">
        <v>60</v>
      </c>
      <c r="M9" s="3" t="n"/>
      <c r="N9" s="70" t="n"/>
    </row>
    <row r="10" ht="22.5" customHeight="1" s="151">
      <c r="A10" s="15">
        <f>IF(B10&lt;&gt;"", COUNTA($B$2:B10), "")</f>
        <v/>
      </c>
      <c r="B10" s="73" t="inlineStr">
        <is>
          <t>Преобразователь избыточного давления</t>
        </is>
      </c>
      <c r="C10" s="15" t="inlineStr">
        <is>
          <t>YOKOGAWA EJX430А</t>
        </is>
      </c>
      <c r="D10" s="15" t="inlineStr">
        <is>
          <t>91LC20094</t>
        </is>
      </c>
      <c r="E10" s="14" t="n">
        <v>2011</v>
      </c>
      <c r="F10" s="14" t="inlineStr">
        <is>
          <t>0..16 MPa</t>
        </is>
      </c>
      <c r="G10" s="283" t="n">
        <v>0.1</v>
      </c>
      <c r="H10" s="15" t="inlineStr">
        <is>
          <t>Давление газа в аккумуляторе Г-6КЗ</t>
        </is>
      </c>
      <c r="I10" s="15" t="inlineStr">
        <is>
          <t>Узел подключения</t>
        </is>
      </c>
      <c r="J10" s="15" t="inlineStr">
        <is>
          <t>АСУ,А и ТМ (КЦ № 6)</t>
        </is>
      </c>
      <c r="K10" s="15" t="n">
        <v>2011</v>
      </c>
      <c r="L10" s="14" t="n">
        <v>60</v>
      </c>
      <c r="M10" s="3" t="n"/>
      <c r="N10" s="70" t="n"/>
    </row>
    <row r="11" ht="22.5" customHeight="1" s="151">
      <c r="A11" s="15">
        <f>IF(B11&lt;&gt;"", COUNTA($B$2:B11), "")</f>
        <v/>
      </c>
      <c r="B11" s="73" t="inlineStr">
        <is>
          <t>Преобразователь избыточного давления</t>
        </is>
      </c>
      <c r="C11" s="15" t="inlineStr">
        <is>
          <t>YOKOGAWA EJX510А</t>
        </is>
      </c>
      <c r="D11" s="15" t="inlineStr">
        <is>
          <t>91M439696.217</t>
        </is>
      </c>
      <c r="E11" s="14" t="inlineStr">
        <is>
          <t>2012</t>
        </is>
      </c>
      <c r="F11" s="14" t="inlineStr">
        <is>
          <t>0..160 КPa</t>
        </is>
      </c>
      <c r="G11" s="283" t="n">
        <v>0.1</v>
      </c>
      <c r="H11" s="15" t="inlineStr">
        <is>
          <t>Атмосферное давление</t>
        </is>
      </c>
      <c r="I11" s="15" t="inlineStr">
        <is>
          <t>Узел подключения</t>
        </is>
      </c>
      <c r="J11" s="15" t="inlineStr">
        <is>
          <t>АСУ,А и ТМ (КЦ № 6)</t>
        </is>
      </c>
      <c r="K11" s="15" t="n">
        <v>2011</v>
      </c>
      <c r="L11" s="14" t="n">
        <v>60</v>
      </c>
      <c r="M11" s="3" t="n"/>
      <c r="N11" s="70" t="n"/>
    </row>
    <row r="12">
      <c r="A12" s="15">
        <f>IF(B12&lt;&gt;"", COUNTA($B$2:B12), "")</f>
        <v/>
      </c>
      <c r="B12" s="16" t="inlineStr">
        <is>
          <t>Термометр сопротивления</t>
        </is>
      </c>
      <c r="C12" s="17" t="inlineStr">
        <is>
          <t>ТСМУ 011.16</t>
        </is>
      </c>
      <c r="D12" s="3" t="inlineStr">
        <is>
          <t>161</t>
        </is>
      </c>
      <c r="E12" s="14" t="n">
        <v>2011</v>
      </c>
      <c r="F12" s="17" t="inlineStr">
        <is>
          <t>-50..+50 °С</t>
        </is>
      </c>
      <c r="G12" s="17" t="inlineStr">
        <is>
          <t>0,5</t>
        </is>
      </c>
      <c r="H12" s="17" t="inlineStr">
        <is>
          <t>Температура газа после кр. 20-6</t>
        </is>
      </c>
      <c r="I12" s="15" t="inlineStr">
        <is>
          <t>Узел подключения</t>
        </is>
      </c>
      <c r="J12" s="15" t="inlineStr">
        <is>
          <t>АСУ,А и ТМ (КЦ № 6)</t>
        </is>
      </c>
      <c r="K12" s="15" t="n">
        <v>2012</v>
      </c>
      <c r="L12" s="14" t="n">
        <v>60</v>
      </c>
      <c r="M12" s="3" t="n"/>
      <c r="N12" s="70" t="n"/>
    </row>
    <row r="13">
      <c r="A13" s="15">
        <f>IF(B13&lt;&gt;"", COUNTA($B$2:B13), "")</f>
        <v/>
      </c>
      <c r="B13" s="16" t="inlineStr">
        <is>
          <t>Термометр сопротивления</t>
        </is>
      </c>
      <c r="C13" s="8" t="inlineStr">
        <is>
          <t>ТСП 015.70</t>
        </is>
      </c>
      <c r="D13" s="14" t="n">
        <v>110</v>
      </c>
      <c r="E13" s="14" t="inlineStr">
        <is>
          <t>2012</t>
        </is>
      </c>
      <c r="F13" s="17" t="inlineStr">
        <is>
          <t>-50..+50 °С</t>
        </is>
      </c>
      <c r="G13" s="14" t="inlineStr">
        <is>
          <t>B</t>
        </is>
      </c>
      <c r="H13" s="15" t="inlineStr">
        <is>
          <t>Температура воздуха</t>
        </is>
      </c>
      <c r="I13" s="15" t="inlineStr">
        <is>
          <t>Узел подключения</t>
        </is>
      </c>
      <c r="J13" s="15" t="inlineStr">
        <is>
          <t>АСУ,А и ТМ (КЦ № 6)</t>
        </is>
      </c>
      <c r="K13" s="15" t="n">
        <v>2011</v>
      </c>
      <c r="L13" s="14" t="n">
        <v>36</v>
      </c>
      <c r="M13" s="3" t="n"/>
      <c r="N13" s="70" t="n"/>
    </row>
    <row r="14" ht="22.5" customHeight="1" s="151">
      <c r="A14" s="15">
        <f>IF(B14&lt;&gt;"", COUNTA($B$2:B14), "")</f>
        <v/>
      </c>
      <c r="B14" s="280" t="inlineStr">
        <is>
          <t>Выключатель давления</t>
        </is>
      </c>
      <c r="C14" s="10" t="inlineStr">
        <is>
          <t>Садко 44 ТЖИУ 406422.005.01</t>
        </is>
      </c>
      <c r="D14" s="71" t="n">
        <v>226706</v>
      </c>
      <c r="E14" s="10" t="n">
        <v>2012</v>
      </c>
      <c r="F14" s="14" t="inlineStr">
        <is>
          <t>0,15…0,5 МПа</t>
        </is>
      </c>
      <c r="G14" s="10" t="n"/>
      <c r="H14" s="15" t="inlineStr">
        <is>
          <t>Перепад давления на кр. Г-6КП</t>
        </is>
      </c>
      <c r="I14" s="15" t="inlineStr">
        <is>
          <t>Узел подключения</t>
        </is>
      </c>
      <c r="J14" s="15" t="inlineStr">
        <is>
          <t>АСУ,А и ТМ (КЦ № 6)</t>
        </is>
      </c>
      <c r="K14" s="15" t="n">
        <v>2012</v>
      </c>
      <c r="L14" s="15" t="n"/>
      <c r="M14" s="3" t="n"/>
      <c r="N14" s="70" t="n"/>
    </row>
    <row r="15" ht="22.5" customHeight="1" s="151">
      <c r="A15" s="15">
        <f>IF(B15&lt;&gt;"", COUNTA($B$2:B15), "")</f>
        <v/>
      </c>
      <c r="B15" s="280" t="inlineStr">
        <is>
          <t>Выключатель давления</t>
        </is>
      </c>
      <c r="C15" s="10" t="inlineStr">
        <is>
          <t>Садко 44 ТЖИУ 406422.005.01</t>
        </is>
      </c>
      <c r="D15" s="14" t="n">
        <v>257610</v>
      </c>
      <c r="E15" s="10" t="n">
        <v>2015</v>
      </c>
      <c r="F15" s="14" t="inlineStr">
        <is>
          <t>0,15…0,5 МПа</t>
        </is>
      </c>
      <c r="G15" s="14" t="n"/>
      <c r="H15" s="15" t="inlineStr">
        <is>
          <t>Перепад давления на кр. 7</t>
        </is>
      </c>
      <c r="I15" s="15" t="inlineStr">
        <is>
          <t>Узел подключения</t>
        </is>
      </c>
      <c r="J15" s="15" t="inlineStr">
        <is>
          <t>АСУ,А и ТМ (КЦ № 6)</t>
        </is>
      </c>
      <c r="K15" s="15" t="n">
        <v>2012</v>
      </c>
      <c r="L15" s="14" t="n"/>
      <c r="M15" s="3" t="n"/>
      <c r="N15" s="70" t="n"/>
    </row>
    <row r="16" ht="22.5" customHeight="1" s="151">
      <c r="A16" s="15">
        <f>IF(B16&lt;&gt;"", COUNTA($B$2:B16), "")</f>
        <v/>
      </c>
      <c r="B16" s="280" t="inlineStr">
        <is>
          <t>Выключатель давления</t>
        </is>
      </c>
      <c r="C16" s="10" t="inlineStr">
        <is>
          <t>Садко 44 ТЖИУ 406422.005.01</t>
        </is>
      </c>
      <c r="D16" s="14" t="n">
        <v>226189</v>
      </c>
      <c r="E16" s="10" t="n">
        <v>2012</v>
      </c>
      <c r="F16" s="14" t="inlineStr">
        <is>
          <t>0,15…0,5 МПа</t>
        </is>
      </c>
      <c r="G16" s="14" t="n"/>
      <c r="H16" s="15" t="inlineStr">
        <is>
          <t>Перепад давления на кр. 7-1</t>
        </is>
      </c>
      <c r="I16" s="15" t="inlineStr">
        <is>
          <t>Узел подключения</t>
        </is>
      </c>
      <c r="J16" s="15" t="inlineStr">
        <is>
          <t>АСУ,А и ТМ (КЦ № 6)</t>
        </is>
      </c>
      <c r="K16" s="15" t="n">
        <v>2012</v>
      </c>
      <c r="L16" s="14" t="n"/>
      <c r="M16" s="3" t="n"/>
      <c r="N16" s="70" t="n"/>
    </row>
    <row r="17" ht="22.5" customHeight="1" s="151">
      <c r="A17" s="15">
        <f>IF(B17&lt;&gt;"", COUNTA($B$2:B17), "")</f>
        <v/>
      </c>
      <c r="B17" s="280" t="inlineStr">
        <is>
          <t>Выключатель давления</t>
        </is>
      </c>
      <c r="C17" s="10" t="inlineStr">
        <is>
          <t>Садко 44 ТЖИУ 406422.005.01</t>
        </is>
      </c>
      <c r="D17" s="14" t="n">
        <v>247112</v>
      </c>
      <c r="E17" s="10" t="n">
        <v>2014</v>
      </c>
      <c r="F17" s="14" t="inlineStr">
        <is>
          <t>0,15…0,5 МПа</t>
        </is>
      </c>
      <c r="G17" s="14" t="n"/>
      <c r="H17" s="15" t="inlineStr">
        <is>
          <t>Перепад давления на кр. 20</t>
        </is>
      </c>
      <c r="I17" s="15" t="inlineStr">
        <is>
          <t>Узел подключения</t>
        </is>
      </c>
      <c r="J17" s="15" t="inlineStr">
        <is>
          <t>АСУ,А и ТМ (КЦ № 6)</t>
        </is>
      </c>
      <c r="K17" s="15" t="n">
        <v>2012</v>
      </c>
      <c r="L17" s="14" t="n"/>
      <c r="M17" s="3" t="n"/>
      <c r="N17" s="70" t="n"/>
    </row>
    <row r="18" ht="22.5" customHeight="1" s="151">
      <c r="A18" s="15">
        <f>IF(B18&lt;&gt;"", COUNTA($B$2:B18), "")</f>
        <v/>
      </c>
      <c r="B18" s="280" t="inlineStr">
        <is>
          <t>Выключатель давления</t>
        </is>
      </c>
      <c r="C18" s="10" t="inlineStr">
        <is>
          <t>Садко 44 ТЖИУ 406422.005.01</t>
        </is>
      </c>
      <c r="D18" s="14" t="n">
        <v>226704</v>
      </c>
      <c r="E18" s="10" t="n">
        <v>2012</v>
      </c>
      <c r="F18" s="14" t="inlineStr">
        <is>
          <t>0,15…0,5 МПа</t>
        </is>
      </c>
      <c r="G18" s="14" t="n"/>
      <c r="H18" s="15" t="inlineStr">
        <is>
          <t>Перепад давления на кр. 8</t>
        </is>
      </c>
      <c r="I18" s="15" t="inlineStr">
        <is>
          <t>Узел подключения</t>
        </is>
      </c>
      <c r="J18" s="15" t="inlineStr">
        <is>
          <t>АСУ,А и ТМ (КЦ № 6)</t>
        </is>
      </c>
      <c r="K18" s="15" t="n">
        <v>2012</v>
      </c>
      <c r="L18" s="14" t="n"/>
      <c r="M18" s="3" t="n"/>
      <c r="N18" s="280" t="n"/>
      <c r="O18" s="26" t="n"/>
      <c r="P18" s="26" t="n"/>
      <c r="Q18" s="10" t="n"/>
      <c r="R18" s="26" t="n"/>
      <c r="S18" s="26" t="n"/>
      <c r="T18" s="15" t="n"/>
      <c r="U18" s="15" t="n"/>
      <c r="V18" s="15" t="n"/>
      <c r="W18" s="15" t="n"/>
      <c r="X18" s="15" t="n"/>
      <c r="Y18" s="3" t="n"/>
      <c r="Z18" s="70" t="n"/>
    </row>
    <row r="19">
      <c r="A19" s="15">
        <f>IF(B19&lt;&gt;"", COUNTA($B$2:B19), "")</f>
        <v/>
      </c>
      <c r="B19" s="280" t="inlineStr">
        <is>
          <t>Манометр технический</t>
        </is>
      </c>
      <c r="C19" s="26" t="inlineStr">
        <is>
          <t>МП4-УУ2</t>
        </is>
      </c>
      <c r="D19" s="26" t="n">
        <v>15602</v>
      </c>
      <c r="E19" s="10" t="n">
        <v>2010</v>
      </c>
      <c r="F19" s="26" t="inlineStr">
        <is>
          <t>0..160 кгс/см2</t>
        </is>
      </c>
      <c r="G19" s="26" t="n">
        <v>1.5</v>
      </c>
      <c r="H19" s="15" t="inlineStr">
        <is>
          <t>Р имп. газа в ресивере</t>
        </is>
      </c>
      <c r="I19" s="15" t="inlineStr">
        <is>
          <t>Узел подключения</t>
        </is>
      </c>
      <c r="J19" s="15" t="inlineStr">
        <is>
          <t>АСУ,А и ТМ (КЦ № 6)</t>
        </is>
      </c>
      <c r="K19" s="15" t="n">
        <v>2012</v>
      </c>
      <c r="L19" s="15" t="n">
        <v>12</v>
      </c>
      <c r="M19" s="3" t="inlineStr">
        <is>
          <t>2К26</t>
        </is>
      </c>
      <c r="N19" s="70" t="inlineStr">
        <is>
          <t>К</t>
        </is>
      </c>
    </row>
    <row r="20">
      <c r="A20" s="15">
        <f>IF(B20&lt;&gt;"", COUNTA($B$2:B20), "")</f>
        <v/>
      </c>
      <c r="B20" s="280" t="inlineStr">
        <is>
          <t>Манометр технический</t>
        </is>
      </c>
      <c r="C20" s="26" t="inlineStr">
        <is>
          <t>МП4-УУ2</t>
        </is>
      </c>
      <c r="D20" s="26" t="n">
        <v>30397</v>
      </c>
      <c r="E20" s="10" t="n">
        <v>2010</v>
      </c>
      <c r="F20" s="26" t="inlineStr">
        <is>
          <t>0..160 кгс/см2</t>
        </is>
      </c>
      <c r="G20" s="26" t="n">
        <v>1.5</v>
      </c>
      <c r="H20" s="26" t="inlineStr">
        <is>
          <t>Р имп. газа кр. №7</t>
        </is>
      </c>
      <c r="I20" s="15" t="inlineStr">
        <is>
          <t>Узел подключения</t>
        </is>
      </c>
      <c r="J20" s="15" t="inlineStr">
        <is>
          <t>АСУ,А и ТМ (КЦ № 6)</t>
        </is>
      </c>
      <c r="K20" s="15" t="n">
        <v>2012</v>
      </c>
      <c r="L20" s="15" t="n">
        <v>12</v>
      </c>
      <c r="M20" s="3" t="inlineStr">
        <is>
          <t>2К26</t>
        </is>
      </c>
      <c r="N20" s="70" t="inlineStr">
        <is>
          <t>К</t>
        </is>
      </c>
    </row>
    <row r="21">
      <c r="A21" s="15">
        <f>IF(B21&lt;&gt;"", COUNTA($B$2:B21), "")</f>
        <v/>
      </c>
      <c r="B21" s="280" t="inlineStr">
        <is>
          <t>Манометр технический</t>
        </is>
      </c>
      <c r="C21" s="26" t="inlineStr">
        <is>
          <t>МП4-УУ2</t>
        </is>
      </c>
      <c r="D21" s="26" t="n">
        <v>30366</v>
      </c>
      <c r="E21" s="10" t="n">
        <v>2010</v>
      </c>
      <c r="F21" s="26" t="inlineStr">
        <is>
          <t>0..160 кгс/см2</t>
        </is>
      </c>
      <c r="G21" s="26" t="n">
        <v>1.5</v>
      </c>
      <c r="H21" s="26" t="inlineStr">
        <is>
          <t>Р газа до кр. №7</t>
        </is>
      </c>
      <c r="I21" s="15" t="inlineStr">
        <is>
          <t>Узел подключения</t>
        </is>
      </c>
      <c r="J21" s="15" t="inlineStr">
        <is>
          <t>АСУ,А и ТМ (КЦ № 6)</t>
        </is>
      </c>
      <c r="K21" s="15" t="n">
        <v>2012</v>
      </c>
      <c r="L21" s="15" t="n">
        <v>12</v>
      </c>
      <c r="M21" s="3" t="inlineStr">
        <is>
          <t>2К26</t>
        </is>
      </c>
      <c r="N21" s="70" t="inlineStr">
        <is>
          <t>К</t>
        </is>
      </c>
    </row>
    <row r="22">
      <c r="A22" s="15">
        <f>IF(B22&lt;&gt;"", COUNTA($B$2:B22), "")</f>
        <v/>
      </c>
      <c r="B22" s="280" t="inlineStr">
        <is>
          <t>Манометр технический</t>
        </is>
      </c>
      <c r="C22" s="26" t="inlineStr">
        <is>
          <t>МП4-УУ2</t>
        </is>
      </c>
      <c r="D22" s="26" t="n">
        <v>15368</v>
      </c>
      <c r="E22" s="10" t="n">
        <v>2010</v>
      </c>
      <c r="F22" s="26" t="inlineStr">
        <is>
          <t>0..160 кгс/см2</t>
        </is>
      </c>
      <c r="G22" s="26" t="n">
        <v>1.5</v>
      </c>
      <c r="H22" s="26" t="inlineStr">
        <is>
          <t>Р газа после кр. №7</t>
        </is>
      </c>
      <c r="I22" s="15" t="inlineStr">
        <is>
          <t>Узел подключения</t>
        </is>
      </c>
      <c r="J22" s="15" t="inlineStr">
        <is>
          <t>АСУ,А и ТМ (КЦ № 6)</t>
        </is>
      </c>
      <c r="K22" s="15" t="n">
        <v>2012</v>
      </c>
      <c r="L22" s="15" t="n">
        <v>12</v>
      </c>
      <c r="M22" s="3" t="inlineStr">
        <is>
          <t>2К26</t>
        </is>
      </c>
      <c r="N22" s="70" t="inlineStr">
        <is>
          <t>К</t>
        </is>
      </c>
    </row>
    <row r="23">
      <c r="A23" s="15">
        <f>IF(B23&lt;&gt;"", COUNTA($B$2:B23), "")</f>
        <v/>
      </c>
      <c r="B23" s="280" t="inlineStr">
        <is>
          <t>Манометр технический</t>
        </is>
      </c>
      <c r="C23" s="26" t="inlineStr">
        <is>
          <t>МП4-УУ2</t>
        </is>
      </c>
      <c r="D23" s="26" t="n">
        <v>15362</v>
      </c>
      <c r="E23" s="10" t="n">
        <v>2010</v>
      </c>
      <c r="F23" s="26" t="inlineStr">
        <is>
          <t>0..160 кгс/см2</t>
        </is>
      </c>
      <c r="G23" s="26" t="n">
        <v>1</v>
      </c>
      <c r="H23" s="26" t="inlineStr">
        <is>
          <t>Р имп. газа     кр. №7с</t>
        </is>
      </c>
      <c r="I23" s="15" t="inlineStr">
        <is>
          <t>Узел подключения</t>
        </is>
      </c>
      <c r="J23" s="15" t="inlineStr">
        <is>
          <t>АСУ,А и ТМ (КЦ № 6)</t>
        </is>
      </c>
      <c r="K23" s="15" t="n">
        <v>2012</v>
      </c>
      <c r="L23" s="15" t="n">
        <v>12</v>
      </c>
      <c r="M23" s="3" t="inlineStr">
        <is>
          <t>2К26</t>
        </is>
      </c>
      <c r="N23" s="70" t="inlineStr">
        <is>
          <t>К</t>
        </is>
      </c>
    </row>
    <row r="24">
      <c r="A24" s="15">
        <f>IF(B24&lt;&gt;"", COUNTA($B$2:B24), "")</f>
        <v/>
      </c>
      <c r="B24" s="280" t="inlineStr">
        <is>
          <t>Манометр технический</t>
        </is>
      </c>
      <c r="C24" s="26" t="inlineStr">
        <is>
          <t>ТМ6</t>
        </is>
      </c>
      <c r="D24" s="26" t="n">
        <v>15225</v>
      </c>
      <c r="E24" s="10" t="n">
        <v>2010</v>
      </c>
      <c r="F24" s="26" t="inlineStr">
        <is>
          <t>0..160 кгс/см2</t>
        </is>
      </c>
      <c r="G24" s="26" t="n">
        <v>1.5</v>
      </c>
      <c r="H24" s="26" t="inlineStr">
        <is>
          <t>Р имп. газа     кр. №7р</t>
        </is>
      </c>
      <c r="I24" s="15" t="inlineStr">
        <is>
          <t>Узел подключения</t>
        </is>
      </c>
      <c r="J24" s="15" t="inlineStr">
        <is>
          <t>АСУ,А и ТМ (КЦ № 6)</t>
        </is>
      </c>
      <c r="K24" s="15" t="n">
        <v>2012</v>
      </c>
      <c r="L24" s="15" t="n">
        <v>12</v>
      </c>
      <c r="M24" s="3" t="inlineStr">
        <is>
          <t>2К26</t>
        </is>
      </c>
      <c r="N24" s="70" t="inlineStr">
        <is>
          <t>К</t>
        </is>
      </c>
    </row>
    <row r="25">
      <c r="A25" s="15">
        <f>IF(B25&lt;&gt;"", COUNTA($B$2:B25), "")</f>
        <v/>
      </c>
      <c r="B25" s="280" t="inlineStr">
        <is>
          <t>Манометр технический</t>
        </is>
      </c>
      <c r="C25" s="26" t="inlineStr">
        <is>
          <t>ТМ6</t>
        </is>
      </c>
      <c r="D25" s="26" t="n">
        <v>15413</v>
      </c>
      <c r="E25" s="10" t="n">
        <v>2010</v>
      </c>
      <c r="F25" s="26" t="inlineStr">
        <is>
          <t>0..160 кгс/см2</t>
        </is>
      </c>
      <c r="G25" s="26" t="n">
        <v>1.5</v>
      </c>
      <c r="H25" s="26" t="inlineStr">
        <is>
          <t>Р газа до кр. №7-1</t>
        </is>
      </c>
      <c r="I25" s="15" t="inlineStr">
        <is>
          <t>Узел подключения</t>
        </is>
      </c>
      <c r="J25" s="15" t="inlineStr">
        <is>
          <t>АСУ,А и ТМ (КЦ № 6)</t>
        </is>
      </c>
      <c r="K25" s="15" t="n">
        <v>2012</v>
      </c>
      <c r="L25" s="15" t="n">
        <v>12</v>
      </c>
      <c r="M25" s="3" t="inlineStr">
        <is>
          <t>2К26</t>
        </is>
      </c>
      <c r="N25" s="70" t="inlineStr">
        <is>
          <t>К</t>
        </is>
      </c>
    </row>
    <row r="26">
      <c r="A26" s="15">
        <f>IF(B26&lt;&gt;"", COUNTA($B$2:B26), "")</f>
        <v/>
      </c>
      <c r="B26" s="280" t="inlineStr">
        <is>
          <t>Манометр технический</t>
        </is>
      </c>
      <c r="C26" s="26" t="inlineStr">
        <is>
          <t>МП4-У</t>
        </is>
      </c>
      <c r="D26" s="26" t="n">
        <v>1064845</v>
      </c>
      <c r="E26" s="10" t="n">
        <v>2010</v>
      </c>
      <c r="F26" s="26" t="inlineStr">
        <is>
          <t>0..160 кгс/см2</t>
        </is>
      </c>
      <c r="G26" s="26" t="n">
        <v>1.5</v>
      </c>
      <c r="H26" s="26" t="inlineStr">
        <is>
          <t>Р газа после кр. №7-1</t>
        </is>
      </c>
      <c r="I26" s="15" t="inlineStr">
        <is>
          <t>Узел подключения</t>
        </is>
      </c>
      <c r="J26" s="15" t="inlineStr">
        <is>
          <t>АСУ,А и ТМ (КЦ № 6)</t>
        </is>
      </c>
      <c r="K26" s="15" t="n">
        <v>2012</v>
      </c>
      <c r="L26" s="15" t="n">
        <v>12</v>
      </c>
      <c r="M26" s="3" t="inlineStr">
        <is>
          <t>2К26</t>
        </is>
      </c>
      <c r="N26" s="70" t="inlineStr">
        <is>
          <t>К</t>
        </is>
      </c>
    </row>
    <row r="27">
      <c r="A27" s="15">
        <f>IF(B27&lt;&gt;"", COUNTA($B$2:B27), "")</f>
        <v/>
      </c>
      <c r="B27" s="280" t="inlineStr">
        <is>
          <t>Манометр технический</t>
        </is>
      </c>
      <c r="C27" s="26" t="inlineStr">
        <is>
          <t>МП4-УУ2</t>
        </is>
      </c>
      <c r="D27" s="26" t="n">
        <v>15389</v>
      </c>
      <c r="E27" s="10" t="n">
        <v>2010</v>
      </c>
      <c r="F27" s="26" t="inlineStr">
        <is>
          <t>0..160 кгс/см2</t>
        </is>
      </c>
      <c r="G27" s="26" t="n">
        <v>1.5</v>
      </c>
      <c r="H27" s="26" t="inlineStr">
        <is>
          <t>Р имп. газа    кр. №7-1р1</t>
        </is>
      </c>
      <c r="I27" s="15" t="inlineStr">
        <is>
          <t>Узел подключения</t>
        </is>
      </c>
      <c r="J27" s="15" t="inlineStr">
        <is>
          <t>АСУ,А и ТМ (КЦ № 6)</t>
        </is>
      </c>
      <c r="K27" s="15" t="n">
        <v>2012</v>
      </c>
      <c r="L27" s="15" t="n">
        <v>12</v>
      </c>
      <c r="M27" s="3" t="inlineStr">
        <is>
          <t>2К26</t>
        </is>
      </c>
      <c r="N27" s="70" t="inlineStr">
        <is>
          <t>К</t>
        </is>
      </c>
    </row>
    <row r="28">
      <c r="A28" s="15">
        <f>IF(B28&lt;&gt;"", COUNTA($B$2:B28), "")</f>
        <v/>
      </c>
      <c r="B28" s="280" t="inlineStr">
        <is>
          <t>Манометр технический</t>
        </is>
      </c>
      <c r="C28" s="26" t="inlineStr">
        <is>
          <t>МП4-УУ2</t>
        </is>
      </c>
      <c r="D28" s="26" t="n">
        <v>15546</v>
      </c>
      <c r="E28" s="10" t="n">
        <v>2010</v>
      </c>
      <c r="F28" s="26" t="inlineStr">
        <is>
          <t>0..160 кгс/см2</t>
        </is>
      </c>
      <c r="G28" s="26" t="n">
        <v>1.5</v>
      </c>
      <c r="H28" s="26" t="inlineStr">
        <is>
          <t>Р имп. газа     кр. №7-1р2</t>
        </is>
      </c>
      <c r="I28" s="15" t="inlineStr">
        <is>
          <t>Узел подключения</t>
        </is>
      </c>
      <c r="J28" s="15" t="inlineStr">
        <is>
          <t>АСУ,А и ТМ (КЦ № 6)</t>
        </is>
      </c>
      <c r="K28" s="15" t="n">
        <v>2012</v>
      </c>
      <c r="L28" s="15" t="n">
        <v>12</v>
      </c>
      <c r="M28" s="3" t="inlineStr">
        <is>
          <t>2К26</t>
        </is>
      </c>
      <c r="N28" s="70" t="inlineStr">
        <is>
          <t>К</t>
        </is>
      </c>
    </row>
    <row r="29">
      <c r="A29" s="15">
        <f>IF(B29&lt;&gt;"", COUNTA($B$2:B29), "")</f>
        <v/>
      </c>
      <c r="B29" s="280" t="inlineStr">
        <is>
          <t>Манометр технический</t>
        </is>
      </c>
      <c r="C29" s="26" t="inlineStr">
        <is>
          <t>МП4-УУ2</t>
        </is>
      </c>
      <c r="D29" s="26" t="n">
        <v>30392</v>
      </c>
      <c r="E29" s="10" t="n">
        <v>2010</v>
      </c>
      <c r="F29" s="26" t="inlineStr">
        <is>
          <t>0..160 кгс/см2</t>
        </is>
      </c>
      <c r="G29" s="26" t="n">
        <v>1.5</v>
      </c>
      <c r="H29" s="26" t="inlineStr">
        <is>
          <t>Р имп. газа     кр. №Т1</t>
        </is>
      </c>
      <c r="I29" s="15" t="inlineStr">
        <is>
          <t>Узел подключения</t>
        </is>
      </c>
      <c r="J29" s="15" t="inlineStr">
        <is>
          <t>АСУ,А и ТМ (КЦ № 6)</t>
        </is>
      </c>
      <c r="K29" s="15" t="n">
        <v>2012</v>
      </c>
      <c r="L29" s="15" t="n">
        <v>12</v>
      </c>
      <c r="M29" s="3" t="inlineStr">
        <is>
          <t>2К26</t>
        </is>
      </c>
      <c r="N29" s="70" t="inlineStr">
        <is>
          <t>К</t>
        </is>
      </c>
    </row>
    <row r="30">
      <c r="A30" s="15">
        <f>IF(B30&lt;&gt;"", COUNTA($B$2:B30), "")</f>
        <v/>
      </c>
      <c r="B30" s="280" t="inlineStr">
        <is>
          <t>Манометр технический</t>
        </is>
      </c>
      <c r="C30" s="26" t="inlineStr">
        <is>
          <t>МП4-УУ2</t>
        </is>
      </c>
      <c r="D30" s="26" t="n">
        <v>15383</v>
      </c>
      <c r="E30" s="10" t="n">
        <v>2010</v>
      </c>
      <c r="F30" s="26" t="inlineStr">
        <is>
          <t>0..160 кгс/см2</t>
        </is>
      </c>
      <c r="G30" s="26" t="n">
        <v>1.5</v>
      </c>
      <c r="H30" s="26" t="inlineStr">
        <is>
          <t>Р имп. газа     кр. №Т2</t>
        </is>
      </c>
      <c r="I30" s="15" t="inlineStr">
        <is>
          <t>Узел подключения</t>
        </is>
      </c>
      <c r="J30" s="15" t="inlineStr">
        <is>
          <t>АСУ,А и ТМ (КЦ № 6)</t>
        </is>
      </c>
      <c r="K30" s="15" t="n">
        <v>2012</v>
      </c>
      <c r="L30" s="15" t="n">
        <v>12</v>
      </c>
      <c r="M30" s="3" t="inlineStr">
        <is>
          <t>2К26</t>
        </is>
      </c>
      <c r="N30" s="70" t="inlineStr">
        <is>
          <t>К</t>
        </is>
      </c>
    </row>
    <row r="31">
      <c r="A31" s="15">
        <f>IF(B31&lt;&gt;"", COUNTA($B$2:B31), "")</f>
        <v/>
      </c>
      <c r="B31" s="280" t="inlineStr">
        <is>
          <t>Манометр технический</t>
        </is>
      </c>
      <c r="C31" s="26" t="inlineStr">
        <is>
          <t>МП4-УУ2</t>
        </is>
      </c>
      <c r="D31" s="26" t="n">
        <v>15514</v>
      </c>
      <c r="E31" s="10" t="n">
        <v>2010</v>
      </c>
      <c r="F31" s="26" t="inlineStr">
        <is>
          <t>0..160 кгс/см2</t>
        </is>
      </c>
      <c r="G31" s="26" t="n">
        <v>1.5</v>
      </c>
      <c r="H31" s="26" t="inlineStr">
        <is>
          <t>Р имп. газа     кр. №Т3</t>
        </is>
      </c>
      <c r="I31" s="15" t="inlineStr">
        <is>
          <t>Узел подключения</t>
        </is>
      </c>
      <c r="J31" s="15" t="inlineStr">
        <is>
          <t>АСУ,А и ТМ (КЦ № 6)</t>
        </is>
      </c>
      <c r="K31" s="15" t="n">
        <v>2012</v>
      </c>
      <c r="L31" s="15" t="n">
        <v>12</v>
      </c>
      <c r="M31" s="3" t="inlineStr">
        <is>
          <t>2К26</t>
        </is>
      </c>
      <c r="N31" s="70" t="inlineStr">
        <is>
          <t>К</t>
        </is>
      </c>
    </row>
    <row r="32">
      <c r="A32" s="15">
        <f>IF(B32&lt;&gt;"", COUNTA($B$2:B32), "")</f>
        <v/>
      </c>
      <c r="B32" s="280" t="inlineStr">
        <is>
          <t>Манометр технический</t>
        </is>
      </c>
      <c r="C32" s="26" t="inlineStr">
        <is>
          <t>МП4-УУ2</t>
        </is>
      </c>
      <c r="D32" s="26" t="n">
        <v>15399</v>
      </c>
      <c r="E32" s="10" t="n">
        <v>2010</v>
      </c>
      <c r="F32" s="26" t="inlineStr">
        <is>
          <t>0..160 кгс/см2</t>
        </is>
      </c>
      <c r="G32" s="26" t="n">
        <v>1</v>
      </c>
      <c r="H32" s="26" t="inlineStr">
        <is>
          <t>Р имп. газа     кр. №Т4</t>
        </is>
      </c>
      <c r="I32" s="15" t="inlineStr">
        <is>
          <t>Узел подключения</t>
        </is>
      </c>
      <c r="J32" s="15" t="inlineStr">
        <is>
          <t>АСУ,А и ТМ (КЦ № 6)</t>
        </is>
      </c>
      <c r="K32" s="15" t="n">
        <v>2012</v>
      </c>
      <c r="L32" s="15" t="n">
        <v>12</v>
      </c>
      <c r="M32" s="3" t="inlineStr">
        <is>
          <t>2К26</t>
        </is>
      </c>
      <c r="N32" s="70" t="inlineStr">
        <is>
          <t>К</t>
        </is>
      </c>
    </row>
    <row r="33">
      <c r="A33" s="15">
        <f>IF(B33&lt;&gt;"", COUNTA($B$2:B33), "")</f>
        <v/>
      </c>
      <c r="B33" s="280" t="inlineStr">
        <is>
          <t>Манометр технический</t>
        </is>
      </c>
      <c r="C33" s="26" t="inlineStr">
        <is>
          <t>МП4-УУ2</t>
        </is>
      </c>
      <c r="D33" s="26" t="n">
        <v>15327</v>
      </c>
      <c r="E33" s="10" t="n">
        <v>2010</v>
      </c>
      <c r="F33" s="26" t="inlineStr">
        <is>
          <t>0..160 кгс/см2</t>
        </is>
      </c>
      <c r="G33" s="26" t="n">
        <v>1.5</v>
      </c>
      <c r="H33" s="26" t="inlineStr">
        <is>
          <t>Р имп. газа кр. №3с</t>
        </is>
      </c>
      <c r="I33" s="15" t="inlineStr">
        <is>
          <t>Узел подключения</t>
        </is>
      </c>
      <c r="J33" s="15" t="inlineStr">
        <is>
          <t>АСУ,А и ТМ (КЦ № 6)</t>
        </is>
      </c>
      <c r="K33" s="15" t="n">
        <v>2012</v>
      </c>
      <c r="L33" s="15" t="n">
        <v>12</v>
      </c>
      <c r="M33" s="3" t="inlineStr">
        <is>
          <t>2К26</t>
        </is>
      </c>
      <c r="N33" s="70" t="inlineStr">
        <is>
          <t>К</t>
        </is>
      </c>
    </row>
    <row r="34">
      <c r="A34" s="15">
        <f>IF(B34&lt;&gt;"", COUNTA($B$2:B34), "")</f>
        <v/>
      </c>
      <c r="B34" s="280" t="inlineStr">
        <is>
          <t>Манометр технический</t>
        </is>
      </c>
      <c r="C34" s="26" t="inlineStr">
        <is>
          <t>МП4-УУ2</t>
        </is>
      </c>
      <c r="D34" s="26" t="n">
        <v>30396</v>
      </c>
      <c r="E34" s="10" t="n">
        <v>2010</v>
      </c>
      <c r="F34" s="26" t="inlineStr">
        <is>
          <t>0..160 кгс/см2</t>
        </is>
      </c>
      <c r="G34" s="26" t="n">
        <v>1.5</v>
      </c>
      <c r="H34" s="26" t="inlineStr">
        <is>
          <t>Р имп. газа кр. №1с</t>
        </is>
      </c>
      <c r="I34" s="15" t="inlineStr">
        <is>
          <t>Узел подключения</t>
        </is>
      </c>
      <c r="J34" s="15" t="inlineStr">
        <is>
          <t>АСУ,А и ТМ (КЦ № 6)</t>
        </is>
      </c>
      <c r="K34" s="15" t="n">
        <v>2012</v>
      </c>
      <c r="L34" s="15" t="n">
        <v>12</v>
      </c>
      <c r="M34" s="3" t="inlineStr">
        <is>
          <t>2К26</t>
        </is>
      </c>
      <c r="N34" s="70" t="inlineStr">
        <is>
          <t>К</t>
        </is>
      </c>
    </row>
    <row r="35">
      <c r="A35" s="15">
        <f>IF(B35&lt;&gt;"", COUNTA($B$2:B35), "")</f>
        <v/>
      </c>
      <c r="B35" s="280" t="inlineStr">
        <is>
          <t>Манометр технический</t>
        </is>
      </c>
      <c r="C35" s="26" t="inlineStr">
        <is>
          <t>МП4-УУ2</t>
        </is>
      </c>
      <c r="D35" s="26" t="n">
        <v>15508</v>
      </c>
      <c r="E35" s="10" t="n">
        <v>2010</v>
      </c>
      <c r="F35" s="26" t="inlineStr">
        <is>
          <t>0..160 кгс/см2</t>
        </is>
      </c>
      <c r="G35" s="26" t="n">
        <v>1</v>
      </c>
      <c r="H35" s="26" t="inlineStr">
        <is>
          <t>Р имп. газа кр. №2с</t>
        </is>
      </c>
      <c r="I35" s="15" t="inlineStr">
        <is>
          <t>Узел подключения</t>
        </is>
      </c>
      <c r="J35" s="15" t="inlineStr">
        <is>
          <t>АСУ,А и ТМ (КЦ № 6)</t>
        </is>
      </c>
      <c r="K35" s="15" t="n">
        <v>2012</v>
      </c>
      <c r="L35" s="15" t="n">
        <v>12</v>
      </c>
      <c r="M35" s="3" t="inlineStr">
        <is>
          <t>2К26</t>
        </is>
      </c>
      <c r="N35" s="70" t="inlineStr">
        <is>
          <t>К</t>
        </is>
      </c>
    </row>
    <row r="36">
      <c r="A36" s="15">
        <f>IF(B36&lt;&gt;"", COUNTA($B$2:B36), "")</f>
        <v/>
      </c>
      <c r="B36" s="280" t="inlineStr">
        <is>
          <t>Манометр технический</t>
        </is>
      </c>
      <c r="C36" s="26" t="inlineStr">
        <is>
          <t>МП4-УУ2</t>
        </is>
      </c>
      <c r="D36" s="26" t="n">
        <v>30390</v>
      </c>
      <c r="E36" s="10" t="n">
        <v>2010</v>
      </c>
      <c r="F36" s="26" t="inlineStr">
        <is>
          <t>0..160 кгс/см2</t>
        </is>
      </c>
      <c r="G36" s="26" t="n">
        <v>1.5</v>
      </c>
      <c r="H36" s="26" t="inlineStr">
        <is>
          <t>Р газа до  кр. №20-6</t>
        </is>
      </c>
      <c r="I36" s="15" t="inlineStr">
        <is>
          <t>Узел подключения</t>
        </is>
      </c>
      <c r="J36" s="15" t="inlineStr">
        <is>
          <t>АСУ,А и ТМ (КЦ № 6)</t>
        </is>
      </c>
      <c r="K36" s="15" t="n">
        <v>2012</v>
      </c>
      <c r="L36" s="15" t="n">
        <v>12</v>
      </c>
      <c r="M36" s="3" t="inlineStr">
        <is>
          <t>2К26</t>
        </is>
      </c>
      <c r="N36" s="70" t="inlineStr">
        <is>
          <t>К</t>
        </is>
      </c>
    </row>
    <row r="37">
      <c r="A37" s="15">
        <f>IF(B37&lt;&gt;"", COUNTA($B$2:B37), "")</f>
        <v/>
      </c>
      <c r="B37" s="280" t="inlineStr">
        <is>
          <t>Манометр технический</t>
        </is>
      </c>
      <c r="C37" s="26" t="inlineStr">
        <is>
          <t>МП4-УУ2</t>
        </is>
      </c>
      <c r="D37" s="26" t="n">
        <v>15397</v>
      </c>
      <c r="E37" s="10" t="n">
        <v>2010</v>
      </c>
      <c r="F37" s="26" t="inlineStr">
        <is>
          <t>0..160 кгс/см2</t>
        </is>
      </c>
      <c r="G37" s="26" t="n">
        <v>1</v>
      </c>
      <c r="H37" s="26" t="inlineStr">
        <is>
          <t>Р газа после кр. №20-6</t>
        </is>
      </c>
      <c r="I37" s="15" t="inlineStr">
        <is>
          <t>Узел подключения</t>
        </is>
      </c>
      <c r="J37" s="15" t="inlineStr">
        <is>
          <t>АСУ,А и ТМ (КЦ № 6)</t>
        </is>
      </c>
      <c r="K37" s="15" t="n">
        <v>2012</v>
      </c>
      <c r="L37" s="15" t="n">
        <v>12</v>
      </c>
      <c r="M37" s="3" t="inlineStr">
        <is>
          <t>2К26</t>
        </is>
      </c>
      <c r="N37" s="70" t="inlineStr">
        <is>
          <t>К</t>
        </is>
      </c>
    </row>
    <row r="38">
      <c r="A38" s="15">
        <f>IF(B38&lt;&gt;"", COUNTA($B$2:B38), "")</f>
        <v/>
      </c>
      <c r="B38" s="280" t="inlineStr">
        <is>
          <t>Манометр технический</t>
        </is>
      </c>
      <c r="C38" s="26" t="inlineStr">
        <is>
          <t>МП4-УУ2</t>
        </is>
      </c>
      <c r="D38" s="26" t="n">
        <v>30395</v>
      </c>
      <c r="E38" s="10" t="n">
        <v>2010</v>
      </c>
      <c r="F38" s="26" t="inlineStr">
        <is>
          <t>0..160 кгс/см2</t>
        </is>
      </c>
      <c r="G38" s="26" t="n">
        <v>1.5</v>
      </c>
      <c r="H38" s="26" t="inlineStr">
        <is>
          <t>Р имп. газа  кр. №20-6</t>
        </is>
      </c>
      <c r="I38" s="15" t="inlineStr">
        <is>
          <t>Узел подключения</t>
        </is>
      </c>
      <c r="J38" s="15" t="inlineStr">
        <is>
          <t>АСУ,А и ТМ (КЦ № 6)</t>
        </is>
      </c>
      <c r="K38" s="15" t="n">
        <v>2012</v>
      </c>
      <c r="L38" s="15" t="n">
        <v>12</v>
      </c>
      <c r="M38" s="3" t="inlineStr">
        <is>
          <t>2К26</t>
        </is>
      </c>
      <c r="N38" s="70" t="inlineStr">
        <is>
          <t>К</t>
        </is>
      </c>
    </row>
    <row r="39">
      <c r="A39" s="15">
        <f>IF(B39&lt;&gt;"", COUNTA($B$2:B39), "")</f>
        <v/>
      </c>
      <c r="B39" s="280" t="inlineStr">
        <is>
          <t>Манометр технический</t>
        </is>
      </c>
      <c r="C39" s="26" t="inlineStr">
        <is>
          <t>МП4-УУ2</t>
        </is>
      </c>
      <c r="D39" s="26" t="n">
        <v>15503</v>
      </c>
      <c r="E39" s="10" t="n">
        <v>2010</v>
      </c>
      <c r="F39" s="26" t="inlineStr">
        <is>
          <t>0..160 кгс/см2</t>
        </is>
      </c>
      <c r="G39" s="26" t="n">
        <v>1.5</v>
      </c>
      <c r="H39" s="26" t="inlineStr">
        <is>
          <t>Р газа до кр. №8</t>
        </is>
      </c>
      <c r="I39" s="15" t="inlineStr">
        <is>
          <t>Узел подключения</t>
        </is>
      </c>
      <c r="J39" s="15" t="inlineStr">
        <is>
          <t>АСУ,А и ТМ (КЦ № 6)</t>
        </is>
      </c>
      <c r="K39" s="15" t="n">
        <v>2012</v>
      </c>
      <c r="L39" s="15" t="n">
        <v>12</v>
      </c>
      <c r="M39" s="3" t="inlineStr">
        <is>
          <t>2К26</t>
        </is>
      </c>
      <c r="N39" s="70" t="inlineStr">
        <is>
          <t>К</t>
        </is>
      </c>
    </row>
    <row r="40">
      <c r="A40" s="15">
        <f>IF(B40&lt;&gt;"", COUNTA($B$2:B40), "")</f>
        <v/>
      </c>
      <c r="B40" s="280" t="inlineStr">
        <is>
          <t>Манометр технический</t>
        </is>
      </c>
      <c r="C40" s="26" t="inlineStr">
        <is>
          <t>МП4-УУ2</t>
        </is>
      </c>
      <c r="D40" s="26" t="n">
        <v>15335</v>
      </c>
      <c r="E40" s="10" t="n">
        <v>2010</v>
      </c>
      <c r="F40" s="26" t="inlineStr">
        <is>
          <t>0..160 кгс/см2</t>
        </is>
      </c>
      <c r="G40" s="26" t="n">
        <v>1.5</v>
      </c>
      <c r="H40" s="26" t="inlineStr">
        <is>
          <t>Р газа после кр. №8</t>
        </is>
      </c>
      <c r="I40" s="15" t="inlineStr">
        <is>
          <t>Узел подключения</t>
        </is>
      </c>
      <c r="J40" s="15" t="inlineStr">
        <is>
          <t>АСУ,А и ТМ (КЦ № 6)</t>
        </is>
      </c>
      <c r="K40" s="15" t="n">
        <v>2012</v>
      </c>
      <c r="L40" s="15" t="n">
        <v>12</v>
      </c>
      <c r="M40" s="3" t="inlineStr">
        <is>
          <t>2К26</t>
        </is>
      </c>
      <c r="N40" s="70" t="inlineStr">
        <is>
          <t>К</t>
        </is>
      </c>
    </row>
    <row r="41">
      <c r="A41" s="15">
        <f>IF(B41&lt;&gt;"", COUNTA($B$2:B41), "")</f>
        <v/>
      </c>
      <c r="B41" s="280" t="inlineStr">
        <is>
          <t>Манометр технический</t>
        </is>
      </c>
      <c r="C41" s="26" t="inlineStr">
        <is>
          <t>МП4-УУ2</t>
        </is>
      </c>
      <c r="D41" s="26" t="n">
        <v>20174</v>
      </c>
      <c r="E41" s="10" t="n">
        <v>2010</v>
      </c>
      <c r="F41" s="26" t="inlineStr">
        <is>
          <t>0..160 кгс/см2</t>
        </is>
      </c>
      <c r="G41" s="26" t="n">
        <v>1.5</v>
      </c>
      <c r="H41" s="26" t="inlineStr">
        <is>
          <t>Р имп. газа     кр. №8с</t>
        </is>
      </c>
      <c r="I41" s="15" t="inlineStr">
        <is>
          <t>Узел подключения</t>
        </is>
      </c>
      <c r="J41" s="15" t="inlineStr">
        <is>
          <t>АСУ,А и ТМ (КЦ № 6)</t>
        </is>
      </c>
      <c r="K41" s="15" t="n">
        <v>2012</v>
      </c>
      <c r="L41" s="15" t="n">
        <v>12</v>
      </c>
      <c r="M41" s="3" t="inlineStr">
        <is>
          <t>2К26</t>
        </is>
      </c>
      <c r="N41" s="70" t="inlineStr">
        <is>
          <t>К</t>
        </is>
      </c>
    </row>
    <row r="42">
      <c r="A42" s="15">
        <f>IF(B42&lt;&gt;"", COUNTA($B$2:B42), "")</f>
        <v/>
      </c>
      <c r="B42" s="280" t="inlineStr">
        <is>
          <t>Манометр технический</t>
        </is>
      </c>
      <c r="C42" s="26" t="inlineStr">
        <is>
          <t>МП4-УУ2</t>
        </is>
      </c>
      <c r="D42" s="26" t="n">
        <v>15381</v>
      </c>
      <c r="E42" s="10" t="n">
        <v>2010</v>
      </c>
      <c r="F42" s="26" t="inlineStr">
        <is>
          <t>0..160 кгс/см2</t>
        </is>
      </c>
      <c r="G42" s="26" t="n">
        <v>1</v>
      </c>
      <c r="H42" s="26" t="inlineStr">
        <is>
          <t>Р имп. газа     кр. №8р1</t>
        </is>
      </c>
      <c r="I42" s="15" t="inlineStr">
        <is>
          <t>Узел подключения</t>
        </is>
      </c>
      <c r="J42" s="15" t="inlineStr">
        <is>
          <t>АСУ,А и ТМ (КЦ № 6)</t>
        </is>
      </c>
      <c r="K42" s="15" t="n">
        <v>2012</v>
      </c>
      <c r="L42" s="15" t="n">
        <v>12</v>
      </c>
      <c r="M42" s="3" t="inlineStr">
        <is>
          <t>2К26</t>
        </is>
      </c>
      <c r="N42" s="70" t="inlineStr">
        <is>
          <t>К</t>
        </is>
      </c>
    </row>
    <row r="43">
      <c r="A43" s="15">
        <f>IF(B43&lt;&gt;"", COUNTA($B$2:B43), "")</f>
        <v/>
      </c>
      <c r="B43" s="280" t="inlineStr">
        <is>
          <t>Манометр технический</t>
        </is>
      </c>
      <c r="C43" s="26" t="inlineStr">
        <is>
          <t>МП4-УУ2</t>
        </is>
      </c>
      <c r="D43" s="26" t="n">
        <v>30398</v>
      </c>
      <c r="E43" s="10" t="n">
        <v>2010</v>
      </c>
      <c r="F43" s="26" t="inlineStr">
        <is>
          <t>0..160 кгс/см2</t>
        </is>
      </c>
      <c r="G43" s="26" t="n">
        <v>1.5</v>
      </c>
      <c r="H43" s="26" t="inlineStr">
        <is>
          <t>Р имп. газа     кр. №8р2</t>
        </is>
      </c>
      <c r="I43" s="15" t="inlineStr">
        <is>
          <t>Узел подключения</t>
        </is>
      </c>
      <c r="J43" s="15" t="inlineStr">
        <is>
          <t>АСУ,А и ТМ (КЦ № 6)</t>
        </is>
      </c>
      <c r="K43" s="15" t="n">
        <v>2012</v>
      </c>
      <c r="L43" s="15" t="n">
        <v>12</v>
      </c>
      <c r="M43" s="3" t="inlineStr">
        <is>
          <t>2К26</t>
        </is>
      </c>
      <c r="N43" s="70" t="inlineStr">
        <is>
          <t>К</t>
        </is>
      </c>
    </row>
    <row r="44">
      <c r="A44" s="15">
        <f>IF(B44&lt;&gt;"", COUNTA($B$2:B44), "")</f>
        <v/>
      </c>
      <c r="B44" s="280" t="inlineStr">
        <is>
          <t>Манометр технический</t>
        </is>
      </c>
      <c r="C44" s="26" t="inlineStr">
        <is>
          <t>МП4-УУ2</t>
        </is>
      </c>
      <c r="D44" s="26" t="n">
        <v>15515</v>
      </c>
      <c r="E44" s="10" t="n">
        <v>2010</v>
      </c>
      <c r="F44" s="26" t="inlineStr">
        <is>
          <t>0..160 кгс/см2</t>
        </is>
      </c>
      <c r="G44" s="26" t="n">
        <v>1.5</v>
      </c>
      <c r="H44" s="26" t="inlineStr">
        <is>
          <t>Р имп. газа     кр. №22</t>
        </is>
      </c>
      <c r="I44" s="15" t="inlineStr">
        <is>
          <t>Узел подключения</t>
        </is>
      </c>
      <c r="J44" s="15" t="inlineStr">
        <is>
          <t>АСУ,А и ТМ (КЦ № 6)</t>
        </is>
      </c>
      <c r="K44" s="15" t="n">
        <v>2012</v>
      </c>
      <c r="L44" s="15" t="n">
        <v>12</v>
      </c>
      <c r="M44" s="3" t="inlineStr">
        <is>
          <t>2К26</t>
        </is>
      </c>
      <c r="N44" s="70" t="inlineStr">
        <is>
          <t>К</t>
        </is>
      </c>
    </row>
    <row r="45">
      <c r="A45" s="15">
        <f>IF(B45&lt;&gt;"", COUNTA($B$2:B45), "")</f>
        <v/>
      </c>
      <c r="B45" s="280" t="inlineStr">
        <is>
          <t>Манометр технический</t>
        </is>
      </c>
      <c r="C45" s="26" t="inlineStr">
        <is>
          <t>МП4-УУ2</t>
        </is>
      </c>
      <c r="D45" s="26" t="n">
        <v>15236</v>
      </c>
      <c r="E45" s="10" t="n">
        <v>2010</v>
      </c>
      <c r="F45" s="26" t="inlineStr">
        <is>
          <t>0..160 кгс/см2</t>
        </is>
      </c>
      <c r="G45" s="26" t="n">
        <v>1.5</v>
      </c>
      <c r="H45" s="26" t="inlineStr">
        <is>
          <t>Р имп. газа     кр. №23</t>
        </is>
      </c>
      <c r="I45" s="15" t="inlineStr">
        <is>
          <t>Узел подключения</t>
        </is>
      </c>
      <c r="J45" s="15" t="inlineStr">
        <is>
          <t>АСУ,А и ТМ (КЦ № 6)</t>
        </is>
      </c>
      <c r="K45" s="15" t="n">
        <v>2012</v>
      </c>
      <c r="L45" s="15" t="n">
        <v>12</v>
      </c>
      <c r="M45" s="3" t="inlineStr">
        <is>
          <t>2К26</t>
        </is>
      </c>
      <c r="N45" s="70" t="inlineStr">
        <is>
          <t>К</t>
        </is>
      </c>
    </row>
    <row r="46">
      <c r="A46" s="15">
        <f>IF(B46&lt;&gt;"", COUNTA($B$2:B46), "")</f>
        <v/>
      </c>
      <c r="B46" s="280" t="inlineStr">
        <is>
          <t>Манометр технический</t>
        </is>
      </c>
      <c r="C46" s="26" t="inlineStr">
        <is>
          <t>МП4-УУ2</t>
        </is>
      </c>
      <c r="D46" s="26" t="n">
        <v>80839</v>
      </c>
      <c r="E46" s="10" t="n">
        <v>2010</v>
      </c>
      <c r="F46" s="26" t="inlineStr">
        <is>
          <t>0..160 кгс/см2</t>
        </is>
      </c>
      <c r="G46" s="26" t="n">
        <v>1.5</v>
      </c>
      <c r="H46" s="26" t="inlineStr">
        <is>
          <t>Р имп. газа     кр. №24</t>
        </is>
      </c>
      <c r="I46" s="15" t="inlineStr">
        <is>
          <t>Узел подключения</t>
        </is>
      </c>
      <c r="J46" s="15" t="inlineStr">
        <is>
          <t>АСУ,А и ТМ (КЦ № 6)</t>
        </is>
      </c>
      <c r="K46" s="15" t="n">
        <v>2012</v>
      </c>
      <c r="L46" s="15" t="n">
        <v>12</v>
      </c>
      <c r="M46" s="3" t="inlineStr">
        <is>
          <t>2К26</t>
        </is>
      </c>
      <c r="N46" s="70" t="inlineStr">
        <is>
          <t>К</t>
        </is>
      </c>
    </row>
    <row r="47">
      <c r="A47" s="15">
        <f>IF(B47&lt;&gt;"", COUNTA($B$2:B47), "")</f>
        <v/>
      </c>
      <c r="B47" s="280" t="inlineStr">
        <is>
          <t>Манометр технический</t>
        </is>
      </c>
      <c r="C47" s="26" t="inlineStr">
        <is>
          <t>МП4-УУ2</t>
        </is>
      </c>
      <c r="D47" s="26" t="n">
        <v>8065</v>
      </c>
      <c r="E47" s="10" t="n">
        <v>2010</v>
      </c>
      <c r="F47" s="26" t="inlineStr">
        <is>
          <t>0..160 кгс/см2</t>
        </is>
      </c>
      <c r="G47" s="26" t="n">
        <v>1</v>
      </c>
      <c r="H47" s="26" t="inlineStr">
        <is>
          <t>Р имп. газа     кр. №26</t>
        </is>
      </c>
      <c r="I47" s="15" t="inlineStr">
        <is>
          <t>Узел подключения</t>
        </is>
      </c>
      <c r="J47" s="15" t="inlineStr">
        <is>
          <t>АСУ,А и ТМ (КЦ № 6)</t>
        </is>
      </c>
      <c r="K47" s="15" t="n">
        <v>2012</v>
      </c>
      <c r="L47" s="15" t="n">
        <v>12</v>
      </c>
      <c r="M47" s="3" t="inlineStr">
        <is>
          <t>2К26</t>
        </is>
      </c>
      <c r="N47" s="70" t="inlineStr">
        <is>
          <t>К</t>
        </is>
      </c>
    </row>
    <row r="48">
      <c r="A48" s="15">
        <f>IF(B48&lt;&gt;"", COUNTA($B$2:B48), "")</f>
        <v/>
      </c>
      <c r="B48" s="280" t="inlineStr">
        <is>
          <t>Манометр технический</t>
        </is>
      </c>
      <c r="C48" s="26" t="inlineStr">
        <is>
          <t>МП4-УУ2</t>
        </is>
      </c>
      <c r="D48" s="26" t="n">
        <v>30394</v>
      </c>
      <c r="E48" s="10" t="n">
        <v>2010</v>
      </c>
      <c r="F48" s="26" t="inlineStr">
        <is>
          <t>0..160 кгс/см2</t>
        </is>
      </c>
      <c r="G48" s="26" t="n">
        <v>1.5</v>
      </c>
      <c r="H48" s="26" t="inlineStr">
        <is>
          <t>Р имп. газа     кр. №27</t>
        </is>
      </c>
      <c r="I48" s="15" t="inlineStr">
        <is>
          <t>Узел подключения</t>
        </is>
      </c>
      <c r="J48" s="15" t="inlineStr">
        <is>
          <t>АСУ,А и ТМ (КЦ № 6)</t>
        </is>
      </c>
      <c r="K48" s="15" t="n">
        <v>2012</v>
      </c>
      <c r="L48" s="15" t="n">
        <v>12</v>
      </c>
      <c r="M48" s="3" t="inlineStr">
        <is>
          <t>2К26</t>
        </is>
      </c>
      <c r="N48" s="70" t="inlineStr">
        <is>
          <t>К</t>
        </is>
      </c>
    </row>
    <row r="49">
      <c r="A49" s="15">
        <f>IF(B49&lt;&gt;"", COUNTA($B$2:B49), "")</f>
        <v/>
      </c>
      <c r="B49" s="280" t="inlineStr">
        <is>
          <t>Манометр технический</t>
        </is>
      </c>
      <c r="C49" s="26" t="inlineStr">
        <is>
          <t>МП4-УУ2</t>
        </is>
      </c>
      <c r="D49" s="26" t="n">
        <v>50336</v>
      </c>
      <c r="E49" s="10" t="n">
        <v>2010</v>
      </c>
      <c r="F49" s="26" t="inlineStr">
        <is>
          <t>0..160 кгс/см2</t>
        </is>
      </c>
      <c r="G49" s="26" t="n">
        <v>1.5</v>
      </c>
      <c r="H49" s="26" t="inlineStr">
        <is>
          <t>Р имп. газа     кр. №28</t>
        </is>
      </c>
      <c r="I49" s="15" t="inlineStr">
        <is>
          <t>Узел подключения</t>
        </is>
      </c>
      <c r="J49" s="15" t="inlineStr">
        <is>
          <t>АСУ,А и ТМ (КЦ № 6)</t>
        </is>
      </c>
      <c r="K49" s="15" t="n">
        <v>2012</v>
      </c>
      <c r="L49" s="15" t="n">
        <v>12</v>
      </c>
      <c r="M49" s="3" t="inlineStr">
        <is>
          <t>2К26</t>
        </is>
      </c>
      <c r="N49" s="70" t="inlineStr">
        <is>
          <t>К</t>
        </is>
      </c>
    </row>
    <row r="50">
      <c r="A50" s="15">
        <f>IF(B50&lt;&gt;"", COUNTA($B$2:B50), "")</f>
        <v/>
      </c>
      <c r="B50" s="280" t="inlineStr">
        <is>
          <t>Манометр технический</t>
        </is>
      </c>
      <c r="C50" s="26" t="inlineStr">
        <is>
          <t>МП4-УУ2</t>
        </is>
      </c>
      <c r="D50" s="26" t="n">
        <v>15531</v>
      </c>
      <c r="E50" s="10" t="n">
        <v>2010</v>
      </c>
      <c r="F50" s="26" t="inlineStr">
        <is>
          <t>0..160 кгс/см2</t>
        </is>
      </c>
      <c r="G50" s="26" t="n">
        <v>1</v>
      </c>
      <c r="H50" s="26" t="inlineStr">
        <is>
          <t>Р имп. газа     кр. №33</t>
        </is>
      </c>
      <c r="I50" s="15" t="inlineStr">
        <is>
          <t>Узел подключения</t>
        </is>
      </c>
      <c r="J50" s="15" t="inlineStr">
        <is>
          <t>АСУ,А и ТМ (КЦ № 6)</t>
        </is>
      </c>
      <c r="K50" s="15" t="n">
        <v>2012</v>
      </c>
      <c r="L50" s="15" t="n">
        <v>12</v>
      </c>
      <c r="M50" s="3" t="inlineStr">
        <is>
          <t>2К26</t>
        </is>
      </c>
      <c r="N50" s="70" t="inlineStr">
        <is>
          <t>К</t>
        </is>
      </c>
    </row>
    <row r="51">
      <c r="A51" s="15">
        <f>IF(B51&lt;&gt;"", COUNTA($B$2:B51), "")</f>
        <v/>
      </c>
      <c r="B51" s="280" t="inlineStr">
        <is>
          <t>Манометр технический</t>
        </is>
      </c>
      <c r="C51" s="26" t="inlineStr">
        <is>
          <t>МП4-УУ2</t>
        </is>
      </c>
      <c r="D51" s="26" t="n">
        <v>15373</v>
      </c>
      <c r="E51" s="10" t="n">
        <v>2010</v>
      </c>
      <c r="F51" s="26" t="inlineStr">
        <is>
          <t>0..160 кгс/см2</t>
        </is>
      </c>
      <c r="G51" s="26" t="n">
        <v>1</v>
      </c>
      <c r="H51" s="26" t="inlineStr">
        <is>
          <t>Р имп. газа     кр. №35</t>
        </is>
      </c>
      <c r="I51" s="15" t="inlineStr">
        <is>
          <t>Узел подключения</t>
        </is>
      </c>
      <c r="J51" s="15" t="inlineStr">
        <is>
          <t>АСУ,А и ТМ (КЦ № 6)</t>
        </is>
      </c>
      <c r="K51" s="15" t="n">
        <v>2012</v>
      </c>
      <c r="L51" s="15" t="n">
        <v>12</v>
      </c>
      <c r="M51" s="3" t="inlineStr">
        <is>
          <t>2К26</t>
        </is>
      </c>
      <c r="N51" s="70" t="inlineStr">
        <is>
          <t>К</t>
        </is>
      </c>
    </row>
    <row r="52">
      <c r="A52" s="15">
        <f>IF(B52&lt;&gt;"", COUNTA($B$2:B52), "")</f>
        <v/>
      </c>
      <c r="B52" s="280" t="inlineStr">
        <is>
          <t>Манометр технический</t>
        </is>
      </c>
      <c r="C52" s="26" t="inlineStr">
        <is>
          <t>МП4-УУ2</t>
        </is>
      </c>
      <c r="D52" s="26" t="n">
        <v>700023</v>
      </c>
      <c r="E52" s="10" t="n">
        <v>2010</v>
      </c>
      <c r="F52" s="14" t="inlineStr">
        <is>
          <t xml:space="preserve">0..16 МPa </t>
        </is>
      </c>
      <c r="G52" s="26" t="n">
        <v>1</v>
      </c>
      <c r="H52" s="26" t="inlineStr">
        <is>
          <t>Р имп. газа     кр. №36</t>
        </is>
      </c>
      <c r="I52" s="15" t="inlineStr">
        <is>
          <t>Узел подключения</t>
        </is>
      </c>
      <c r="J52" s="15" t="inlineStr">
        <is>
          <t>АСУ,А и ТМ (КЦ № 6)</t>
        </is>
      </c>
      <c r="K52" s="15" t="n">
        <v>2012</v>
      </c>
      <c r="L52" s="15" t="n">
        <v>12</v>
      </c>
      <c r="M52" s="3" t="inlineStr">
        <is>
          <t>2К26</t>
        </is>
      </c>
      <c r="N52" s="70" t="inlineStr">
        <is>
          <t>К</t>
        </is>
      </c>
    </row>
    <row r="53">
      <c r="A53" s="15">
        <f>IF(B53&lt;&gt;"", COUNTA($B$2:B53), "")</f>
        <v/>
      </c>
      <c r="B53" s="280" t="inlineStr">
        <is>
          <t>Манометр технический</t>
        </is>
      </c>
      <c r="C53" s="26" t="inlineStr">
        <is>
          <t>МП4-УУ2</t>
        </is>
      </c>
      <c r="D53" s="26" t="n">
        <v>212032729</v>
      </c>
      <c r="E53" s="10" t="n">
        <v>2010</v>
      </c>
      <c r="F53" s="14" t="inlineStr">
        <is>
          <t xml:space="preserve">0..16 МPa </t>
        </is>
      </c>
      <c r="G53" s="26" t="n">
        <v>1.5</v>
      </c>
      <c r="H53" s="26" t="inlineStr">
        <is>
          <t>Р имп. газа     кр. №37</t>
        </is>
      </c>
      <c r="I53" s="15" t="inlineStr">
        <is>
          <t>Узел подключения</t>
        </is>
      </c>
      <c r="J53" s="15" t="inlineStr">
        <is>
          <t>АСУ,А и ТМ (КЦ № 6)</t>
        </is>
      </c>
      <c r="K53" s="15" t="n">
        <v>2012</v>
      </c>
      <c r="L53" s="15" t="n">
        <v>12</v>
      </c>
      <c r="M53" s="3" t="inlineStr">
        <is>
          <t>2К26</t>
        </is>
      </c>
      <c r="N53" s="70" t="inlineStr">
        <is>
          <t>К</t>
        </is>
      </c>
    </row>
    <row r="54">
      <c r="A54" s="15">
        <f>IF(B54&lt;&gt;"", COUNTA($B$2:B54), "")</f>
        <v/>
      </c>
      <c r="B54" s="280" t="inlineStr">
        <is>
          <t>Манометр технический</t>
        </is>
      </c>
      <c r="C54" s="26" t="inlineStr">
        <is>
          <t>МП4-УУ2</t>
        </is>
      </c>
      <c r="D54" s="26" t="inlineStr">
        <is>
          <t>15386а</t>
        </is>
      </c>
      <c r="E54" s="10" t="n">
        <v>2010</v>
      </c>
      <c r="F54" s="26" t="inlineStr">
        <is>
          <t>0..160 кгс/см2</t>
        </is>
      </c>
      <c r="G54" s="26" t="n">
        <v>1.5</v>
      </c>
      <c r="H54" s="26" t="inlineStr">
        <is>
          <t>Р имп. газа     кр. №41</t>
        </is>
      </c>
      <c r="I54" s="15" t="inlineStr">
        <is>
          <t>Узел подключения</t>
        </is>
      </c>
      <c r="J54" s="15" t="inlineStr">
        <is>
          <t>АСУ,А и ТМ (КЦ № 6)</t>
        </is>
      </c>
      <c r="K54" s="15" t="n">
        <v>2012</v>
      </c>
      <c r="L54" s="15" t="n">
        <v>12</v>
      </c>
      <c r="M54" s="3" t="inlineStr">
        <is>
          <t>2К26</t>
        </is>
      </c>
      <c r="N54" s="70" t="inlineStr">
        <is>
          <t>К</t>
        </is>
      </c>
    </row>
    <row r="55">
      <c r="A55" s="15">
        <f>IF(B55&lt;&gt;"", COUNTA($B$2:B55), "")</f>
        <v/>
      </c>
      <c r="B55" s="280" t="inlineStr">
        <is>
          <t>Манометр технический</t>
        </is>
      </c>
      <c r="C55" s="26" t="inlineStr">
        <is>
          <t>МП4-УУ2</t>
        </is>
      </c>
      <c r="D55" s="26" t="n">
        <v>30391</v>
      </c>
      <c r="E55" s="10" t="n">
        <v>2010</v>
      </c>
      <c r="F55" s="26" t="inlineStr">
        <is>
          <t>0..160 кгс/см2</t>
        </is>
      </c>
      <c r="G55" s="26" t="n">
        <v>1.5</v>
      </c>
      <c r="H55" s="26" t="inlineStr">
        <is>
          <t>Р имп. газа     кр. №42</t>
        </is>
      </c>
      <c r="I55" s="15" t="inlineStr">
        <is>
          <t>Узел подключения</t>
        </is>
      </c>
      <c r="J55" s="15" t="inlineStr">
        <is>
          <t>АСУ,А и ТМ (КЦ № 6)</t>
        </is>
      </c>
      <c r="K55" s="15" t="n">
        <v>2012</v>
      </c>
      <c r="L55" s="15" t="n">
        <v>12</v>
      </c>
      <c r="M55" s="3" t="inlineStr">
        <is>
          <t>2К26</t>
        </is>
      </c>
      <c r="N55" s="70" t="inlineStr">
        <is>
          <t>К</t>
        </is>
      </c>
    </row>
    <row r="56">
      <c r="A56" s="15">
        <f>IF(B56&lt;&gt;"", COUNTA($B$2:B56), "")</f>
        <v/>
      </c>
      <c r="B56" s="280" t="inlineStr">
        <is>
          <t>Манометр технический</t>
        </is>
      </c>
      <c r="C56" s="26" t="inlineStr">
        <is>
          <t>МП4-УУ2</t>
        </is>
      </c>
      <c r="D56" s="26" t="n">
        <v>30365</v>
      </c>
      <c r="E56" s="10" t="n">
        <v>2010</v>
      </c>
      <c r="F56" s="26" t="inlineStr">
        <is>
          <t>0..160 кгс/см2</t>
        </is>
      </c>
      <c r="G56" s="26" t="n">
        <v>1.5</v>
      </c>
      <c r="H56" s="26" t="inlineStr">
        <is>
          <t>Р имп. газа     кр. №43</t>
        </is>
      </c>
      <c r="I56" s="15" t="inlineStr">
        <is>
          <t>Узел подключения</t>
        </is>
      </c>
      <c r="J56" s="15" t="inlineStr">
        <is>
          <t>АСУ,А и ТМ (КЦ № 6)</t>
        </is>
      </c>
      <c r="K56" s="15" t="n">
        <v>2012</v>
      </c>
      <c r="L56" s="15" t="n">
        <v>12</v>
      </c>
      <c r="M56" s="3" t="inlineStr">
        <is>
          <t>2К26</t>
        </is>
      </c>
      <c r="N56" s="70" t="inlineStr">
        <is>
          <t>К</t>
        </is>
      </c>
    </row>
    <row r="57">
      <c r="A57" s="15">
        <f>IF(B57&lt;&gt;"", COUNTA($B$2:B57), "")</f>
        <v/>
      </c>
      <c r="B57" s="280" t="inlineStr">
        <is>
          <t>Манометр технический</t>
        </is>
      </c>
      <c r="C57" s="26" t="inlineStr">
        <is>
          <t>МП4-УУ2</t>
        </is>
      </c>
      <c r="D57" s="26" t="n">
        <v>15364</v>
      </c>
      <c r="E57" s="10" t="n">
        <v>2010</v>
      </c>
      <c r="F57" s="26" t="inlineStr">
        <is>
          <t>0..160 кгс/см2</t>
        </is>
      </c>
      <c r="G57" s="26" t="n">
        <v>1</v>
      </c>
      <c r="H57" s="26" t="inlineStr">
        <is>
          <t>Р имп. газа     кр. №43б</t>
        </is>
      </c>
      <c r="I57" s="15" t="inlineStr">
        <is>
          <t>Узел подключения</t>
        </is>
      </c>
      <c r="J57" s="15" t="inlineStr">
        <is>
          <t>АСУ,А и ТМ (КЦ № 6)</t>
        </is>
      </c>
      <c r="K57" s="15" t="n">
        <v>2012</v>
      </c>
      <c r="L57" s="15" t="n">
        <v>12</v>
      </c>
      <c r="M57" s="3" t="inlineStr">
        <is>
          <t>2К26</t>
        </is>
      </c>
      <c r="N57" s="70" t="inlineStr">
        <is>
          <t>К</t>
        </is>
      </c>
    </row>
    <row r="58">
      <c r="A58" s="15">
        <f>IF(B58&lt;&gt;"", COUNTA($B$2:B58), "")</f>
        <v/>
      </c>
      <c r="B58" s="280" t="inlineStr">
        <is>
          <t>Манометр технический</t>
        </is>
      </c>
      <c r="C58" s="26" t="inlineStr">
        <is>
          <t>МП4-УУ2</t>
        </is>
      </c>
      <c r="D58" s="26" t="n">
        <v>15235</v>
      </c>
      <c r="E58" s="10" t="n">
        <v>2010</v>
      </c>
      <c r="F58" s="26" t="inlineStr">
        <is>
          <t>0..160 кгс/см2</t>
        </is>
      </c>
      <c r="G58" s="26" t="n">
        <v>1.5</v>
      </c>
      <c r="H58" s="26" t="inlineStr">
        <is>
          <t>Р имп. газа     кр. №44</t>
        </is>
      </c>
      <c r="I58" s="15" t="inlineStr">
        <is>
          <t>Узел подключения</t>
        </is>
      </c>
      <c r="J58" s="15" t="inlineStr">
        <is>
          <t>АСУ,А и ТМ (КЦ № 6)</t>
        </is>
      </c>
      <c r="K58" s="15" t="n">
        <v>2012</v>
      </c>
      <c r="L58" s="15" t="n">
        <v>12</v>
      </c>
      <c r="M58" s="3" t="inlineStr">
        <is>
          <t>2К26</t>
        </is>
      </c>
      <c r="N58" s="70" t="inlineStr">
        <is>
          <t>К</t>
        </is>
      </c>
    </row>
    <row r="59">
      <c r="A59" s="15">
        <f>IF(B59&lt;&gt;"", COUNTA($B$2:B59), "")</f>
        <v/>
      </c>
      <c r="B59" s="280" t="inlineStr">
        <is>
          <t>Манометр технический</t>
        </is>
      </c>
      <c r="C59" s="26" t="inlineStr">
        <is>
          <t>МП4-УУ2</t>
        </is>
      </c>
      <c r="D59" s="26" t="n">
        <v>15484</v>
      </c>
      <c r="E59" s="10" t="n">
        <v>2010</v>
      </c>
      <c r="F59" s="26" t="inlineStr">
        <is>
          <t>0..160 кгс/см2</t>
        </is>
      </c>
      <c r="G59" s="26" t="n">
        <v>1</v>
      </c>
      <c r="H59" s="26" t="inlineStr">
        <is>
          <t>Р имп. газа     кр. №45</t>
        </is>
      </c>
      <c r="I59" s="15" t="inlineStr">
        <is>
          <t>Узел подключения</t>
        </is>
      </c>
      <c r="J59" s="15" t="inlineStr">
        <is>
          <t>АСУ,А и ТМ (КЦ № 6)</t>
        </is>
      </c>
      <c r="K59" s="15" t="n">
        <v>2012</v>
      </c>
      <c r="L59" s="15" t="n">
        <v>12</v>
      </c>
      <c r="M59" s="3" t="inlineStr">
        <is>
          <t>2К26</t>
        </is>
      </c>
      <c r="N59" s="70" t="inlineStr">
        <is>
          <t>К</t>
        </is>
      </c>
    </row>
    <row r="60">
      <c r="A60" s="15">
        <f>IF(B60&lt;&gt;"", COUNTA($B$2:B60), "")</f>
        <v/>
      </c>
      <c r="B60" s="280" t="inlineStr">
        <is>
          <t>Манометр технический</t>
        </is>
      </c>
      <c r="C60" s="26" t="inlineStr">
        <is>
          <t>МП4-УУ2</t>
        </is>
      </c>
      <c r="D60" s="26" t="n">
        <v>15199</v>
      </c>
      <c r="E60" s="10" t="n">
        <v>2010</v>
      </c>
      <c r="F60" s="26" t="inlineStr">
        <is>
          <t>0..160 кгс/см2</t>
        </is>
      </c>
      <c r="G60" s="26" t="n">
        <v>1.5</v>
      </c>
      <c r="H60" s="26" t="inlineStr">
        <is>
          <t>Р имп. газа     кр. №46</t>
        </is>
      </c>
      <c r="I60" s="15" t="inlineStr">
        <is>
          <t>Узел подключения</t>
        </is>
      </c>
      <c r="J60" s="15" t="inlineStr">
        <is>
          <t>АСУ,А и ТМ (КЦ № 6)</t>
        </is>
      </c>
      <c r="K60" s="15" t="n">
        <v>2012</v>
      </c>
      <c r="L60" s="15" t="n">
        <v>12</v>
      </c>
      <c r="M60" s="3" t="inlineStr">
        <is>
          <t>2К26</t>
        </is>
      </c>
      <c r="N60" s="70" t="inlineStr">
        <is>
          <t>К</t>
        </is>
      </c>
    </row>
    <row r="61">
      <c r="A61" s="15">
        <f>IF(B61&lt;&gt;"", COUNTA($B$2:B61), "")</f>
        <v/>
      </c>
      <c r="B61" s="280" t="inlineStr">
        <is>
          <t>Манометр технический</t>
        </is>
      </c>
      <c r="C61" s="26" t="inlineStr">
        <is>
          <t>МП4-УУ2</t>
        </is>
      </c>
      <c r="D61" s="26" t="n">
        <v>232015798</v>
      </c>
      <c r="E61" s="10" t="n">
        <v>2010</v>
      </c>
      <c r="F61" s="26" t="inlineStr">
        <is>
          <t>0..160 кгс/см2</t>
        </is>
      </c>
      <c r="G61" s="26" t="n">
        <v>1</v>
      </c>
      <c r="H61" s="26" t="inlineStr">
        <is>
          <t>Р имп. газа     кр. №47</t>
        </is>
      </c>
      <c r="I61" s="15" t="inlineStr">
        <is>
          <t>Узел подключения</t>
        </is>
      </c>
      <c r="J61" s="15" t="inlineStr">
        <is>
          <t>АСУ,А и ТМ (КЦ № 6)</t>
        </is>
      </c>
      <c r="K61" s="15" t="n">
        <v>2012</v>
      </c>
      <c r="L61" s="15" t="n">
        <v>12</v>
      </c>
      <c r="M61" s="3" t="inlineStr">
        <is>
          <t>2К26</t>
        </is>
      </c>
      <c r="N61" s="70" t="inlineStr">
        <is>
          <t>К</t>
        </is>
      </c>
    </row>
    <row r="62">
      <c r="A62" s="15">
        <f>IF(B62&lt;&gt;"", COUNTA($B$2:B62), "")</f>
        <v/>
      </c>
      <c r="B62" s="280" t="inlineStr">
        <is>
          <t>Манометр технический</t>
        </is>
      </c>
      <c r="C62" s="26" t="inlineStr">
        <is>
          <t>МП4-УУ2</t>
        </is>
      </c>
      <c r="D62" s="26" t="n">
        <v>80258</v>
      </c>
      <c r="E62" s="10" t="n">
        <v>2010</v>
      </c>
      <c r="F62" s="26" t="inlineStr">
        <is>
          <t>0..160 кгс/см2</t>
        </is>
      </c>
      <c r="G62" s="26" t="n">
        <v>1</v>
      </c>
      <c r="H62" s="26" t="inlineStr">
        <is>
          <t>Р газа до кр. №Г-6КП</t>
        </is>
      </c>
      <c r="I62" s="15" t="inlineStr">
        <is>
          <t>Узел подключения</t>
        </is>
      </c>
      <c r="J62" s="15" t="inlineStr">
        <is>
          <t>АСУ,А и ТМ (КЦ № 6)</t>
        </is>
      </c>
      <c r="K62" s="15" t="n">
        <v>2012</v>
      </c>
      <c r="L62" s="15" t="n">
        <v>12</v>
      </c>
      <c r="M62" s="3" t="inlineStr">
        <is>
          <t>2К26</t>
        </is>
      </c>
      <c r="N62" s="70" t="inlineStr">
        <is>
          <t>К</t>
        </is>
      </c>
    </row>
    <row r="63">
      <c r="A63" s="15">
        <f>IF(B63&lt;&gt;"", COUNTA($B$2:B63), "")</f>
        <v/>
      </c>
      <c r="B63" s="280" t="inlineStr">
        <is>
          <t>Манометр технический</t>
        </is>
      </c>
      <c r="C63" s="26" t="inlineStr">
        <is>
          <t>МП4-УУ2</t>
        </is>
      </c>
      <c r="D63" s="26" t="n">
        <v>80357</v>
      </c>
      <c r="E63" s="10" t="n">
        <v>2010</v>
      </c>
      <c r="F63" s="26" t="inlineStr">
        <is>
          <t>0..160 кгс/см2</t>
        </is>
      </c>
      <c r="G63" s="26" t="n">
        <v>1</v>
      </c>
      <c r="H63" s="26" t="inlineStr">
        <is>
          <t>Р газа после кр. №Г-6КП</t>
        </is>
      </c>
      <c r="I63" s="15" t="inlineStr">
        <is>
          <t>Узел подключения</t>
        </is>
      </c>
      <c r="J63" s="15" t="inlineStr">
        <is>
          <t>АСУ,А и ТМ (КЦ № 6)</t>
        </is>
      </c>
      <c r="K63" s="15" t="n">
        <v>2012</v>
      </c>
      <c r="L63" s="15" t="n">
        <v>12</v>
      </c>
      <c r="M63" s="3" t="inlineStr">
        <is>
          <t>2К26</t>
        </is>
      </c>
      <c r="N63" s="70" t="inlineStr">
        <is>
          <t>К</t>
        </is>
      </c>
    </row>
    <row r="64">
      <c r="A64" s="15">
        <f>IF(B64&lt;&gt;"", COUNTA($B$2:B64), "")</f>
        <v/>
      </c>
      <c r="B64" s="280" t="inlineStr">
        <is>
          <t>Манометр технический</t>
        </is>
      </c>
      <c r="C64" s="14" t="inlineStr">
        <is>
          <t>МП4-УФБСУХЛ1</t>
        </is>
      </c>
      <c r="D64" s="14" t="n">
        <v>308915</v>
      </c>
      <c r="E64" s="10" t="n">
        <v>2010</v>
      </c>
      <c r="F64" s="14" t="inlineStr">
        <is>
          <t xml:space="preserve">0..16 МPa </t>
        </is>
      </c>
      <c r="G64" s="14" t="n">
        <v>1</v>
      </c>
      <c r="H64" s="14" t="inlineStr">
        <is>
          <t>Р имп. газа кр. №Г-6КП</t>
        </is>
      </c>
      <c r="I64" s="15" t="inlineStr">
        <is>
          <t>Узел подключения</t>
        </is>
      </c>
      <c r="J64" s="15" t="inlineStr">
        <is>
          <t>АСУ,А и ТМ (КЦ № 6)</t>
        </is>
      </c>
      <c r="K64" s="15" t="n">
        <v>2012</v>
      </c>
      <c r="L64" s="15" t="n">
        <v>12</v>
      </c>
      <c r="M64" s="3" t="inlineStr">
        <is>
          <t>2К26</t>
        </is>
      </c>
      <c r="N64" s="70" t="inlineStr">
        <is>
          <t>К</t>
        </is>
      </c>
    </row>
    <row r="65">
      <c r="A65" s="15">
        <f>IF(B65&lt;&gt;"", COUNTA($B$2:B65), "")</f>
        <v/>
      </c>
      <c r="B65" s="280" t="inlineStr">
        <is>
          <t>Манометр технический</t>
        </is>
      </c>
      <c r="C65" s="26" t="inlineStr">
        <is>
          <t>МП4-УУ2</t>
        </is>
      </c>
      <c r="D65" s="26" t="n">
        <v>15198</v>
      </c>
      <c r="E65" s="10" t="n">
        <v>2010</v>
      </c>
      <c r="F65" s="26" t="inlineStr">
        <is>
          <t>0..160 кгс/см2</t>
        </is>
      </c>
      <c r="G65" s="26" t="n">
        <v>1.5</v>
      </c>
      <c r="H65" s="26" t="inlineStr">
        <is>
          <t>Р газа до кр. №Г-6КЗ</t>
        </is>
      </c>
      <c r="I65" s="15" t="inlineStr">
        <is>
          <t>Узел подключения</t>
        </is>
      </c>
      <c r="J65" s="15" t="inlineStr">
        <is>
          <t>АСУ,А и ТМ (КЦ № 6)</t>
        </is>
      </c>
      <c r="K65" s="15" t="n">
        <v>2012</v>
      </c>
      <c r="L65" s="15" t="n">
        <v>12</v>
      </c>
      <c r="M65" s="3" t="inlineStr">
        <is>
          <t>2К26</t>
        </is>
      </c>
      <c r="N65" s="70" t="inlineStr">
        <is>
          <t>К</t>
        </is>
      </c>
    </row>
    <row r="66">
      <c r="A66" s="15">
        <f>IF(B66&lt;&gt;"", COUNTA($B$2:B66), "")</f>
        <v/>
      </c>
      <c r="B66" s="280" t="inlineStr">
        <is>
          <t>Манометр технический</t>
        </is>
      </c>
      <c r="C66" s="26" t="inlineStr">
        <is>
          <t>МП4-УУ2</t>
        </is>
      </c>
      <c r="D66" s="26" t="n">
        <v>15473</v>
      </c>
      <c r="E66" s="10" t="n">
        <v>2010</v>
      </c>
      <c r="F66" s="26" t="inlineStr">
        <is>
          <t>0..160 кгс/см2</t>
        </is>
      </c>
      <c r="G66" s="26" t="n">
        <v>1.5</v>
      </c>
      <c r="H66" s="26" t="inlineStr">
        <is>
          <t>Р имп. газа кр. №Г-6КЗ</t>
        </is>
      </c>
      <c r="I66" s="15" t="inlineStr">
        <is>
          <t>Узел подключения</t>
        </is>
      </c>
      <c r="J66" s="15" t="inlineStr">
        <is>
          <t>АСУ,А и ТМ (КЦ № 6)</t>
        </is>
      </c>
      <c r="K66" s="15" t="n">
        <v>2012</v>
      </c>
      <c r="L66" s="15" t="n">
        <v>12</v>
      </c>
      <c r="M66" s="3" t="inlineStr">
        <is>
          <t>2К26</t>
        </is>
      </c>
      <c r="N66" s="70" t="inlineStr">
        <is>
          <t>К</t>
        </is>
      </c>
    </row>
    <row r="67">
      <c r="A67" s="15">
        <f>IF(B67&lt;&gt;"", COUNTA($B$2:B67), "")</f>
        <v/>
      </c>
      <c r="B67" s="280" t="inlineStr">
        <is>
          <t>Манометр технический</t>
        </is>
      </c>
      <c r="C67" s="26" t="inlineStr">
        <is>
          <t>МП4-УУ2</t>
        </is>
      </c>
      <c r="D67" s="26" t="inlineStr">
        <is>
          <t>15381а</t>
        </is>
      </c>
      <c r="E67" s="10" t="n">
        <v>2010</v>
      </c>
      <c r="F67" s="26" t="inlineStr">
        <is>
          <t>0..160 кгс/см2</t>
        </is>
      </c>
      <c r="G67" s="26" t="n">
        <v>1.5</v>
      </c>
      <c r="H67" s="26" t="inlineStr">
        <is>
          <t>Р конденсата в инвентарной емкости</t>
        </is>
      </c>
      <c r="I67" s="15" t="inlineStr">
        <is>
          <t>Узел подключения</t>
        </is>
      </c>
      <c r="J67" s="15" t="inlineStr">
        <is>
          <t>АСУ,А и ТМ (КЦ № 6)</t>
        </is>
      </c>
      <c r="K67" s="15" t="n">
        <v>2012</v>
      </c>
      <c r="L67" s="15" t="n">
        <v>12</v>
      </c>
      <c r="M67" s="3" t="inlineStr">
        <is>
          <t>2К26</t>
        </is>
      </c>
      <c r="N67" s="70" t="inlineStr">
        <is>
          <t>К</t>
        </is>
      </c>
    </row>
    <row r="68" ht="22.5" customHeight="1" s="151">
      <c r="A68" s="15">
        <f>IF(B68&lt;&gt;"", COUNTA($B$2:B68), "")</f>
        <v/>
      </c>
      <c r="B68" s="280" t="inlineStr">
        <is>
          <t>Манометр технический</t>
        </is>
      </c>
      <c r="C68" s="26" t="inlineStr">
        <is>
          <t>ТМ6</t>
        </is>
      </c>
      <c r="D68" s="26" t="n">
        <v>15401</v>
      </c>
      <c r="E68" s="10" t="n">
        <v>2010</v>
      </c>
      <c r="F68" s="26" t="inlineStr">
        <is>
          <t>0..6 кгс/см2</t>
        </is>
      </c>
      <c r="G68" s="26" t="n">
        <v>1.5</v>
      </c>
      <c r="H68" s="26" t="inlineStr">
        <is>
          <t>Р конденсата в емкости сбора конденсата</t>
        </is>
      </c>
      <c r="I68" s="15" t="inlineStr">
        <is>
          <t>Узел подключения</t>
        </is>
      </c>
      <c r="J68" s="15" t="inlineStr">
        <is>
          <t>АСУ,А и ТМ (КЦ № 6)</t>
        </is>
      </c>
      <c r="K68" s="15" t="n">
        <v>2012</v>
      </c>
      <c r="L68" s="15" t="n">
        <v>12</v>
      </c>
      <c r="M68" s="3" t="inlineStr">
        <is>
          <t>2К26</t>
        </is>
      </c>
      <c r="N68" s="70" t="inlineStr">
        <is>
          <t>К</t>
        </is>
      </c>
    </row>
    <row r="69">
      <c r="A69" s="15">
        <f>IF(B69&lt;&gt;"", COUNTA($B$2:B69), "")</f>
        <v/>
      </c>
      <c r="B69" s="280" t="inlineStr">
        <is>
          <t>Манометр технический</t>
        </is>
      </c>
      <c r="C69" s="26" t="inlineStr">
        <is>
          <t>МП4-У</t>
        </is>
      </c>
      <c r="D69" s="26" t="n">
        <v>2296</v>
      </c>
      <c r="E69" s="10" t="n">
        <v>2010</v>
      </c>
      <c r="F69" s="26" t="inlineStr">
        <is>
          <t>0..6 кгс/см2</t>
        </is>
      </c>
      <c r="G69" s="26" t="n">
        <v>1</v>
      </c>
      <c r="H69" s="26" t="inlineStr">
        <is>
          <t>Р конденсата на сливе</t>
        </is>
      </c>
      <c r="I69" s="15" t="inlineStr">
        <is>
          <t>Узел подключения</t>
        </is>
      </c>
      <c r="J69" s="15" t="inlineStr">
        <is>
          <t>АСУ,А и ТМ (КЦ № 6)</t>
        </is>
      </c>
      <c r="K69" s="15" t="n">
        <v>2012</v>
      </c>
      <c r="L69" s="15" t="n">
        <v>12</v>
      </c>
      <c r="M69" s="3" t="inlineStr">
        <is>
          <t>2К26</t>
        </is>
      </c>
      <c r="N69" s="70" t="inlineStr">
        <is>
          <t>К</t>
        </is>
      </c>
    </row>
    <row r="70">
      <c r="A70" s="15">
        <f>IF(B70&lt;&gt;"", COUNTA($B$2:B70), "")</f>
        <v/>
      </c>
      <c r="B70" s="280" t="inlineStr">
        <is>
          <t>Манометр технический</t>
        </is>
      </c>
      <c r="C70" s="26" t="inlineStr">
        <is>
          <t>МП4-УУ2</t>
        </is>
      </c>
      <c r="D70" s="10" t="n">
        <v>15196</v>
      </c>
      <c r="E70" s="10" t="n">
        <v>2010</v>
      </c>
      <c r="F70" s="26" t="inlineStr">
        <is>
          <t>0..160 кгс/см2</t>
        </is>
      </c>
      <c r="G70" s="26" t="n">
        <v>1.5</v>
      </c>
      <c r="H70" s="26" t="inlineStr">
        <is>
          <t xml:space="preserve">Рг в камере запуска </t>
        </is>
      </c>
      <c r="I70" s="15" t="inlineStr">
        <is>
          <t>Узел подключения</t>
        </is>
      </c>
      <c r="J70" s="15" t="inlineStr">
        <is>
          <t>АСУ,А и ТМ (КЦ № 6)</t>
        </is>
      </c>
      <c r="K70" s="15" t="n">
        <v>2012</v>
      </c>
      <c r="L70" s="15" t="n">
        <v>12</v>
      </c>
      <c r="M70" s="3" t="inlineStr">
        <is>
          <t>26ДЯУ</t>
        </is>
      </c>
      <c r="N70" s="70" t="inlineStr">
        <is>
          <t>П</t>
        </is>
      </c>
    </row>
    <row r="71">
      <c r="A71" s="15">
        <f>IF(B71&lt;&gt;"", COUNTA($B$2:B71), "")</f>
        <v/>
      </c>
      <c r="B71" s="280" t="inlineStr">
        <is>
          <t>Манометр технический</t>
        </is>
      </c>
      <c r="C71" s="26" t="inlineStr">
        <is>
          <t>МП4-УУ2</t>
        </is>
      </c>
      <c r="D71" s="10" t="n">
        <v>15181</v>
      </c>
      <c r="E71" s="10" t="n">
        <v>2006</v>
      </c>
      <c r="F71" s="26" t="inlineStr">
        <is>
          <t>0..160 кгс/см2</t>
        </is>
      </c>
      <c r="G71" s="26" t="n">
        <v>1.5</v>
      </c>
      <c r="H71" s="26" t="inlineStr">
        <is>
          <t>Рг в камере приема</t>
        </is>
      </c>
      <c r="I71" s="15" t="inlineStr">
        <is>
          <t>Узел подключения</t>
        </is>
      </c>
      <c r="J71" s="15" t="inlineStr">
        <is>
          <t>АСУ,А и ТМ (КЦ № 6)</t>
        </is>
      </c>
      <c r="K71" s="15" t="n">
        <v>2012</v>
      </c>
      <c r="L71" s="15" t="n">
        <v>12</v>
      </c>
      <c r="M71" s="3" t="inlineStr">
        <is>
          <t>26ДЯУ</t>
        </is>
      </c>
      <c r="N71" s="70" t="inlineStr">
        <is>
          <t>П</t>
        </is>
      </c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5905511811023623" right="0.1968503937007874" top="0.1968503937007874" bottom="0.7480314960629921" header="0.3149606299212598" footer="0.3149606299212598"/>
  <pageSetup orientation="landscape" paperSize="9" scale="48" fitToHeight="0"/>
</worksheet>
</file>

<file path=xl/worksheets/sheet8.xml><?xml version="1.0" encoding="utf-8"?>
<worksheet xmlns="http://schemas.openxmlformats.org/spreadsheetml/2006/main">
  <sheetPr codeName="Лист8">
    <outlinePr summaryBelow="1" summaryRight="1"/>
    <pageSetUpPr fitToPage="1"/>
  </sheetPr>
  <dimension ref="A1:N61"/>
  <sheetViews>
    <sheetView workbookViewId="0">
      <pane ySplit="1" topLeftCell="A23" activePane="bottomLeft" state="frozen"/>
      <selection pane="bottomLeft" activeCell="M26" sqref="M26"/>
    </sheetView>
  </sheetViews>
  <sheetFormatPr baseColWidth="8" defaultRowHeight="15"/>
  <cols>
    <col width="3.140625" customWidth="1" style="151" min="1" max="1"/>
    <col width="22.5703125" bestFit="1" customWidth="1" style="151" min="2" max="2"/>
    <col width="20.140625" bestFit="1" customWidth="1" style="151" min="3" max="3"/>
    <col width="15.28515625" bestFit="1" customWidth="1" style="151" min="4" max="4"/>
    <col width="6.5703125" bestFit="1" customWidth="1" style="151" min="5" max="5"/>
    <col width="8.85546875" bestFit="1" customWidth="1" style="151" min="6" max="6"/>
    <col width="7.42578125" bestFit="1" customWidth="1" style="151" min="7" max="7"/>
    <col width="20.28515625" customWidth="1" style="151" min="8" max="8"/>
    <col width="8" bestFit="1" customWidth="1" style="151" min="9" max="9"/>
    <col width="17.42578125" bestFit="1" customWidth="1" style="151" min="10" max="10"/>
    <col width="8" bestFit="1" customWidth="1" style="151" min="11" max="11"/>
    <col width="9" bestFit="1" customWidth="1" style="151" min="12" max="12"/>
    <col width="8.85546875" bestFit="1" customWidth="1" style="151" min="13" max="13"/>
    <col width="9" bestFit="1" customWidth="1" style="151" min="14" max="14"/>
    <col width="9.140625" customWidth="1" style="151" min="15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
номер</t>
        </is>
      </c>
      <c r="E1" s="3" t="inlineStr">
        <is>
          <t>Год
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 ht="22.5" customHeight="1" s="151">
      <c r="A2" s="15">
        <f>IF(B2&lt;&gt;"", COUNTA($B$2:B2), "")</f>
        <v/>
      </c>
      <c r="B2" s="16" t="inlineStr">
        <is>
          <t>Термометр сопротивления</t>
        </is>
      </c>
      <c r="C2" s="15" t="inlineStr">
        <is>
          <t>ТСПУ 014.51</t>
        </is>
      </c>
      <c r="D2" s="15" t="n">
        <v>376</v>
      </c>
      <c r="E2" s="15" t="n">
        <v>2011</v>
      </c>
      <c r="F2" s="17" t="inlineStr">
        <is>
          <t>-50..+100 °С</t>
        </is>
      </c>
      <c r="G2" s="20" t="n">
        <v>0.005</v>
      </c>
      <c r="H2" s="15" t="inlineStr">
        <is>
          <t>Температура воздуха в блоке автоматики УПГ</t>
        </is>
      </c>
      <c r="I2" s="15" t="inlineStr">
        <is>
          <t>УПГ</t>
        </is>
      </c>
      <c r="J2" s="15" t="inlineStr">
        <is>
          <t>АСУ,А и ТМ (КЦ № 6)</t>
        </is>
      </c>
      <c r="K2" s="15" t="n">
        <v>2013</v>
      </c>
      <c r="L2" s="14" t="n">
        <v>24</v>
      </c>
      <c r="M2" s="3" t="n"/>
      <c r="N2" s="70" t="n"/>
    </row>
    <row r="3" ht="22.5" customHeight="1" s="151">
      <c r="A3" s="15">
        <f>IF(B3&lt;&gt;"", COUNTA($B$2:B3), "")</f>
        <v/>
      </c>
      <c r="B3" s="16" t="inlineStr">
        <is>
          <t>Термометр сопротивления</t>
        </is>
      </c>
      <c r="C3" s="15" t="inlineStr">
        <is>
          <t>ТСПУ 014.55</t>
        </is>
      </c>
      <c r="D3" s="15" t="n">
        <v>74</v>
      </c>
      <c r="E3" s="15" t="n">
        <v>2011</v>
      </c>
      <c r="F3" s="17" t="inlineStr">
        <is>
          <t>0..+200 °С</t>
        </is>
      </c>
      <c r="G3" s="20" t="n">
        <v>0.005</v>
      </c>
      <c r="H3" s="15" t="inlineStr">
        <is>
          <t>Температура антифриза в ЭПГ 800/2</t>
        </is>
      </c>
      <c r="I3" s="15" t="inlineStr">
        <is>
          <t>УПГ</t>
        </is>
      </c>
      <c r="J3" s="15" t="inlineStr">
        <is>
          <t>АСУ,А и ТМ (КЦ № 6)</t>
        </is>
      </c>
      <c r="K3" s="15" t="n">
        <v>2012</v>
      </c>
      <c r="L3" s="14" t="n">
        <v>24</v>
      </c>
      <c r="M3" s="3" t="n"/>
      <c r="N3" s="70" t="n"/>
    </row>
    <row r="4" ht="22.5" customHeight="1" s="151">
      <c r="A4" s="15">
        <f>IF(B4&lt;&gt;"", COUNTA($B$2:B4), "")</f>
        <v/>
      </c>
      <c r="B4" s="16" t="inlineStr">
        <is>
          <t>Термометр сопротивления</t>
        </is>
      </c>
      <c r="C4" s="15" t="inlineStr">
        <is>
          <t>ТСПУ 014.55</t>
        </is>
      </c>
      <c r="D4" s="15" t="n">
        <v>87</v>
      </c>
      <c r="E4" s="15" t="n">
        <v>2011</v>
      </c>
      <c r="F4" s="17" t="inlineStr">
        <is>
          <t>0..+200 °С</t>
        </is>
      </c>
      <c r="G4" s="20" t="n">
        <v>0.005</v>
      </c>
      <c r="H4" s="15" t="inlineStr">
        <is>
          <t>Температура масла в конвекторе ЕК1</t>
        </is>
      </c>
      <c r="I4" s="15" t="inlineStr">
        <is>
          <t>УПГ</t>
        </is>
      </c>
      <c r="J4" s="15" t="inlineStr">
        <is>
          <t>АСУ,А и ТМ (КЦ № 6)</t>
        </is>
      </c>
      <c r="K4" s="15" t="n">
        <v>2012</v>
      </c>
      <c r="L4" s="14" t="n">
        <v>24</v>
      </c>
      <c r="M4" s="3" t="n"/>
      <c r="N4" s="70" t="n"/>
    </row>
    <row r="5" ht="33.75" customHeight="1" s="151">
      <c r="A5" s="15">
        <f>IF(B5&lt;&gt;"", COUNTA($B$2:B5), "")</f>
        <v/>
      </c>
      <c r="B5" s="16" t="inlineStr">
        <is>
          <t>Термометр сопротивления</t>
        </is>
      </c>
      <c r="C5" s="15" t="inlineStr">
        <is>
          <t>ТСПУ 030.МП</t>
        </is>
      </c>
      <c r="D5" s="15" t="n">
        <v>2</v>
      </c>
      <c r="E5" s="15" t="n">
        <v>2011</v>
      </c>
      <c r="F5" s="17" t="inlineStr">
        <is>
          <t>-50..+500 °С</t>
        </is>
      </c>
      <c r="G5" s="20" t="n">
        <v>0.005</v>
      </c>
      <c r="H5" s="15" t="inlineStr">
        <is>
          <t>Температура газа регенерац. на входе в АТ401</t>
        </is>
      </c>
      <c r="I5" s="15" t="inlineStr">
        <is>
          <t>УПГ</t>
        </is>
      </c>
      <c r="J5" s="15" t="inlineStr">
        <is>
          <t>АСУ,А и ТМ (КЦ № 6)</t>
        </is>
      </c>
      <c r="K5" s="15" t="n">
        <v>2012</v>
      </c>
      <c r="L5" s="14" t="n">
        <v>24</v>
      </c>
      <c r="M5" s="3" t="n"/>
      <c r="N5" s="70" t="n"/>
    </row>
    <row r="6" ht="33.75" customHeight="1" s="151">
      <c r="A6" s="15">
        <f>IF(B6&lt;&gt;"", COUNTA($B$2:B6), "")</f>
        <v/>
      </c>
      <c r="B6" s="16" t="inlineStr">
        <is>
          <t>Термометр сопротивления</t>
        </is>
      </c>
      <c r="C6" s="15" t="inlineStr">
        <is>
          <t>ТСПУ 030.МП</t>
        </is>
      </c>
      <c r="D6" s="15" t="n">
        <v>1</v>
      </c>
      <c r="E6" s="15" t="n">
        <v>2011</v>
      </c>
      <c r="F6" s="17" t="inlineStr">
        <is>
          <t>-50..+500 °С</t>
        </is>
      </c>
      <c r="G6" s="20" t="n">
        <v>0.005</v>
      </c>
      <c r="H6" s="15" t="inlineStr">
        <is>
          <t>Температура газа регенерац. на выходе в АТ401</t>
        </is>
      </c>
      <c r="I6" s="15" t="inlineStr">
        <is>
          <t>УПГ</t>
        </is>
      </c>
      <c r="J6" s="15" t="inlineStr">
        <is>
          <t>АСУ,А и ТМ (КЦ № 6)</t>
        </is>
      </c>
      <c r="K6" s="15" t="n">
        <v>2012</v>
      </c>
      <c r="L6" s="14" t="n">
        <v>24</v>
      </c>
      <c r="M6" s="3" t="n"/>
      <c r="N6" s="70" t="n"/>
    </row>
    <row r="7" ht="22.5" customHeight="1" s="151">
      <c r="A7" s="15">
        <f>IF(B7&lt;&gt;"", COUNTA($B$2:B7), "")</f>
        <v/>
      </c>
      <c r="B7" s="73" t="inlineStr">
        <is>
          <t>Преобразователь избыточного давления</t>
        </is>
      </c>
      <c r="C7" s="15" t="inlineStr">
        <is>
          <t>Honeywell STG-97L</t>
        </is>
      </c>
      <c r="D7" s="15" t="inlineStr">
        <is>
          <t>11W03 C3287149003073</t>
        </is>
      </c>
      <c r="E7" s="15" t="n">
        <v>2011</v>
      </c>
      <c r="F7" s="14" t="inlineStr">
        <is>
          <t>0..10 Mpa</t>
        </is>
      </c>
      <c r="G7" s="14" t="n">
        <v>0.075</v>
      </c>
      <c r="H7" s="15" t="inlineStr">
        <is>
          <t>Давление газа на входе в УПГ</t>
        </is>
      </c>
      <c r="I7" s="15" t="inlineStr">
        <is>
          <t>УПГ</t>
        </is>
      </c>
      <c r="J7" s="15" t="inlineStr">
        <is>
          <t>АСУ,А и ТМ (КЦ № 6)</t>
        </is>
      </c>
      <c r="K7" s="15" t="n">
        <v>2012</v>
      </c>
      <c r="L7" s="14" t="n">
        <v>36</v>
      </c>
      <c r="M7" s="3" t="n"/>
      <c r="N7" s="70" t="n"/>
    </row>
    <row r="8" ht="22.5" customHeight="1" s="151">
      <c r="A8" s="15">
        <f>IF(B8&lt;&gt;"", COUNTA($B$2:B8), "")</f>
        <v/>
      </c>
      <c r="B8" s="73" t="inlineStr">
        <is>
          <t>Преобразователь избыточного давления</t>
        </is>
      </c>
      <c r="C8" s="15" t="inlineStr">
        <is>
          <t>Honeywell STG-97L</t>
        </is>
      </c>
      <c r="D8" s="15" t="inlineStr">
        <is>
          <t>11W03 C3287149003019</t>
        </is>
      </c>
      <c r="E8" s="15" t="n">
        <v>2011</v>
      </c>
      <c r="F8" s="14" t="inlineStr">
        <is>
          <t>0..10 Mpa</t>
        </is>
      </c>
      <c r="G8" s="14" t="n">
        <v>0.075</v>
      </c>
      <c r="H8" s="15" t="inlineStr">
        <is>
          <t>Давление импульсного газа на выходе из УПГ</t>
        </is>
      </c>
      <c r="I8" s="15" t="inlineStr">
        <is>
          <t>УПГ</t>
        </is>
      </c>
      <c r="J8" s="15" t="inlineStr">
        <is>
          <t>АСУ,А и ТМ (КЦ № 6)</t>
        </is>
      </c>
      <c r="K8" s="15" t="n">
        <v>2012</v>
      </c>
      <c r="L8" s="14" t="n">
        <v>36</v>
      </c>
      <c r="M8" s="3" t="n"/>
      <c r="N8" s="70" t="n"/>
    </row>
    <row r="9" ht="22.5" customHeight="1" s="151">
      <c r="A9" s="15">
        <f>IF(B9&lt;&gt;"", COUNTA($B$2:B9), "")</f>
        <v/>
      </c>
      <c r="B9" s="73" t="inlineStr">
        <is>
          <t>Преобразователь избыточного давления</t>
        </is>
      </c>
      <c r="C9" s="15" t="inlineStr">
        <is>
          <t>Honeywell STG-94L</t>
        </is>
      </c>
      <c r="D9" s="15" t="inlineStr">
        <is>
          <t>11W44 C3273967002057</t>
        </is>
      </c>
      <c r="E9" s="15" t="n">
        <v>2011</v>
      </c>
      <c r="F9" s="14" t="inlineStr">
        <is>
          <t>0..0,6 Mpa</t>
        </is>
      </c>
      <c r="G9" s="14" t="n">
        <v>0.075</v>
      </c>
      <c r="H9" s="15" t="inlineStr">
        <is>
          <t>Давление газа на выходе из УПГ</t>
        </is>
      </c>
      <c r="I9" s="15" t="inlineStr">
        <is>
          <t>УПГ</t>
        </is>
      </c>
      <c r="J9" s="15" t="inlineStr">
        <is>
          <t>АСУ,А и ТМ (КЦ № 6)</t>
        </is>
      </c>
      <c r="K9" s="15" t="n">
        <v>2012</v>
      </c>
      <c r="L9" s="14" t="n">
        <v>36</v>
      </c>
      <c r="M9" s="3" t="n"/>
      <c r="N9" s="70" t="n"/>
    </row>
    <row r="10" ht="22.5" customHeight="1" s="151">
      <c r="A10" s="15">
        <f>IF(B10&lt;&gt;"", COUNTA($B$2:B10), "")</f>
        <v/>
      </c>
      <c r="B10" s="73" t="inlineStr">
        <is>
          <t>Преобразователь избыточного давления</t>
        </is>
      </c>
      <c r="C10" s="15" t="inlineStr">
        <is>
          <t>Honeywell STD-930</t>
        </is>
      </c>
      <c r="D10" s="15" t="inlineStr">
        <is>
          <t>11W04 C3287149005002</t>
        </is>
      </c>
      <c r="E10" s="15" t="n">
        <v>2011</v>
      </c>
      <c r="F10" s="14" t="inlineStr">
        <is>
          <t>0..160 кPa</t>
        </is>
      </c>
      <c r="G10" s="14" t="n">
        <v>0.075</v>
      </c>
      <c r="H10" s="15" t="inlineStr">
        <is>
          <t>Перепад давления газа на ФС801, ФС802</t>
        </is>
      </c>
      <c r="I10" s="15" t="inlineStr">
        <is>
          <t>УПГ</t>
        </is>
      </c>
      <c r="J10" s="15" t="inlineStr">
        <is>
          <t>АСУ,А и ТМ (КЦ № 6)</t>
        </is>
      </c>
      <c r="K10" s="15" t="n">
        <v>2012</v>
      </c>
      <c r="L10" s="14" t="n">
        <v>36</v>
      </c>
      <c r="M10" s="3" t="n"/>
      <c r="N10" s="70" t="n"/>
    </row>
    <row r="11" ht="22.5" customHeight="1" s="151">
      <c r="A11" s="15">
        <f>IF(B11&lt;&gt;"", COUNTA($B$2:B11), "")</f>
        <v/>
      </c>
      <c r="B11" s="73" t="inlineStr">
        <is>
          <t>Преобразователь избыточного давления</t>
        </is>
      </c>
      <c r="C11" s="15" t="inlineStr">
        <is>
          <t>Honeywell STD-930</t>
        </is>
      </c>
      <c r="D11" s="15" t="inlineStr">
        <is>
          <t>11W04 C3287149005004</t>
        </is>
      </c>
      <c r="E11" s="15" t="n">
        <v>2011</v>
      </c>
      <c r="F11" s="14" t="inlineStr">
        <is>
          <t>0..160 кPa</t>
        </is>
      </c>
      <c r="G11" s="14" t="n">
        <v>0.075</v>
      </c>
      <c r="H11" s="15" t="inlineStr">
        <is>
          <t>Перепад давления газа на А401, А402</t>
        </is>
      </c>
      <c r="I11" s="15" t="inlineStr">
        <is>
          <t>УПГ</t>
        </is>
      </c>
      <c r="J11" s="15" t="inlineStr">
        <is>
          <t>АСУ,А и ТМ (КЦ № 6)</t>
        </is>
      </c>
      <c r="K11" s="15" t="n">
        <v>2012</v>
      </c>
      <c r="L11" s="14" t="n">
        <v>36</v>
      </c>
      <c r="M11" s="3" t="n"/>
      <c r="N11" s="70" t="n"/>
    </row>
    <row r="12" ht="22.5" customHeight="1" s="151">
      <c r="A12" s="15">
        <f>IF(B12&lt;&gt;"", COUNTA($B$2:B12), "")</f>
        <v/>
      </c>
      <c r="B12" s="14" t="inlineStr">
        <is>
          <t>Гигрометр точки росы</t>
        </is>
      </c>
      <c r="C12" s="15" t="inlineStr">
        <is>
          <t>Michell EASIDEW EA2-TX-100-HD</t>
        </is>
      </c>
      <c r="D12" s="15" t="inlineStr">
        <is>
          <t>DF66-012</t>
        </is>
      </c>
      <c r="E12" s="15" t="n">
        <v>2011</v>
      </c>
      <c r="F12" s="14" t="inlineStr">
        <is>
          <t>­100…+20°С</t>
        </is>
      </c>
      <c r="G12" s="20" t="inlineStr">
        <is>
          <t>±2 °С</t>
        </is>
      </c>
      <c r="H12" s="15" t="inlineStr">
        <is>
          <t>Температура точки росы газа на входе в УПГ</t>
        </is>
      </c>
      <c r="I12" s="15" t="inlineStr">
        <is>
          <t>УПГ</t>
        </is>
      </c>
      <c r="J12" s="15" t="inlineStr">
        <is>
          <t>АСУ,А и ТМ (КЦ № 6)</t>
        </is>
      </c>
      <c r="K12" s="15" t="n">
        <v>2012</v>
      </c>
      <c r="L12" s="15" t="n">
        <v>12</v>
      </c>
      <c r="M12" s="3" t="n"/>
      <c r="N12" s="70" t="n"/>
    </row>
    <row r="13" ht="33.75" customHeight="1" s="151">
      <c r="A13" s="15">
        <f>IF(B13&lt;&gt;"", COUNTA($B$2:B13), "")</f>
        <v/>
      </c>
      <c r="B13" s="14" t="inlineStr">
        <is>
          <t>Гигрометр точки росы</t>
        </is>
      </c>
      <c r="C13" s="15" t="inlineStr">
        <is>
          <t>Michell EASIDEW EA2-TX-100-HD</t>
        </is>
      </c>
      <c r="D13" s="15" t="inlineStr">
        <is>
          <t>BC13-058</t>
        </is>
      </c>
      <c r="E13" s="15" t="n">
        <v>2011</v>
      </c>
      <c r="F13" s="14" t="inlineStr">
        <is>
          <t>­100…+20°С</t>
        </is>
      </c>
      <c r="G13" s="20" t="inlineStr">
        <is>
          <t>±2 °С</t>
        </is>
      </c>
      <c r="H13" s="15" t="inlineStr">
        <is>
          <t>Температура точки росы импульсного газа на выходе из УПИГ</t>
        </is>
      </c>
      <c r="I13" s="15" t="inlineStr">
        <is>
          <t>УПГ</t>
        </is>
      </c>
      <c r="J13" s="15" t="inlineStr">
        <is>
          <t>АСУ,А и ТМ (КЦ № 6)</t>
        </is>
      </c>
      <c r="K13" s="15" t="n">
        <v>2012</v>
      </c>
      <c r="L13" s="15" t="n">
        <v>12</v>
      </c>
      <c r="M13" s="3" t="n"/>
      <c r="N13" s="70" t="n"/>
    </row>
    <row r="14" ht="33.75" customHeight="1" s="151">
      <c r="A14" s="15">
        <f>IF(B14&lt;&gt;"", COUNTA($B$2:B14), "")</f>
        <v/>
      </c>
      <c r="B14" s="3" t="inlineStr">
        <is>
          <t xml:space="preserve">Расходомер                 </t>
        </is>
      </c>
      <c r="C14" s="14" t="inlineStr">
        <is>
          <t>F025-S12-0-C-A-Z-E-ZZZ-Z</t>
        </is>
      </c>
      <c r="D14" s="14" t="inlineStr">
        <is>
          <t>sensor       14232402    голова            3812918</t>
        </is>
      </c>
      <c r="E14" s="15" t="n">
        <v>2011</v>
      </c>
      <c r="F14" s="14" t="inlineStr">
        <is>
          <t>0,06….75,5 кг/с</t>
        </is>
      </c>
      <c r="G14" s="14" t="inlineStr">
        <is>
          <t>±0,5 (для газа)</t>
        </is>
      </c>
      <c r="H14" s="15" t="inlineStr">
        <is>
          <t>Расход топливного газа на 801/1</t>
        </is>
      </c>
      <c r="I14" s="15" t="inlineStr">
        <is>
          <t>УПГ</t>
        </is>
      </c>
      <c r="J14" s="15" t="inlineStr">
        <is>
          <t>АСУ,А и ТМ (КЦ № 6)</t>
        </is>
      </c>
      <c r="K14" s="15" t="n">
        <v>2012</v>
      </c>
      <c r="L14" s="14" t="n">
        <v>48</v>
      </c>
      <c r="M14" s="3" t="n"/>
      <c r="N14" s="70" t="n"/>
    </row>
    <row r="15" ht="33.75" customHeight="1" s="151">
      <c r="A15" s="15">
        <f>IF(B15&lt;&gt;"", COUNTA($B$2:B15), "")</f>
        <v/>
      </c>
      <c r="B15" s="3" t="inlineStr">
        <is>
          <t xml:space="preserve">Расходомер                 </t>
        </is>
      </c>
      <c r="C15" s="14" t="inlineStr">
        <is>
          <t>F025-S12-0-C-A-Z-E-ZZZ-Z</t>
        </is>
      </c>
      <c r="D15" s="14" t="inlineStr">
        <is>
          <t>sensor       14233029    голова            3813003</t>
        </is>
      </c>
      <c r="E15" s="15" t="n">
        <v>2011</v>
      </c>
      <c r="F15" s="14" t="inlineStr">
        <is>
          <t>0,06….75,5 кг/с</t>
        </is>
      </c>
      <c r="G15" s="14" t="inlineStr">
        <is>
          <t>±0,5 (для газа)</t>
        </is>
      </c>
      <c r="H15" s="15" t="inlineStr">
        <is>
          <t>Расход топливного газа на 801/2</t>
        </is>
      </c>
      <c r="I15" s="15" t="inlineStr">
        <is>
          <t>УПГ</t>
        </is>
      </c>
      <c r="J15" s="15" t="inlineStr">
        <is>
          <t>АСУ,А и ТМ (КЦ № 6)</t>
        </is>
      </c>
      <c r="K15" s="15" t="n">
        <v>2012</v>
      </c>
      <c r="L15" s="14" t="n">
        <v>48</v>
      </c>
      <c r="M15" s="3" t="n"/>
      <c r="N15" s="70" t="n"/>
    </row>
    <row r="16" ht="33.75" customHeight="1" s="151">
      <c r="A16" s="15">
        <f>IF(B16&lt;&gt;"", COUNTA($B$2:B16), "")</f>
        <v/>
      </c>
      <c r="B16" s="3" t="inlineStr">
        <is>
          <t xml:space="preserve">Расходомер                 </t>
        </is>
      </c>
      <c r="C16" s="14" t="inlineStr">
        <is>
          <t>F025-S12-0-C-A-Z-E-ZZZ-Z</t>
        </is>
      </c>
      <c r="D16" s="14" t="inlineStr">
        <is>
          <t>sensor       14233030    голова            3813019</t>
        </is>
      </c>
      <c r="E16" s="15" t="n">
        <v>2011</v>
      </c>
      <c r="F16" s="14" t="inlineStr">
        <is>
          <t>0,06….75,5 кг/с</t>
        </is>
      </c>
      <c r="G16" s="14" t="inlineStr">
        <is>
          <t>±0,5 (для газа)</t>
        </is>
      </c>
      <c r="H16" s="15" t="inlineStr">
        <is>
          <t>Расход топливного газа на РР802</t>
        </is>
      </c>
      <c r="I16" s="15" t="inlineStr">
        <is>
          <t>УПГ</t>
        </is>
      </c>
      <c r="J16" s="15" t="inlineStr">
        <is>
          <t>АСУ,А и ТМ (КЦ № 6)</t>
        </is>
      </c>
      <c r="K16" s="15" t="n">
        <v>2012</v>
      </c>
      <c r="L16" s="14" t="n">
        <v>48</v>
      </c>
      <c r="M16" s="3" t="n"/>
      <c r="N16" s="70" t="n"/>
    </row>
    <row r="17" ht="22.5" customHeight="1" s="151">
      <c r="A17" s="15">
        <f>IF(B17&lt;&gt;"", COUNTA($B$2:B17), "")</f>
        <v/>
      </c>
      <c r="B17" s="16" t="inlineStr">
        <is>
          <t>Термометр сопротивления</t>
        </is>
      </c>
      <c r="C17" s="15" t="inlineStr">
        <is>
          <t>ТСМУ 014.06</t>
        </is>
      </c>
      <c r="D17" s="15" t="n">
        <v>587</v>
      </c>
      <c r="E17" s="17" t="inlineStr">
        <is>
          <t>2013</t>
        </is>
      </c>
      <c r="F17" s="17" t="inlineStr">
        <is>
          <t>-50-+50 °С</t>
        </is>
      </c>
      <c r="G17" s="20" t="n">
        <v>0.005</v>
      </c>
      <c r="H17" s="15" t="inlineStr">
        <is>
          <t>Температура газа на входе в УПГ</t>
        </is>
      </c>
      <c r="I17" s="15" t="inlineStr">
        <is>
          <t>УПГ</t>
        </is>
      </c>
      <c r="J17" s="15" t="inlineStr">
        <is>
          <t>АСУ,А и ТМ (КЦ № 6)</t>
        </is>
      </c>
      <c r="K17" s="15" t="n"/>
      <c r="L17" s="14" t="n"/>
      <c r="M17" s="3" t="n"/>
      <c r="N17" s="70" t="n"/>
    </row>
    <row r="18" ht="22.5" customHeight="1" s="151">
      <c r="A18" s="15">
        <f>IF(B18&lt;&gt;"", COUNTA($B$2:B18), "")</f>
        <v/>
      </c>
      <c r="B18" s="16" t="inlineStr">
        <is>
          <t>Термометр сопротивления</t>
        </is>
      </c>
      <c r="C18" s="15" t="inlineStr">
        <is>
          <t>ТСПУ 014.55</t>
        </is>
      </c>
      <c r="D18" s="15" t="n">
        <v>73</v>
      </c>
      <c r="E18" s="17" t="inlineStr">
        <is>
          <t>2011</t>
        </is>
      </c>
      <c r="F18" s="17" t="inlineStr">
        <is>
          <t>0-+200 °С</t>
        </is>
      </c>
      <c r="G18" s="20" t="n">
        <v>0.005</v>
      </c>
      <c r="H18" s="15" t="inlineStr">
        <is>
          <t>Температура масла в конвекторе ЕК2</t>
        </is>
      </c>
      <c r="I18" s="15" t="inlineStr">
        <is>
          <t>УПГ</t>
        </is>
      </c>
      <c r="J18" s="15" t="inlineStr">
        <is>
          <t>АСУ,А и ТМ (КЦ № 6)</t>
        </is>
      </c>
      <c r="K18" s="15" t="n"/>
      <c r="L18" s="14" t="n"/>
      <c r="M18" s="3" t="n"/>
      <c r="N18" s="70" t="n"/>
    </row>
    <row r="19" ht="22.5" customHeight="1" s="151">
      <c r="A19" s="15">
        <f>IF(B19&lt;&gt;"", COUNTA($B$2:B19), "")</f>
        <v/>
      </c>
      <c r="B19" s="16" t="inlineStr">
        <is>
          <t>Термометр сопротивления</t>
        </is>
      </c>
      <c r="C19" s="15" t="inlineStr">
        <is>
          <t>ТСМУ 014.06</t>
        </is>
      </c>
      <c r="D19" s="15" t="n">
        <v>590</v>
      </c>
      <c r="E19" s="17" t="inlineStr">
        <is>
          <t>2013</t>
        </is>
      </c>
      <c r="F19" s="17" t="inlineStr">
        <is>
          <t>-50-+50 °С</t>
        </is>
      </c>
      <c r="G19" s="20" t="n">
        <v>0.005</v>
      </c>
      <c r="H19" s="15" t="inlineStr">
        <is>
          <t>Температура газа на выходе из УПГ</t>
        </is>
      </c>
      <c r="I19" s="15" t="inlineStr">
        <is>
          <t>УПГ</t>
        </is>
      </c>
      <c r="J19" s="15" t="inlineStr">
        <is>
          <t>АСУ,А и ТМ (КЦ № 6)</t>
        </is>
      </c>
      <c r="K19" s="15" t="n"/>
      <c r="L19" s="14" t="n"/>
      <c r="M19" s="3" t="n"/>
      <c r="N19" s="70" t="n"/>
    </row>
    <row r="20" ht="33.75" customHeight="1" s="151">
      <c r="A20" s="15">
        <f>IF(B20&lt;&gt;"", COUNTA($B$2:B20), "")</f>
        <v/>
      </c>
      <c r="B20" s="16" t="inlineStr">
        <is>
          <t>Термометр сопротивления</t>
        </is>
      </c>
      <c r="C20" s="15" t="inlineStr">
        <is>
          <t>ТСПУ 014.55</t>
        </is>
      </c>
      <c r="D20" s="15" t="n">
        <v>81</v>
      </c>
      <c r="E20" s="17" t="inlineStr">
        <is>
          <t>2011</t>
        </is>
      </c>
      <c r="F20" s="17" t="inlineStr">
        <is>
          <t>0-+100 °С</t>
        </is>
      </c>
      <c r="G20" s="20" t="n">
        <v>0.005</v>
      </c>
      <c r="H20" s="15" t="inlineStr">
        <is>
          <t>Температура воздуха в технологическом отсеке УПГ</t>
        </is>
      </c>
      <c r="I20" s="15" t="inlineStr">
        <is>
          <t>УПГ</t>
        </is>
      </c>
      <c r="J20" s="15" t="inlineStr">
        <is>
          <t>АСУ,А и ТМ (КЦ № 6)</t>
        </is>
      </c>
      <c r="K20" s="15" t="n"/>
      <c r="L20" s="14" t="n"/>
      <c r="M20" s="3" t="n"/>
      <c r="N20" s="70" t="n"/>
    </row>
    <row r="21" ht="22.5" customHeight="1" s="151">
      <c r="A21" s="15">
        <f>IF(B21&lt;&gt;"", COUNTA($B$2:B21), "")</f>
        <v/>
      </c>
      <c r="B21" s="16" t="inlineStr">
        <is>
          <t>Термометр сопротивления</t>
        </is>
      </c>
      <c r="C21" s="15" t="inlineStr">
        <is>
          <t>ТСПУ 014.55</t>
        </is>
      </c>
      <c r="D21" s="15" t="n">
        <v>84</v>
      </c>
      <c r="E21" s="17" t="inlineStr">
        <is>
          <t>2011</t>
        </is>
      </c>
      <c r="F21" s="17" t="inlineStr">
        <is>
          <t>0-+100 °С</t>
        </is>
      </c>
      <c r="G21" s="20" t="n">
        <v>0.005</v>
      </c>
      <c r="H21" s="15" t="inlineStr">
        <is>
          <t>Температура газа на выходе ЭПГ 800/1</t>
        </is>
      </c>
      <c r="I21" s="15" t="inlineStr">
        <is>
          <t>УПГ</t>
        </is>
      </c>
      <c r="J21" s="15" t="inlineStr">
        <is>
          <t>АСУ,А и ТМ (КЦ № 6)</t>
        </is>
      </c>
      <c r="K21" s="15" t="n"/>
      <c r="L21" s="14" t="n"/>
      <c r="M21" s="3" t="n"/>
      <c r="N21" s="70" t="n"/>
    </row>
    <row r="22" ht="22.5" customHeight="1" s="151">
      <c r="A22" s="15">
        <f>IF(B22&lt;&gt;"", COUNTA($B$2:B22), "")</f>
        <v/>
      </c>
      <c r="B22" s="16" t="inlineStr">
        <is>
          <t>Термометр сопротивления</t>
        </is>
      </c>
      <c r="C22" s="15" t="inlineStr">
        <is>
          <t>ТСПУ 014.55</t>
        </is>
      </c>
      <c r="D22" s="15" t="n">
        <v>88</v>
      </c>
      <c r="E22" s="17" t="inlineStr">
        <is>
          <t>2011</t>
        </is>
      </c>
      <c r="F22" s="17" t="inlineStr">
        <is>
          <t>0-+200 °С</t>
        </is>
      </c>
      <c r="G22" s="20" t="n">
        <v>0.005</v>
      </c>
      <c r="H22" s="15" t="inlineStr">
        <is>
          <t>Температура антифриза в ЭПГ 800/1</t>
        </is>
      </c>
      <c r="I22" s="15" t="inlineStr">
        <is>
          <t>УПГ</t>
        </is>
      </c>
      <c r="J22" s="15" t="inlineStr">
        <is>
          <t>АСУ,А и ТМ (КЦ № 6)</t>
        </is>
      </c>
      <c r="K22" s="15" t="n"/>
      <c r="L22" s="14" t="n"/>
      <c r="M22" s="3" t="n"/>
      <c r="N22" s="70" t="n"/>
    </row>
    <row r="23" ht="22.5" customHeight="1" s="151">
      <c r="A23" s="15">
        <f>IF(B23&lt;&gt;"", COUNTA($B$2:B23), "")</f>
        <v/>
      </c>
      <c r="B23" s="16" t="inlineStr">
        <is>
          <t>Термометр сопротивления</t>
        </is>
      </c>
      <c r="C23" s="15" t="inlineStr">
        <is>
          <t>ТСПУ 014.55</t>
        </is>
      </c>
      <c r="D23" s="15" t="n">
        <v>70</v>
      </c>
      <c r="E23" s="17" t="inlineStr">
        <is>
          <t>2011</t>
        </is>
      </c>
      <c r="F23" s="17" t="inlineStr">
        <is>
          <t>0-+100 °С</t>
        </is>
      </c>
      <c r="G23" s="20" t="n">
        <v>0.005</v>
      </c>
      <c r="H23" s="15" t="inlineStr">
        <is>
          <t>Температура газа на выходе ЭПГ 800/2</t>
        </is>
      </c>
      <c r="I23" s="15" t="inlineStr">
        <is>
          <t>УПГ</t>
        </is>
      </c>
      <c r="J23" s="15" t="inlineStr">
        <is>
          <t>АСУ,А и ТМ (КЦ № 6)</t>
        </is>
      </c>
      <c r="K23" s="15" t="n"/>
      <c r="L23" s="14" t="n"/>
      <c r="M23" s="3" t="n"/>
      <c r="N23" s="70" t="n"/>
    </row>
    <row r="24">
      <c r="A24" s="15">
        <f>IF(B24&lt;&gt;"", COUNTA($B$2:B24), "")</f>
        <v/>
      </c>
      <c r="B24" s="280" t="inlineStr">
        <is>
          <t>Манометр электроконтактный</t>
        </is>
      </c>
      <c r="C24" s="71" t="inlineStr">
        <is>
          <t>ДМ2005CrIExУ3</t>
        </is>
      </c>
      <c r="D24" s="71" t="n">
        <v>111777</v>
      </c>
      <c r="E24" s="10" t="n">
        <v>2010</v>
      </c>
      <c r="F24" s="26" t="inlineStr">
        <is>
          <t>0..4 кгс/см2</t>
        </is>
      </c>
      <c r="G24" s="10" t="n">
        <v>1.5</v>
      </c>
      <c r="H24" s="14" t="inlineStr">
        <is>
          <t>Р газа на выходе УПГ</t>
        </is>
      </c>
      <c r="I24" s="15" t="inlineStr">
        <is>
          <t>УПГ</t>
        </is>
      </c>
      <c r="J24" s="15" t="inlineStr">
        <is>
          <t>АСУ,А и ТМ (КЦ № 6)</t>
        </is>
      </c>
      <c r="K24" s="15" t="n">
        <v>2012</v>
      </c>
      <c r="L24" s="15" t="n">
        <v>12</v>
      </c>
      <c r="M24" s="3" t="inlineStr">
        <is>
          <t>3К26</t>
        </is>
      </c>
      <c r="N24" s="70" t="inlineStr">
        <is>
          <t>К</t>
        </is>
      </c>
    </row>
    <row r="25" ht="22.5" customHeight="1" s="151">
      <c r="A25" s="15">
        <f>IF(B25&lt;&gt;"", COUNTA($B$2:B25), "")</f>
        <v/>
      </c>
      <c r="B25" s="280" t="inlineStr">
        <is>
          <t>Манометр технический</t>
        </is>
      </c>
      <c r="C25" s="26" t="inlineStr">
        <is>
          <t>МП4-УУ2</t>
        </is>
      </c>
      <c r="D25" s="26" t="n">
        <v>15109</v>
      </c>
      <c r="E25" s="10" t="n">
        <v>2010</v>
      </c>
      <c r="F25" s="26" t="inlineStr">
        <is>
          <t>0..160 кгс/см2</t>
        </is>
      </c>
      <c r="G25" s="26" t="n">
        <v>1.5</v>
      </c>
      <c r="H25" s="26" t="inlineStr">
        <is>
          <t>P газа на входе в УПГ</t>
        </is>
      </c>
      <c r="I25" s="25" t="inlineStr">
        <is>
          <t>УПГ</t>
        </is>
      </c>
      <c r="J25" s="15" t="inlineStr">
        <is>
          <t>АСУ,А и ТМ (КЦ № 6)</t>
        </is>
      </c>
      <c r="K25" s="15" t="n">
        <v>2012</v>
      </c>
      <c r="L25" s="15" t="n">
        <v>12</v>
      </c>
      <c r="M25" s="3" t="inlineStr">
        <is>
          <t>3К26</t>
        </is>
      </c>
      <c r="N25" s="70" t="inlineStr">
        <is>
          <t>К</t>
        </is>
      </c>
    </row>
    <row r="26" ht="22.5" customHeight="1" s="151">
      <c r="A26" s="15">
        <f>IF(B26&lt;&gt;"", COUNTA($B$2:B26), "")</f>
        <v/>
      </c>
      <c r="B26" s="280" t="inlineStr">
        <is>
          <t>Манометр технический</t>
        </is>
      </c>
      <c r="C26" s="14" t="inlineStr">
        <is>
          <t>МП4-УУ2</t>
        </is>
      </c>
      <c r="D26" s="14" t="n">
        <v>15543</v>
      </c>
      <c r="E26" s="10" t="n">
        <v>2010</v>
      </c>
      <c r="F26" s="26" t="inlineStr">
        <is>
          <t>0..160 кгс/см2</t>
        </is>
      </c>
      <c r="G26" s="14" t="n">
        <v>1.5</v>
      </c>
      <c r="H26" s="14" t="inlineStr">
        <is>
          <t>P газа после фильтра 801</t>
        </is>
      </c>
      <c r="I26" s="25" t="inlineStr">
        <is>
          <t>УПГ</t>
        </is>
      </c>
      <c r="J26" s="15" t="inlineStr">
        <is>
          <t>АСУ,А и ТМ (КЦ № 6)</t>
        </is>
      </c>
      <c r="K26" s="15" t="n">
        <v>2012</v>
      </c>
      <c r="L26" s="15" t="n">
        <v>12</v>
      </c>
      <c r="M26" s="160" t="inlineStr">
        <is>
          <t>26ДЯУ</t>
        </is>
      </c>
      <c r="N26" s="70" t="inlineStr">
        <is>
          <t>П</t>
        </is>
      </c>
    </row>
    <row r="27" ht="22.5" customHeight="1" s="151">
      <c r="A27" s="15">
        <f>IF(B27&lt;&gt;"", COUNTA($B$2:B27), "")</f>
        <v/>
      </c>
      <c r="B27" s="280" t="inlineStr">
        <is>
          <t>Манометр технический</t>
        </is>
      </c>
      <c r="C27" s="14" t="inlineStr">
        <is>
          <t>МП4-УУ2</t>
        </is>
      </c>
      <c r="D27" s="14" t="n">
        <v>15540</v>
      </c>
      <c r="E27" s="10" t="n">
        <v>2010</v>
      </c>
      <c r="F27" s="26" t="inlineStr">
        <is>
          <t>0..160 кгс/см2</t>
        </is>
      </c>
      <c r="G27" s="14" t="n">
        <v>1.5</v>
      </c>
      <c r="H27" s="14" t="inlineStr">
        <is>
          <t>P газа после фильтра 802</t>
        </is>
      </c>
      <c r="I27" s="25" t="inlineStr">
        <is>
          <t>УПГ</t>
        </is>
      </c>
      <c r="J27" s="15" t="inlineStr">
        <is>
          <t>АСУ,А и ТМ (КЦ № 6)</t>
        </is>
      </c>
      <c r="K27" s="15" t="n">
        <v>2012</v>
      </c>
      <c r="L27" s="15" t="n">
        <v>12</v>
      </c>
      <c r="M27" s="160" t="inlineStr">
        <is>
          <t>26ДЯУ</t>
        </is>
      </c>
      <c r="N27" s="70" t="inlineStr">
        <is>
          <t>П</t>
        </is>
      </c>
    </row>
    <row r="28">
      <c r="A28" s="15">
        <f>IF(B28&lt;&gt;"", COUNTA($B$2:B28), "")</f>
        <v/>
      </c>
      <c r="B28" s="280" t="inlineStr">
        <is>
          <t>Манометр технический</t>
        </is>
      </c>
      <c r="C28" s="14" t="inlineStr">
        <is>
          <t>МП3-УТ2</t>
        </is>
      </c>
      <c r="D28" s="14" t="n">
        <v>1322112</v>
      </c>
      <c r="E28" s="10" t="n">
        <v>2010</v>
      </c>
      <c r="F28" s="26" t="inlineStr">
        <is>
          <t>0..6 кгс/см2</t>
        </is>
      </c>
      <c r="G28" s="26" t="n">
        <v>1.5</v>
      </c>
      <c r="H28" s="26" t="inlineStr">
        <is>
          <t>P газа на выходе УПГ</t>
        </is>
      </c>
      <c r="I28" s="25" t="inlineStr">
        <is>
          <t>УПГ</t>
        </is>
      </c>
      <c r="J28" s="15" t="inlineStr">
        <is>
          <t>АСУ,А и ТМ (КЦ № 6)</t>
        </is>
      </c>
      <c r="K28" s="15" t="n">
        <v>2012</v>
      </c>
      <c r="L28" s="15" t="n">
        <v>12</v>
      </c>
      <c r="M28" s="3" t="inlineStr">
        <is>
          <t>3К26</t>
        </is>
      </c>
      <c r="N28" s="70" t="inlineStr">
        <is>
          <t>К</t>
        </is>
      </c>
    </row>
    <row r="29">
      <c r="A29" s="15">
        <f>IF(B29&lt;&gt;"", COUNTA($B$2:B29), "")</f>
        <v/>
      </c>
      <c r="B29" s="280" t="inlineStr">
        <is>
          <t>Манометр технический</t>
        </is>
      </c>
      <c r="C29" s="222" t="inlineStr">
        <is>
          <t>ДМ8008-ВУ-У2</t>
        </is>
      </c>
      <c r="D29" s="26" t="n">
        <v>50251</v>
      </c>
      <c r="E29" s="10" t="n">
        <v>2010</v>
      </c>
      <c r="F29" s="26" t="inlineStr">
        <is>
          <t>0..6 кгс/см2</t>
        </is>
      </c>
      <c r="G29" s="26" t="n">
        <v>1.5</v>
      </c>
      <c r="H29" s="26" t="inlineStr">
        <is>
          <t>P газа после клапана  801/1</t>
        </is>
      </c>
      <c r="I29" s="25" t="inlineStr">
        <is>
          <t>УПГ</t>
        </is>
      </c>
      <c r="J29" s="15" t="inlineStr">
        <is>
          <t>АСУ,А и ТМ (КЦ № 6)</t>
        </is>
      </c>
      <c r="K29" s="15" t="n">
        <v>2012</v>
      </c>
      <c r="L29" s="15" t="n">
        <v>12</v>
      </c>
      <c r="M29" s="3" t="inlineStr">
        <is>
          <t>3К26</t>
        </is>
      </c>
      <c r="N29" s="70" t="inlineStr">
        <is>
          <t>К</t>
        </is>
      </c>
    </row>
    <row r="30" ht="22.5" customHeight="1" s="151">
      <c r="A30" s="15">
        <f>IF(B30&lt;&gt;"", COUNTA($B$2:B30), "")</f>
        <v/>
      </c>
      <c r="B30" s="280" t="inlineStr">
        <is>
          <t>Манометр технический</t>
        </is>
      </c>
      <c r="C30" s="26" t="inlineStr">
        <is>
          <t>МП4-УУ2</t>
        </is>
      </c>
      <c r="D30" s="26" t="n">
        <v>15278</v>
      </c>
      <c r="E30" s="10" t="n">
        <v>2010</v>
      </c>
      <c r="F30" s="26" t="inlineStr">
        <is>
          <t>0..6 кгс/см2</t>
        </is>
      </c>
      <c r="G30" s="26" t="n">
        <v>1.5</v>
      </c>
      <c r="H30" s="26" t="inlineStr">
        <is>
          <t>P газа после клапана регулятора 801/2</t>
        </is>
      </c>
      <c r="I30" s="25" t="inlineStr">
        <is>
          <t>УПГ</t>
        </is>
      </c>
      <c r="J30" s="15" t="inlineStr">
        <is>
          <t>АСУ,А и ТМ (КЦ № 6)</t>
        </is>
      </c>
      <c r="K30" s="15" t="n">
        <v>2012</v>
      </c>
      <c r="L30" s="15" t="n">
        <v>12</v>
      </c>
      <c r="M30" s="3" t="inlineStr">
        <is>
          <t>3К26</t>
        </is>
      </c>
      <c r="N30" s="70" t="inlineStr">
        <is>
          <t>К</t>
        </is>
      </c>
    </row>
    <row r="31">
      <c r="A31" s="15">
        <f>IF(B31&lt;&gt;"", COUNTA($B$2:B31), "")</f>
        <v/>
      </c>
      <c r="B31" s="280" t="inlineStr">
        <is>
          <t>Манометр технический</t>
        </is>
      </c>
      <c r="C31" s="26" t="inlineStr">
        <is>
          <t>МП4-У</t>
        </is>
      </c>
      <c r="D31" s="26" t="n">
        <v>2293</v>
      </c>
      <c r="E31" s="10" t="n">
        <v>2010</v>
      </c>
      <c r="F31" s="26" t="inlineStr">
        <is>
          <t>0..6 кгс/см2</t>
        </is>
      </c>
      <c r="G31" s="26" t="n">
        <v>1.5</v>
      </c>
      <c r="H31" s="26" t="inlineStr">
        <is>
          <t>P газа после КР801</t>
        </is>
      </c>
      <c r="I31" s="25" t="inlineStr">
        <is>
          <t>УПГ</t>
        </is>
      </c>
      <c r="J31" s="15" t="inlineStr">
        <is>
          <t>АСУ,А и ТМ (КЦ № 6)</t>
        </is>
      </c>
      <c r="K31" s="15" t="n">
        <v>2012</v>
      </c>
      <c r="L31" s="15" t="n">
        <v>12</v>
      </c>
      <c r="M31" s="3" t="inlineStr">
        <is>
          <t>3К26</t>
        </is>
      </c>
      <c r="N31" s="70" t="inlineStr">
        <is>
          <t>К</t>
        </is>
      </c>
    </row>
    <row r="32" ht="22.5" customHeight="1" s="151">
      <c r="A32" s="15">
        <f>IF(B32&lt;&gt;"", COUNTA($B$2:B32), "")</f>
        <v/>
      </c>
      <c r="B32" s="280" t="inlineStr">
        <is>
          <t>Манометр технический</t>
        </is>
      </c>
      <c r="C32" s="26" t="inlineStr">
        <is>
          <t>МП4-УУ2</t>
        </is>
      </c>
      <c r="D32" s="26" t="n">
        <v>80341</v>
      </c>
      <c r="E32" s="10" t="n">
        <v>2010</v>
      </c>
      <c r="F32" s="26" t="inlineStr">
        <is>
          <t>0..160 кгс/см2</t>
        </is>
      </c>
      <c r="G32" s="26" t="n">
        <v>1</v>
      </c>
      <c r="H32" s="26" t="inlineStr">
        <is>
          <t>P газа после КШ 814/1</t>
        </is>
      </c>
      <c r="I32" s="25" t="inlineStr">
        <is>
          <t>УПГ</t>
        </is>
      </c>
      <c r="J32" s="15" t="inlineStr">
        <is>
          <t>АСУ,А и ТМ (КЦ № 6)</t>
        </is>
      </c>
      <c r="K32" s="15" t="n">
        <v>2012</v>
      </c>
      <c r="L32" s="15" t="n">
        <v>12</v>
      </c>
      <c r="M32" s="3" t="inlineStr">
        <is>
          <t>3К26</t>
        </is>
      </c>
      <c r="N32" s="70" t="inlineStr">
        <is>
          <t>К</t>
        </is>
      </c>
    </row>
    <row r="33" ht="22.5" customHeight="1" s="151">
      <c r="A33" s="15">
        <f>IF(B33&lt;&gt;"", COUNTA($B$2:B33), "")</f>
        <v/>
      </c>
      <c r="B33" s="280" t="inlineStr">
        <is>
          <t>Манометр технический</t>
        </is>
      </c>
      <c r="C33" s="26" t="inlineStr">
        <is>
          <t>МП4-УУ2</t>
        </is>
      </c>
      <c r="D33" s="26" t="n">
        <v>15312</v>
      </c>
      <c r="E33" s="10" t="n">
        <v>2010</v>
      </c>
      <c r="F33" s="26" t="inlineStr">
        <is>
          <t>0..160 кгс/см2</t>
        </is>
      </c>
      <c r="G33" s="26" t="n">
        <v>1.5</v>
      </c>
      <c r="H33" s="26" t="inlineStr">
        <is>
          <t>P газа после КШ 814/2</t>
        </is>
      </c>
      <c r="I33" s="25" t="inlineStr">
        <is>
          <t>УПГ</t>
        </is>
      </c>
      <c r="J33" s="15" t="inlineStr">
        <is>
          <t>АСУ,А и ТМ (КЦ № 6)</t>
        </is>
      </c>
      <c r="K33" s="15" t="n">
        <v>2012</v>
      </c>
      <c r="L33" s="15" t="n">
        <v>12</v>
      </c>
      <c r="M33" s="3" t="inlineStr">
        <is>
          <t>3К26</t>
        </is>
      </c>
      <c r="N33" s="70" t="inlineStr">
        <is>
          <t>К</t>
        </is>
      </c>
    </row>
    <row r="34" ht="22.5" customHeight="1" s="151">
      <c r="A34" s="15">
        <f>IF(B34&lt;&gt;"", COUNTA($B$2:B34), "")</f>
        <v/>
      </c>
      <c r="B34" s="280" t="inlineStr">
        <is>
          <t>Манометр технический</t>
        </is>
      </c>
      <c r="C34" s="26" t="inlineStr">
        <is>
          <t>МП4-УУ2</t>
        </is>
      </c>
      <c r="D34" s="26" t="n">
        <v>15542</v>
      </c>
      <c r="E34" s="10" t="n">
        <v>2010</v>
      </c>
      <c r="F34" s="26" t="inlineStr">
        <is>
          <t>0..160 кгс/см2</t>
        </is>
      </c>
      <c r="G34" s="26" t="n">
        <v>1.5</v>
      </c>
      <c r="H34" s="26" t="inlineStr">
        <is>
          <t>P газа перед подогревателем</t>
        </is>
      </c>
      <c r="I34" s="25" t="inlineStr">
        <is>
          <t>УПГ</t>
        </is>
      </c>
      <c r="J34" s="15" t="inlineStr">
        <is>
          <t>АСУ,А и ТМ (КЦ № 6)</t>
        </is>
      </c>
      <c r="K34" s="15" t="n">
        <v>2012</v>
      </c>
      <c r="L34" s="15" t="n">
        <v>12</v>
      </c>
      <c r="M34" s="3" t="inlineStr">
        <is>
          <t>3К26</t>
        </is>
      </c>
      <c r="N34" s="70" t="inlineStr">
        <is>
          <t>К</t>
        </is>
      </c>
    </row>
    <row r="35" ht="22.5" customHeight="1" s="151">
      <c r="A35" s="15">
        <f>IF(B35&lt;&gt;"", COUNTA($B$2:B35), "")</f>
        <v/>
      </c>
      <c r="B35" s="280" t="inlineStr">
        <is>
          <t>Манометр технический</t>
        </is>
      </c>
      <c r="C35" s="26" t="inlineStr">
        <is>
          <t>МП4-УУ2</t>
        </is>
      </c>
      <c r="D35" s="26" t="n">
        <v>15406</v>
      </c>
      <c r="E35" s="10" t="n">
        <v>2010</v>
      </c>
      <c r="F35" s="26" t="inlineStr">
        <is>
          <t>0..160 кгс/см2</t>
        </is>
      </c>
      <c r="G35" s="26" t="n">
        <v>1.5</v>
      </c>
      <c r="H35" s="26" t="inlineStr">
        <is>
          <t>P газа в подогревателе ЭПГ 800/1</t>
        </is>
      </c>
      <c r="I35" s="25" t="inlineStr">
        <is>
          <t>УПГ</t>
        </is>
      </c>
      <c r="J35" s="15" t="inlineStr">
        <is>
          <t>АСУ,А и ТМ (КЦ № 6)</t>
        </is>
      </c>
      <c r="K35" s="15" t="n">
        <v>2012</v>
      </c>
      <c r="L35" s="15" t="n">
        <v>12</v>
      </c>
      <c r="M35" s="160" t="inlineStr">
        <is>
          <t>26ДЯУ</t>
        </is>
      </c>
      <c r="N35" s="70" t="inlineStr">
        <is>
          <t>П</t>
        </is>
      </c>
    </row>
    <row r="36" ht="22.5" customHeight="1" s="151">
      <c r="A36" s="15">
        <f>IF(B36&lt;&gt;"", COUNTA($B$2:B36), "")</f>
        <v/>
      </c>
      <c r="B36" s="280" t="inlineStr">
        <is>
          <t>Манометр технический</t>
        </is>
      </c>
      <c r="C36" s="26" t="inlineStr">
        <is>
          <t>МП4-УУ2</t>
        </is>
      </c>
      <c r="D36" s="26" t="n">
        <v>15547</v>
      </c>
      <c r="E36" s="10" t="n">
        <v>2010</v>
      </c>
      <c r="F36" s="26" t="inlineStr">
        <is>
          <t>0..160 кгс/см2</t>
        </is>
      </c>
      <c r="G36" s="26" t="n">
        <v>1.5</v>
      </c>
      <c r="H36" s="26" t="inlineStr">
        <is>
          <t>P газа в подогревателе ЭПГ 800/2</t>
        </is>
      </c>
      <c r="I36" s="25" t="inlineStr">
        <is>
          <t>УПГ</t>
        </is>
      </c>
      <c r="J36" s="15" t="inlineStr">
        <is>
          <t>АСУ,А и ТМ (КЦ № 6)</t>
        </is>
      </c>
      <c r="K36" s="15" t="n">
        <v>2012</v>
      </c>
      <c r="L36" s="15" t="n">
        <v>12</v>
      </c>
      <c r="M36" s="160" t="inlineStr">
        <is>
          <t>26ДЯУ</t>
        </is>
      </c>
      <c r="N36" s="70" t="inlineStr">
        <is>
          <t>П</t>
        </is>
      </c>
    </row>
    <row r="37" ht="22.5" customHeight="1" s="151">
      <c r="A37" s="15">
        <f>IF(B37&lt;&gt;"", COUNTA($B$2:B37), "")</f>
        <v/>
      </c>
      <c r="B37" s="280" t="inlineStr">
        <is>
          <t>Манометр технический</t>
        </is>
      </c>
      <c r="C37" s="26" t="inlineStr">
        <is>
          <t>МП4-УУ2</t>
        </is>
      </c>
      <c r="D37" s="26" t="n">
        <v>15244</v>
      </c>
      <c r="E37" s="10" t="n">
        <v>2010</v>
      </c>
      <c r="F37" s="26" t="inlineStr">
        <is>
          <t>0..160 кгс/см2</t>
        </is>
      </c>
      <c r="G37" s="26" t="n">
        <v>1</v>
      </c>
      <c r="H37" s="26" t="inlineStr">
        <is>
          <t>P газа на адсорбере 1</t>
        </is>
      </c>
      <c r="I37" s="25" t="inlineStr">
        <is>
          <t>УПГ</t>
        </is>
      </c>
      <c r="J37" s="15" t="inlineStr">
        <is>
          <t>АСУ,А и ТМ (КЦ № 6)</t>
        </is>
      </c>
      <c r="K37" s="15" t="n">
        <v>2012</v>
      </c>
      <c r="L37" s="15" t="n">
        <v>12</v>
      </c>
      <c r="M37" s="160" t="inlineStr">
        <is>
          <t>26ДЯУ</t>
        </is>
      </c>
      <c r="N37" s="70" t="inlineStr">
        <is>
          <t>П</t>
        </is>
      </c>
    </row>
    <row r="38" ht="22.5" customHeight="1" s="151">
      <c r="A38" s="15">
        <f>IF(B38&lt;&gt;"", COUNTA($B$2:B38), "")</f>
        <v/>
      </c>
      <c r="B38" s="280" t="inlineStr">
        <is>
          <t>Манометр технический</t>
        </is>
      </c>
      <c r="C38" s="26" t="inlineStr">
        <is>
          <t>МП4-УУ2</t>
        </is>
      </c>
      <c r="D38" s="26" t="n">
        <v>15177</v>
      </c>
      <c r="E38" s="10" t="n">
        <v>2010</v>
      </c>
      <c r="F38" s="26" t="inlineStr">
        <is>
          <t>0..160 кгс/см2</t>
        </is>
      </c>
      <c r="G38" s="26" t="n">
        <v>1.5</v>
      </c>
      <c r="H38" s="26" t="inlineStr">
        <is>
          <t>P газа на адсорбере 2</t>
        </is>
      </c>
      <c r="I38" s="25" t="inlineStr">
        <is>
          <t>УПГ</t>
        </is>
      </c>
      <c r="J38" s="15" t="inlineStr">
        <is>
          <t>АСУ,А и ТМ (КЦ № 6)</t>
        </is>
      </c>
      <c r="K38" s="15" t="n">
        <v>2012</v>
      </c>
      <c r="L38" s="15" t="n">
        <v>12</v>
      </c>
      <c r="M38" s="160" t="inlineStr">
        <is>
          <t>26ДЯУ</t>
        </is>
      </c>
      <c r="N38" s="70" t="inlineStr">
        <is>
          <t>П</t>
        </is>
      </c>
    </row>
    <row r="39" ht="22.5" customHeight="1" s="151">
      <c r="A39" s="15">
        <f>IF(B39&lt;&gt;"", COUNTA($B$2:B39), "")</f>
        <v/>
      </c>
      <c r="B39" s="280" t="inlineStr">
        <is>
          <t>Манометр технический</t>
        </is>
      </c>
      <c r="C39" s="26" t="inlineStr">
        <is>
          <t>МП4-УУ2</t>
        </is>
      </c>
      <c r="D39" s="10" t="n">
        <v>15337</v>
      </c>
      <c r="E39" s="10" t="n">
        <v>2010</v>
      </c>
      <c r="F39" s="26" t="inlineStr">
        <is>
          <t>0..160 кгс/см2</t>
        </is>
      </c>
      <c r="G39" s="26" t="n">
        <v>1.5</v>
      </c>
      <c r="H39" s="26" t="inlineStr">
        <is>
          <t>P газа в теплообменнике</t>
        </is>
      </c>
      <c r="I39" s="25" t="inlineStr">
        <is>
          <t>УПГ</t>
        </is>
      </c>
      <c r="J39" s="15" t="inlineStr">
        <is>
          <t>АСУ,А и ТМ (КЦ № 6)</t>
        </is>
      </c>
      <c r="K39" s="15" t="n">
        <v>2012</v>
      </c>
      <c r="L39" s="15" t="n">
        <v>12</v>
      </c>
      <c r="M39" s="160" t="inlineStr">
        <is>
          <t>26ДЯУ</t>
        </is>
      </c>
      <c r="N39" s="70" t="inlineStr">
        <is>
          <t>П</t>
        </is>
      </c>
    </row>
    <row r="40" ht="22.5" customHeight="1" s="151">
      <c r="A40" s="15">
        <f>IF(B40&lt;&gt;"", COUNTA($B$2:B40), "")</f>
        <v/>
      </c>
      <c r="B40" s="280" t="inlineStr">
        <is>
          <t>Манометр технический</t>
        </is>
      </c>
      <c r="C40" s="26" t="inlineStr">
        <is>
          <t>МП4-УУ2</t>
        </is>
      </c>
      <c r="D40" s="10" t="n">
        <v>15405</v>
      </c>
      <c r="E40" s="10" t="n">
        <v>2010</v>
      </c>
      <c r="F40" s="26" t="inlineStr">
        <is>
          <t>0..160 кгс/см2</t>
        </is>
      </c>
      <c r="G40" s="26" t="n">
        <v>1</v>
      </c>
      <c r="H40" s="26" t="inlineStr">
        <is>
          <t>P газа на выходе с теплообменника</t>
        </is>
      </c>
      <c r="I40" s="25" t="inlineStr">
        <is>
          <t>УПГ</t>
        </is>
      </c>
      <c r="J40" s="15" t="inlineStr">
        <is>
          <t>АСУ,А и ТМ (КЦ № 6)</t>
        </is>
      </c>
      <c r="K40" s="15" t="n">
        <v>2012</v>
      </c>
      <c r="L40" s="15" t="n">
        <v>12</v>
      </c>
      <c r="M40" s="160" t="inlineStr">
        <is>
          <t>26ДЯУ</t>
        </is>
      </c>
      <c r="N40" s="70" t="inlineStr">
        <is>
          <t>П</t>
        </is>
      </c>
    </row>
    <row r="41" ht="22.5" customHeight="1" s="151">
      <c r="A41" s="15">
        <f>IF(B41&lt;&gt;"", COUNTA($B$2:B41), "")</f>
        <v/>
      </c>
      <c r="B41" s="280" t="inlineStr">
        <is>
          <t>Манометр технический</t>
        </is>
      </c>
      <c r="C41" s="26" t="inlineStr">
        <is>
          <t>МП4-УУ2</t>
        </is>
      </c>
      <c r="D41" s="10" t="n">
        <v>15172</v>
      </c>
      <c r="E41" s="10" t="n">
        <v>2010</v>
      </c>
      <c r="F41" s="26" t="inlineStr">
        <is>
          <t>0..160 кгс/см2</t>
        </is>
      </c>
      <c r="G41" s="26" t="n">
        <v>1.5</v>
      </c>
      <c r="H41" s="26" t="inlineStr">
        <is>
          <t>P газа после адсорбера 401</t>
        </is>
      </c>
      <c r="I41" s="25" t="inlineStr">
        <is>
          <t>УПГ</t>
        </is>
      </c>
      <c r="J41" s="15" t="inlineStr">
        <is>
          <t>АСУ,А и ТМ (КЦ № 6)</t>
        </is>
      </c>
      <c r="K41" s="15" t="n">
        <v>2012</v>
      </c>
      <c r="L41" s="15" t="n">
        <v>12</v>
      </c>
      <c r="M41" s="3" t="inlineStr">
        <is>
          <t>3К26</t>
        </is>
      </c>
      <c r="N41" s="70" t="inlineStr">
        <is>
          <t>К</t>
        </is>
      </c>
    </row>
    <row r="42" ht="22.5" customHeight="1" s="151">
      <c r="A42" s="15">
        <f>IF(B42&lt;&gt;"", COUNTA($B$2:B42), "")</f>
        <v/>
      </c>
      <c r="B42" s="280" t="inlineStr">
        <is>
          <t>Манометр технический</t>
        </is>
      </c>
      <c r="C42" s="26" t="inlineStr">
        <is>
          <t>МП4-УУ2</t>
        </is>
      </c>
      <c r="D42" s="10" t="n">
        <v>15372</v>
      </c>
      <c r="E42" s="10" t="n">
        <v>2010</v>
      </c>
      <c r="F42" s="26" t="inlineStr">
        <is>
          <t>0..160 кгс/см2</t>
        </is>
      </c>
      <c r="G42" s="26" t="n">
        <v>1.5</v>
      </c>
      <c r="H42" s="26" t="inlineStr">
        <is>
          <t>P газа после адсорбера 402</t>
        </is>
      </c>
      <c r="I42" s="25" t="inlineStr">
        <is>
          <t>УПГ</t>
        </is>
      </c>
      <c r="J42" s="15" t="inlineStr">
        <is>
          <t>АСУ,А и ТМ (КЦ № 6)</t>
        </is>
      </c>
      <c r="K42" s="15" t="n">
        <v>2012</v>
      </c>
      <c r="L42" s="15" t="n">
        <v>12</v>
      </c>
      <c r="M42" s="3" t="inlineStr">
        <is>
          <t>3К26</t>
        </is>
      </c>
      <c r="N42" s="70" t="inlineStr">
        <is>
          <t>К</t>
        </is>
      </c>
    </row>
    <row r="43" ht="22.5" customHeight="1" s="151">
      <c r="A43" s="15">
        <f>IF(B43&lt;&gt;"", COUNTA($B$2:B43), "")</f>
        <v/>
      </c>
      <c r="B43" s="280" t="inlineStr">
        <is>
          <t>Манометр технический</t>
        </is>
      </c>
      <c r="C43" s="14" t="inlineStr">
        <is>
          <t>МП4-УУ2</t>
        </is>
      </c>
      <c r="D43" s="14" t="n">
        <v>15536</v>
      </c>
      <c r="E43" s="10" t="n">
        <v>2010</v>
      </c>
      <c r="F43" s="26" t="inlineStr">
        <is>
          <t>0..160 кгс/см2</t>
        </is>
      </c>
      <c r="G43" s="14" t="n">
        <v>1.5</v>
      </c>
      <c r="H43" s="14" t="inlineStr">
        <is>
          <t>Р конденсата в емкости Е801</t>
        </is>
      </c>
      <c r="I43" s="25" t="inlineStr">
        <is>
          <t>УПГ</t>
        </is>
      </c>
      <c r="J43" s="15" t="inlineStr">
        <is>
          <t>АСУ,А и ТМ (КЦ № 6)</t>
        </is>
      </c>
      <c r="K43" s="15" t="n">
        <v>2012</v>
      </c>
      <c r="L43" s="15" t="n">
        <v>12</v>
      </c>
      <c r="M43" s="160" t="inlineStr">
        <is>
          <t>26ДЯУ</t>
        </is>
      </c>
      <c r="N43" s="70" t="inlineStr">
        <is>
          <t>П</t>
        </is>
      </c>
    </row>
    <row r="44" ht="22.5" customHeight="1" s="151">
      <c r="A44" s="15">
        <f>IF(B44&lt;&gt;"", COUNTA($B$2:B44), "")</f>
        <v/>
      </c>
      <c r="B44" s="280" t="inlineStr">
        <is>
          <t>Манометр технический</t>
        </is>
      </c>
      <c r="C44" s="26" t="inlineStr">
        <is>
          <t>МП4-УУ2</t>
        </is>
      </c>
      <c r="D44" s="26" t="n">
        <v>15402</v>
      </c>
      <c r="E44" s="10" t="n">
        <v>2010</v>
      </c>
      <c r="F44" s="26" t="inlineStr">
        <is>
          <t>0..160 кгс/см2</t>
        </is>
      </c>
      <c r="G44" s="14" t="n">
        <v>1</v>
      </c>
      <c r="H44" s="26" t="inlineStr">
        <is>
          <t>Р газа пред блоком редуцирования</t>
        </is>
      </c>
      <c r="I44" s="25" t="inlineStr">
        <is>
          <t>УПГ</t>
        </is>
      </c>
      <c r="J44" s="15" t="inlineStr">
        <is>
          <t>АСУ,А и ТМ (КЦ № 6)</t>
        </is>
      </c>
      <c r="K44" s="15" t="n">
        <v>2012</v>
      </c>
      <c r="L44" s="15" t="n">
        <v>12</v>
      </c>
      <c r="M44" s="3" t="inlineStr">
        <is>
          <t>3К26</t>
        </is>
      </c>
      <c r="N44" s="70" t="inlineStr">
        <is>
          <t>К</t>
        </is>
      </c>
    </row>
    <row r="45">
      <c r="A45" s="15">
        <f>IF(B45&lt;&gt;"", COUNTA($B$2:B45), "")</f>
        <v/>
      </c>
      <c r="B45" s="14" t="inlineStr">
        <is>
          <t>Термометр биметаллический</t>
        </is>
      </c>
      <c r="C45" s="10" t="inlineStr">
        <is>
          <t>ТБ-2Р</t>
        </is>
      </c>
      <c r="D45" s="10" t="n">
        <v>6562</v>
      </c>
      <c r="E45" s="10" t="n">
        <v>2010</v>
      </c>
      <c r="F45" s="27" t="inlineStr">
        <is>
          <t>0  ..  120°С</t>
        </is>
      </c>
      <c r="G45" s="10" t="n">
        <v>1.5</v>
      </c>
      <c r="H45" s="26" t="inlineStr">
        <is>
          <t>Тг на входе в УПГ</t>
        </is>
      </c>
      <c r="I45" s="25" t="inlineStr">
        <is>
          <t>УПГ</t>
        </is>
      </c>
      <c r="J45" s="15" t="inlineStr">
        <is>
          <t>АСУ,А и ТМ (КЦ № 6)</t>
        </is>
      </c>
      <c r="K45" s="15" t="n">
        <v>2012</v>
      </c>
      <c r="L45" s="15" t="n">
        <v>24</v>
      </c>
      <c r="M45" s="3" t="inlineStr">
        <is>
          <t>3К25</t>
        </is>
      </c>
      <c r="N45" s="70" t="inlineStr">
        <is>
          <t>К</t>
        </is>
      </c>
    </row>
    <row r="46" ht="22.5" customHeight="1" s="151">
      <c r="A46" s="15">
        <f>IF(B46&lt;&gt;"", COUNTA($B$2:B46), "")</f>
        <v/>
      </c>
      <c r="B46" s="14" t="inlineStr">
        <is>
          <t>Термометр биметаллический</t>
        </is>
      </c>
      <c r="C46" s="10" t="inlineStr">
        <is>
          <t>ТБ-2Р УХЛ2</t>
        </is>
      </c>
      <c r="D46" s="10" t="n">
        <v>4001</v>
      </c>
      <c r="E46" s="10" t="n">
        <v>2010</v>
      </c>
      <c r="F46" s="11" t="inlineStr">
        <is>
          <t>0  ..  150°С</t>
        </is>
      </c>
      <c r="G46" s="10" t="n">
        <v>1.5</v>
      </c>
      <c r="H46" s="26" t="inlineStr">
        <is>
          <t>Тг на выходе УПГ после редуцирования</t>
        </is>
      </c>
      <c r="I46" s="25" t="inlineStr">
        <is>
          <t>УПГ</t>
        </is>
      </c>
      <c r="J46" s="15" t="inlineStr">
        <is>
          <t>АСУ,А и ТМ (КЦ № 6)</t>
        </is>
      </c>
      <c r="K46" s="15" t="n">
        <v>2012</v>
      </c>
      <c r="L46" s="15" t="n">
        <v>24</v>
      </c>
      <c r="M46" s="3" t="inlineStr">
        <is>
          <t>3К25</t>
        </is>
      </c>
      <c r="N46" s="70" t="inlineStr">
        <is>
          <t>К</t>
        </is>
      </c>
    </row>
    <row r="47">
      <c r="A47" s="15">
        <f>IF(B47&lt;&gt;"", COUNTA($B$2:B47), "")</f>
        <v/>
      </c>
      <c r="B47" s="14" t="inlineStr">
        <is>
          <t>Термометр биметаллический</t>
        </is>
      </c>
      <c r="C47" s="10" t="inlineStr">
        <is>
          <t>ТБ-2Р УХЛ2</t>
        </is>
      </c>
      <c r="D47" s="10" t="n">
        <v>3565</v>
      </c>
      <c r="E47" s="10" t="n">
        <v>2010</v>
      </c>
      <c r="F47" s="11" t="inlineStr">
        <is>
          <t>0  ..  150°С</t>
        </is>
      </c>
      <c r="G47" s="10" t="n">
        <v>1.5</v>
      </c>
      <c r="H47" s="26" t="inlineStr">
        <is>
          <t>Тг на выходе ЭПГ 800/1</t>
        </is>
      </c>
      <c r="I47" s="25" t="inlineStr">
        <is>
          <t>УПГ</t>
        </is>
      </c>
      <c r="J47" s="15" t="inlineStr">
        <is>
          <t>АСУ,А и ТМ (КЦ № 6)</t>
        </is>
      </c>
      <c r="K47" s="15" t="n">
        <v>2012</v>
      </c>
      <c r="L47" s="15" t="n">
        <v>24</v>
      </c>
      <c r="M47" s="3" t="inlineStr">
        <is>
          <t>3К25</t>
        </is>
      </c>
      <c r="N47" s="70" t="inlineStr">
        <is>
          <t>К</t>
        </is>
      </c>
    </row>
    <row r="48">
      <c r="A48" s="15">
        <f>IF(B48&lt;&gt;"", COUNTA($B$2:B48), "")</f>
        <v/>
      </c>
      <c r="B48" s="14" t="inlineStr">
        <is>
          <t>Термометр биметаллический</t>
        </is>
      </c>
      <c r="C48" s="10" t="inlineStr">
        <is>
          <t>ТБ-2Р УХЛ2</t>
        </is>
      </c>
      <c r="D48" s="10" t="n">
        <v>3575</v>
      </c>
      <c r="E48" s="10" t="n">
        <v>2010</v>
      </c>
      <c r="F48" s="11" t="inlineStr">
        <is>
          <t>0  ..  150°С</t>
        </is>
      </c>
      <c r="G48" s="10" t="n">
        <v>1</v>
      </c>
      <c r="H48" s="26" t="inlineStr">
        <is>
          <t>Тг на выходе ЭПГ 800/2</t>
        </is>
      </c>
      <c r="I48" s="25" t="inlineStr">
        <is>
          <t>УПГ</t>
        </is>
      </c>
      <c r="J48" s="15" t="inlineStr">
        <is>
          <t>АСУ,А и ТМ (КЦ № 6)</t>
        </is>
      </c>
      <c r="K48" s="15" t="n">
        <v>2012</v>
      </c>
      <c r="L48" s="15" t="n">
        <v>24</v>
      </c>
      <c r="M48" s="3" t="inlineStr">
        <is>
          <t>3К25</t>
        </is>
      </c>
      <c r="N48" s="70" t="inlineStr">
        <is>
          <t>К</t>
        </is>
      </c>
    </row>
    <row r="49" ht="22.5" customHeight="1" s="151">
      <c r="A49" s="15">
        <f>IF(B49&lt;&gt;"", COUNTA($B$2:B49), "")</f>
        <v/>
      </c>
      <c r="B49" s="14" t="inlineStr">
        <is>
          <t>Термометр биметаллический</t>
        </is>
      </c>
      <c r="C49" s="10" t="inlineStr">
        <is>
          <t>ТБ-2Р УХЛ2</t>
        </is>
      </c>
      <c r="D49" s="10" t="n">
        <v>3580</v>
      </c>
      <c r="E49" s="10" t="n">
        <v>2010</v>
      </c>
      <c r="F49" s="11" t="inlineStr">
        <is>
          <t>0  ..  150°С</t>
        </is>
      </c>
      <c r="G49" s="10" t="n">
        <v>1</v>
      </c>
      <c r="H49" s="26" t="inlineStr">
        <is>
          <t>Тг регенерации на входе в АТ 401</t>
        </is>
      </c>
      <c r="I49" s="25" t="inlineStr">
        <is>
          <t>УПГ</t>
        </is>
      </c>
      <c r="J49" s="15" t="inlineStr">
        <is>
          <t>АСУ,А и ТМ (КЦ № 6)</t>
        </is>
      </c>
      <c r="K49" s="15" t="n">
        <v>2012</v>
      </c>
      <c r="L49" s="15" t="n">
        <v>24</v>
      </c>
      <c r="M49" s="3" t="inlineStr">
        <is>
          <t>3К25</t>
        </is>
      </c>
      <c r="N49" s="70" t="inlineStr">
        <is>
          <t>К</t>
        </is>
      </c>
    </row>
    <row r="50" ht="22.5" customHeight="1" s="151">
      <c r="A50" s="15">
        <f>IF(B50&lt;&gt;"", COUNTA($B$2:B50), "")</f>
        <v/>
      </c>
      <c r="B50" s="14" t="inlineStr">
        <is>
          <t>Термометр биметаллический</t>
        </is>
      </c>
      <c r="C50" s="10" t="inlineStr">
        <is>
          <t>ТБ-2Р УХЛ2</t>
        </is>
      </c>
      <c r="D50" s="10" t="n">
        <v>5281</v>
      </c>
      <c r="E50" s="10" t="n">
        <v>2010</v>
      </c>
      <c r="F50" s="11" t="inlineStr">
        <is>
          <t>0  ..  300°С</t>
        </is>
      </c>
      <c r="G50" s="10" t="n">
        <v>1</v>
      </c>
      <c r="H50" s="26" t="inlineStr">
        <is>
          <t>Тг регенерации на выходе  ПГР 401</t>
        </is>
      </c>
      <c r="I50" s="25" t="inlineStr">
        <is>
          <t>УПГ</t>
        </is>
      </c>
      <c r="J50" s="15" t="inlineStr">
        <is>
          <t>АСУ,А и ТМ (КЦ № 6)</t>
        </is>
      </c>
      <c r="K50" s="15" t="n">
        <v>2012</v>
      </c>
      <c r="L50" s="15" t="n">
        <v>24</v>
      </c>
      <c r="M50" s="3" t="inlineStr">
        <is>
          <t>3К25</t>
        </is>
      </c>
      <c r="N50" s="70" t="inlineStr">
        <is>
          <t>К</t>
        </is>
      </c>
    </row>
    <row r="51">
      <c r="A51" s="15">
        <f>IF(B51&lt;&gt;"", COUNTA($B$2:B51), "")</f>
        <v/>
      </c>
      <c r="B51" s="280" t="inlineStr">
        <is>
          <t>Датчик пламени</t>
        </is>
      </c>
      <c r="C51" s="10" t="inlineStr">
        <is>
          <t>ИП330/3-20-А2</t>
        </is>
      </c>
      <c r="D51" s="11" t="inlineStr">
        <is>
          <t>000991</t>
        </is>
      </c>
      <c r="E51" s="15" t="n">
        <v>2011</v>
      </c>
      <c r="F51" s="33" t="n"/>
      <c r="G51" s="33" t="n"/>
      <c r="H51" s="26" t="inlineStr">
        <is>
          <t>В помещении УПГ</t>
        </is>
      </c>
      <c r="I51" s="25" t="inlineStr">
        <is>
          <t>УПГ</t>
        </is>
      </c>
      <c r="J51" s="15" t="inlineStr">
        <is>
          <t>АСУ,А и ТМ (КЦ № 6)</t>
        </is>
      </c>
      <c r="K51" s="15" t="n">
        <v>2012</v>
      </c>
      <c r="L51" s="33" t="n"/>
      <c r="M51" s="3" t="n"/>
      <c r="N51" s="33" t="n"/>
    </row>
    <row r="52">
      <c r="A52" s="15">
        <f>IF(B52&lt;&gt;"", COUNTA($B$2:B52), "")</f>
        <v/>
      </c>
      <c r="B52" s="280" t="inlineStr">
        <is>
          <t>Датчик пламени</t>
        </is>
      </c>
      <c r="C52" s="10" t="inlineStr">
        <is>
          <t>ИП330/3-20-А3</t>
        </is>
      </c>
      <c r="D52" s="11" t="inlineStr">
        <is>
          <t>000974</t>
        </is>
      </c>
      <c r="E52" s="15" t="n">
        <v>2011</v>
      </c>
      <c r="F52" s="33" t="n"/>
      <c r="G52" s="33" t="n"/>
      <c r="H52" s="26" t="inlineStr">
        <is>
          <t>В помещении УПГ</t>
        </is>
      </c>
      <c r="I52" s="25" t="inlineStr">
        <is>
          <t>УПГ</t>
        </is>
      </c>
      <c r="J52" s="15" t="inlineStr">
        <is>
          <t>АСУ,А и ТМ (КЦ № 6)</t>
        </is>
      </c>
      <c r="K52" s="15" t="n">
        <v>2012</v>
      </c>
      <c r="L52" s="33" t="n"/>
      <c r="M52" s="3" t="n"/>
      <c r="N52" s="33" t="n"/>
    </row>
    <row r="53">
      <c r="A53" s="15">
        <f>IF(B53&lt;&gt;"", COUNTA($B$2:B53), "")</f>
        <v/>
      </c>
      <c r="B53" s="280" t="inlineStr">
        <is>
          <t>Датчик пламени</t>
        </is>
      </c>
      <c r="C53" s="10" t="inlineStr">
        <is>
          <t>ИП330/3-20-А4</t>
        </is>
      </c>
      <c r="D53" s="11" t="inlineStr">
        <is>
          <t>000990</t>
        </is>
      </c>
      <c r="E53" s="15" t="n">
        <v>2011</v>
      </c>
      <c r="F53" s="33" t="n"/>
      <c r="G53" s="33" t="n"/>
      <c r="H53" s="26" t="inlineStr">
        <is>
          <t>В помещении УПГ</t>
        </is>
      </c>
      <c r="I53" s="25" t="inlineStr">
        <is>
          <t>УПГ</t>
        </is>
      </c>
      <c r="J53" s="15" t="inlineStr">
        <is>
          <t>АСУ,А и ТМ (КЦ № 6)</t>
        </is>
      </c>
      <c r="K53" s="15" t="n">
        <v>2012</v>
      </c>
      <c r="L53" s="33" t="n"/>
      <c r="M53" s="3" t="n"/>
      <c r="N53" s="33" t="n"/>
    </row>
    <row r="54">
      <c r="A54" s="15">
        <f>IF(B54&lt;&gt;"", COUNTA($B$2:B54), "")</f>
        <v/>
      </c>
      <c r="B54" s="280" t="inlineStr">
        <is>
          <t>Датчик пламени</t>
        </is>
      </c>
      <c r="C54" s="10" t="inlineStr">
        <is>
          <t>ИП330/3-20-А5</t>
        </is>
      </c>
      <c r="D54" s="11" t="inlineStr">
        <is>
          <t>001006</t>
        </is>
      </c>
      <c r="E54" s="15" t="n">
        <v>2011</v>
      </c>
      <c r="F54" s="33" t="n"/>
      <c r="G54" s="33" t="n"/>
      <c r="H54" s="26" t="inlineStr">
        <is>
          <t>В помещении УПГ</t>
        </is>
      </c>
      <c r="I54" s="25" t="inlineStr">
        <is>
          <t>УПГ</t>
        </is>
      </c>
      <c r="J54" s="15" t="inlineStr">
        <is>
          <t>АСУ,А и ТМ (КЦ № 6)</t>
        </is>
      </c>
      <c r="K54" s="15" t="n">
        <v>2012</v>
      </c>
      <c r="L54" s="33" t="n"/>
      <c r="M54" s="3" t="n"/>
      <c r="N54" s="33" t="n"/>
    </row>
    <row r="55" s="151">
      <c r="A55" s="15">
        <f>IF(B55&lt;&gt;"", COUNTA($B$2:B55), "")</f>
        <v/>
      </c>
      <c r="B55" s="280" t="inlineStr">
        <is>
          <t>Контроль загазованности</t>
        </is>
      </c>
      <c r="C55" s="10" t="inlineStr">
        <is>
          <t>Det-Tronics (PIRECL 21M)</t>
        </is>
      </c>
      <c r="D55" s="10" t="n">
        <v>1105084</v>
      </c>
      <c r="E55" s="15" t="n">
        <v>2011</v>
      </c>
      <c r="F55" s="33" t="n"/>
      <c r="G55" s="33" t="n"/>
      <c r="H55" s="26" t="inlineStr">
        <is>
          <t>В помещении УПГ</t>
        </is>
      </c>
      <c r="I55" s="25" t="inlineStr">
        <is>
          <t>УПГ</t>
        </is>
      </c>
      <c r="J55" s="15" t="inlineStr">
        <is>
          <t>АСУ,А и ТМ (КЦ № 6)</t>
        </is>
      </c>
      <c r="K55" s="15" t="n">
        <v>2012</v>
      </c>
      <c r="L55" s="14" t="n"/>
      <c r="M55" s="3" t="n"/>
      <c r="N55" s="33" t="n"/>
    </row>
    <row r="56">
      <c r="A56" s="15">
        <f>IF(B56&lt;&gt;"", COUNTA($B$2:B56), "")</f>
        <v/>
      </c>
      <c r="B56" s="280" t="inlineStr">
        <is>
          <t>Контроль загазованности</t>
        </is>
      </c>
      <c r="C56" s="10" t="inlineStr">
        <is>
          <t>Det-Tronics (PIRECL 21M)</t>
        </is>
      </c>
      <c r="D56" s="10" t="n">
        <v>1105094</v>
      </c>
      <c r="E56" s="15" t="n">
        <v>2011</v>
      </c>
      <c r="F56" s="33" t="n"/>
      <c r="G56" s="33" t="n"/>
      <c r="H56" s="26" t="inlineStr">
        <is>
          <t>В помещении УПГ</t>
        </is>
      </c>
      <c r="I56" s="25" t="inlineStr">
        <is>
          <t>УПГ</t>
        </is>
      </c>
      <c r="J56" s="15" t="inlineStr">
        <is>
          <t>АСУ,А и ТМ (КЦ № 6)</t>
        </is>
      </c>
      <c r="K56" s="15" t="n">
        <v>2012</v>
      </c>
      <c r="L56" s="14" t="n"/>
      <c r="M56" s="3" t="n"/>
      <c r="N56" s="33" t="n"/>
    </row>
    <row r="57" ht="11.25" customFormat="1" customHeight="1" s="108">
      <c r="A57" s="15">
        <f>IF(B57&lt;&gt;"", COUNTA($B$2:B57), "")</f>
        <v/>
      </c>
      <c r="B57" s="280" t="inlineStr">
        <is>
          <t>Уровнемер</t>
        </is>
      </c>
      <c r="C57" s="71" t="inlineStr">
        <is>
          <t>Rosemount 2120</t>
        </is>
      </c>
      <c r="D57" s="10" t="inlineStr">
        <is>
          <t>MS13453800200002</t>
        </is>
      </c>
      <c r="E57" s="10" t="n">
        <v>2011</v>
      </c>
      <c r="F57" s="10" t="n"/>
      <c r="G57" s="10" t="n"/>
      <c r="H57" s="14" t="inlineStr">
        <is>
          <t>Н конденсата в ЭПГ 800/2</t>
        </is>
      </c>
      <c r="I57" s="25" t="inlineStr">
        <is>
          <t>УПГ</t>
        </is>
      </c>
      <c r="J57" s="15" t="inlineStr">
        <is>
          <t>АСУ,А и ТМ (КЦ № 6)</t>
        </is>
      </c>
      <c r="K57" s="15" t="n"/>
      <c r="L57" s="15" t="n"/>
      <c r="M57" s="3" t="n"/>
      <c r="N57" s="70" t="n"/>
    </row>
    <row r="58">
      <c r="A58" s="15">
        <f>IF(B58&lt;&gt;"", COUNTA($B$2:B58), "")</f>
        <v/>
      </c>
      <c r="B58" s="280" t="inlineStr">
        <is>
          <t>Уровнемер</t>
        </is>
      </c>
      <c r="C58" s="71" t="inlineStr">
        <is>
          <t>Rosemount 2120</t>
        </is>
      </c>
      <c r="D58" s="10" t="inlineStr">
        <is>
          <t>MS13453800200001</t>
        </is>
      </c>
      <c r="E58" s="10" t="n">
        <v>2011</v>
      </c>
      <c r="F58" s="10" t="n"/>
      <c r="G58" s="10" t="n"/>
      <c r="H58" s="14" t="inlineStr">
        <is>
          <t>Н конденсата в ЭПГ 800/1</t>
        </is>
      </c>
      <c r="I58" s="25" t="inlineStr">
        <is>
          <t>УПГ</t>
        </is>
      </c>
      <c r="J58" s="15" t="inlineStr">
        <is>
          <t>АСУ,А и ТМ (КЦ № 6)</t>
        </is>
      </c>
      <c r="K58" s="15" t="n"/>
      <c r="L58" s="15" t="n"/>
      <c r="M58" s="3" t="n"/>
      <c r="N58" s="70" t="n"/>
    </row>
    <row r="59">
      <c r="A59" s="15">
        <f>IF(B59&lt;&gt;"", COUNTA($B$2:B59), "")</f>
        <v/>
      </c>
      <c r="B59" s="280" t="inlineStr">
        <is>
          <t>Уровнемер</t>
        </is>
      </c>
      <c r="C59" s="71" t="inlineStr">
        <is>
          <t>Rosemount 2120</t>
        </is>
      </c>
      <c r="D59" s="10" t="inlineStr">
        <is>
          <t>MS13453800100005</t>
        </is>
      </c>
      <c r="E59" s="10" t="n">
        <v>2011</v>
      </c>
      <c r="F59" s="10" t="n"/>
      <c r="G59" s="10" t="n"/>
      <c r="H59" s="14" t="inlineStr">
        <is>
          <t>Н конденсата в Е801</t>
        </is>
      </c>
      <c r="I59" s="25" t="inlineStr">
        <is>
          <t>УПГ</t>
        </is>
      </c>
      <c r="J59" s="15" t="inlineStr">
        <is>
          <t>АСУ,А и ТМ (КЦ № 6)</t>
        </is>
      </c>
      <c r="K59" s="15" t="n"/>
      <c r="L59" s="15" t="n"/>
      <c r="M59" s="3" t="n"/>
      <c r="N59" s="70" t="n"/>
    </row>
    <row r="60">
      <c r="A60" s="15">
        <f>IF(B60&lt;&gt;"", COUNTA($B$2:B60), "")</f>
        <v/>
      </c>
      <c r="B60" s="280" t="inlineStr">
        <is>
          <t>Уровнемер</t>
        </is>
      </c>
      <c r="C60" s="71" t="inlineStr">
        <is>
          <t>Rosemount 2120</t>
        </is>
      </c>
      <c r="D60" s="10" t="inlineStr">
        <is>
          <t>MS13453800100001</t>
        </is>
      </c>
      <c r="E60" s="10" t="n">
        <v>2011</v>
      </c>
      <c r="F60" s="10" t="n"/>
      <c r="G60" s="10" t="n"/>
      <c r="H60" s="14" t="inlineStr">
        <is>
          <t>Н конденсата в ФС801</t>
        </is>
      </c>
      <c r="I60" s="25" t="inlineStr">
        <is>
          <t>УПГ</t>
        </is>
      </c>
      <c r="J60" s="15" t="inlineStr">
        <is>
          <t>АСУ,А и ТМ (КЦ № 6)</t>
        </is>
      </c>
      <c r="K60" s="15" t="n"/>
      <c r="L60" s="15" t="n"/>
      <c r="M60" s="3" t="n"/>
      <c r="N60" s="70" t="n"/>
    </row>
    <row r="61">
      <c r="A61" s="15">
        <f>IF(B61&lt;&gt;"", COUNTA($B$2:B61), "")</f>
        <v/>
      </c>
      <c r="B61" s="280" t="inlineStr">
        <is>
          <t>Уровнемер</t>
        </is>
      </c>
      <c r="C61" s="71" t="inlineStr">
        <is>
          <t>Rosemount 2120</t>
        </is>
      </c>
      <c r="D61" s="10" t="inlineStr">
        <is>
          <t>MS13453800100002</t>
        </is>
      </c>
      <c r="E61" s="10" t="n">
        <v>2011</v>
      </c>
      <c r="F61" s="10" t="n"/>
      <c r="G61" s="10" t="n"/>
      <c r="H61" s="14" t="inlineStr">
        <is>
          <t>Н конденсата в ФС802</t>
        </is>
      </c>
      <c r="I61" s="25" t="inlineStr">
        <is>
          <t>УПГ</t>
        </is>
      </c>
      <c r="J61" s="15" t="inlineStr">
        <is>
          <t>АСУ,А и ТМ (КЦ № 6)</t>
        </is>
      </c>
      <c r="K61" s="15" t="n"/>
      <c r="L61" s="15" t="n"/>
      <c r="M61" s="3" t="n"/>
      <c r="N61" s="70" t="n"/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5" right="0.25" top="0.75" bottom="0.75" header="0.3" footer="0.3"/>
  <pageSetup orientation="landscape" paperSize="9" scale="37"/>
</worksheet>
</file>

<file path=xl/worksheets/sheet9.xml><?xml version="1.0" encoding="utf-8"?>
<worksheet xmlns="http://schemas.openxmlformats.org/spreadsheetml/2006/main">
  <sheetPr codeName="Лист9">
    <outlinePr summaryBelow="1" summaryRight="1"/>
    <pageSetUpPr fitToPage="1"/>
  </sheetPr>
  <dimension ref="A1:N28"/>
  <sheetViews>
    <sheetView zoomScaleNormal="100" workbookViewId="0">
      <pane ySplit="1" topLeftCell="A8" activePane="bottomLeft" state="frozen"/>
      <selection pane="bottomLeft" activeCell="M16" sqref="M16"/>
    </sheetView>
  </sheetViews>
  <sheetFormatPr baseColWidth="8" defaultRowHeight="11.25"/>
  <cols>
    <col width="3.140625" bestFit="1" customWidth="1" style="108" min="1" max="1"/>
    <col width="17.5703125" bestFit="1" customWidth="1" style="108" min="2" max="2"/>
    <col width="12.28515625" bestFit="1" customWidth="1" style="108" min="3" max="3"/>
    <col width="15.28515625" bestFit="1" customWidth="1" style="108" min="4" max="4"/>
    <col width="6.5703125" bestFit="1" customWidth="1" style="108" min="5" max="5"/>
    <col width="10.5703125" bestFit="1" customWidth="1" style="108" min="6" max="6"/>
    <col width="7.42578125" bestFit="1" customWidth="1" style="108" min="7" max="7"/>
    <col width="19.85546875" bestFit="1" customWidth="1" style="108" min="8" max="8"/>
    <col width="17.5703125" bestFit="1" customWidth="1" style="108" min="9" max="9"/>
    <col width="17.42578125" bestFit="1" customWidth="1" style="108" min="10" max="10"/>
    <col width="8" bestFit="1" customWidth="1" style="108" min="11" max="11"/>
    <col width="9" bestFit="1" customWidth="1" style="108" min="12" max="12"/>
    <col width="8.85546875" bestFit="1" customWidth="1" style="114" min="13" max="13"/>
    <col width="9" bestFit="1" customWidth="1" style="108" min="14" max="14"/>
    <col width="9.140625" customWidth="1" style="108" min="15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
номер</t>
        </is>
      </c>
      <c r="E1" s="3" t="inlineStr">
        <is>
          <t>Год 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>
      <c r="A2" s="15">
        <f>IF(B2&lt;&gt;"", COUNTA($B$2:B2), "")</f>
        <v/>
      </c>
      <c r="B2" s="280" t="inlineStr">
        <is>
          <t>Манометр технический</t>
        </is>
      </c>
      <c r="C2" s="10" t="inlineStr">
        <is>
          <t>МП4-УУ2</t>
        </is>
      </c>
      <c r="D2" s="10" t="n">
        <v>15614</v>
      </c>
      <c r="E2" s="10" t="n">
        <v>2010</v>
      </c>
      <c r="F2" s="26" t="inlineStr">
        <is>
          <t>0..160 кгс/см2</t>
        </is>
      </c>
      <c r="G2" s="10" t="n">
        <v>1.5</v>
      </c>
      <c r="H2" s="26" t="inlineStr">
        <is>
          <t>Р газа на входе ПУ1</t>
        </is>
      </c>
      <c r="I2" s="26" t="inlineStr">
        <is>
          <t>Установка очистки газа</t>
        </is>
      </c>
      <c r="J2" s="15" t="inlineStr">
        <is>
          <t>АСУ,А и ТМ (КЦ № 6)</t>
        </is>
      </c>
      <c r="K2" s="15" t="n">
        <v>2012</v>
      </c>
      <c r="L2" s="15" t="n">
        <v>12</v>
      </c>
      <c r="M2" s="3" t="inlineStr">
        <is>
          <t>26ДЯУ</t>
        </is>
      </c>
      <c r="N2" s="70" t="inlineStr">
        <is>
          <t>П</t>
        </is>
      </c>
    </row>
    <row r="3">
      <c r="A3" s="15">
        <f>IF(B3&lt;&gt;"", COUNTA($B$2:B3), "")</f>
        <v/>
      </c>
      <c r="B3" s="280" t="inlineStr">
        <is>
          <t>Манометр технический</t>
        </is>
      </c>
      <c r="C3" s="10" t="inlineStr">
        <is>
          <t>МП4-УУ2</t>
        </is>
      </c>
      <c r="D3" s="10" t="n">
        <v>15345</v>
      </c>
      <c r="E3" s="10" t="n">
        <v>2010</v>
      </c>
      <c r="F3" s="26" t="inlineStr">
        <is>
          <t>0..160 кгс/см2</t>
        </is>
      </c>
      <c r="G3" s="10" t="n">
        <v>1.5</v>
      </c>
      <c r="H3" s="26" t="inlineStr">
        <is>
          <t>Р газа на выходе ПУ1</t>
        </is>
      </c>
      <c r="I3" s="26" t="inlineStr">
        <is>
          <t>Установка очистки газа</t>
        </is>
      </c>
      <c r="J3" s="15" t="inlineStr">
        <is>
          <t>АСУ,А и ТМ (КЦ № 6)</t>
        </is>
      </c>
      <c r="K3" s="15" t="n">
        <v>2012</v>
      </c>
      <c r="L3" s="15" t="n">
        <v>12</v>
      </c>
      <c r="M3" s="3" t="inlineStr">
        <is>
          <t>26ДЯУ</t>
        </is>
      </c>
      <c r="N3" s="70" t="inlineStr">
        <is>
          <t>П</t>
        </is>
      </c>
    </row>
    <row r="4">
      <c r="A4" s="15">
        <f>IF(B4&lt;&gt;"", COUNTA($B$2:B4), "")</f>
        <v/>
      </c>
      <c r="B4" s="280" t="inlineStr">
        <is>
          <t>Манометр технический</t>
        </is>
      </c>
      <c r="C4" s="10" t="inlineStr">
        <is>
          <t>МП4-УУ2</t>
        </is>
      </c>
      <c r="D4" s="10" t="n">
        <v>15076</v>
      </c>
      <c r="E4" s="10" t="n">
        <v>2010</v>
      </c>
      <c r="F4" s="26" t="inlineStr">
        <is>
          <t>0..160 кгс/см2</t>
        </is>
      </c>
      <c r="G4" s="10" t="n">
        <v>1.5</v>
      </c>
      <c r="H4" s="26" t="inlineStr">
        <is>
          <t>Р газа на входе ПУ2</t>
        </is>
      </c>
      <c r="I4" s="26" t="inlineStr">
        <is>
          <t>Установка очистки газа</t>
        </is>
      </c>
      <c r="J4" s="15" t="inlineStr">
        <is>
          <t>АСУ,А и ТМ (КЦ № 6)</t>
        </is>
      </c>
      <c r="K4" s="15" t="n">
        <v>2012</v>
      </c>
      <c r="L4" s="15" t="n">
        <v>12</v>
      </c>
      <c r="M4" s="3" t="inlineStr">
        <is>
          <t>26ДЯУ</t>
        </is>
      </c>
      <c r="N4" s="70" t="inlineStr">
        <is>
          <t>П</t>
        </is>
      </c>
    </row>
    <row r="5">
      <c r="A5" s="15">
        <f>IF(B5&lt;&gt;"", COUNTA($B$2:B5), "")</f>
        <v/>
      </c>
      <c r="B5" s="280" t="inlineStr">
        <is>
          <t>Манометр технический</t>
        </is>
      </c>
      <c r="C5" s="10" t="inlineStr">
        <is>
          <t>МП4-УУ2</t>
        </is>
      </c>
      <c r="D5" s="10" t="n">
        <v>15322</v>
      </c>
      <c r="E5" s="10" t="n">
        <v>2010</v>
      </c>
      <c r="F5" s="26" t="inlineStr">
        <is>
          <t>0..160 кгс/см2</t>
        </is>
      </c>
      <c r="G5" s="10" t="n">
        <v>1.5</v>
      </c>
      <c r="H5" s="26" t="inlineStr">
        <is>
          <t>Р газа на выходе ПУ2</t>
        </is>
      </c>
      <c r="I5" s="26" t="inlineStr">
        <is>
          <t>Установка очистки газа</t>
        </is>
      </c>
      <c r="J5" s="15" t="inlineStr">
        <is>
          <t>АСУ,А и ТМ (КЦ № 6)</t>
        </is>
      </c>
      <c r="K5" s="15" t="n">
        <v>2012</v>
      </c>
      <c r="L5" s="15" t="n">
        <v>12</v>
      </c>
      <c r="M5" s="3" t="inlineStr">
        <is>
          <t>26ДЯУ</t>
        </is>
      </c>
      <c r="N5" s="70" t="inlineStr">
        <is>
          <t>П</t>
        </is>
      </c>
    </row>
    <row r="6">
      <c r="A6" s="15">
        <f>IF(B6&lt;&gt;"", COUNTA($B$2:B6), "")</f>
        <v/>
      </c>
      <c r="B6" s="280" t="inlineStr">
        <is>
          <t>Манометр технический</t>
        </is>
      </c>
      <c r="C6" s="10" t="inlineStr">
        <is>
          <t>МП4-УУ2</t>
        </is>
      </c>
      <c r="D6" s="10" t="n">
        <v>15351</v>
      </c>
      <c r="E6" s="10" t="n">
        <v>2010</v>
      </c>
      <c r="F6" s="26" t="inlineStr">
        <is>
          <t>0..160 кгс/см2</t>
        </is>
      </c>
      <c r="G6" s="10" t="n">
        <v>1.5</v>
      </c>
      <c r="H6" s="26" t="inlineStr">
        <is>
          <t>Р газа на входе ПУ3</t>
        </is>
      </c>
      <c r="I6" s="26" t="inlineStr">
        <is>
          <t>Установка очистки газа</t>
        </is>
      </c>
      <c r="J6" s="15" t="inlineStr">
        <is>
          <t>АСУ,А и ТМ (КЦ № 6)</t>
        </is>
      </c>
      <c r="K6" s="15" t="n">
        <v>2012</v>
      </c>
      <c r="L6" s="15" t="n">
        <v>12</v>
      </c>
      <c r="M6" s="3" t="inlineStr">
        <is>
          <t>26ДЯУ</t>
        </is>
      </c>
      <c r="N6" s="70" t="inlineStr">
        <is>
          <t>П</t>
        </is>
      </c>
    </row>
    <row r="7">
      <c r="A7" s="15">
        <f>IF(B7&lt;&gt;"", COUNTA($B$2:B7), "")</f>
        <v/>
      </c>
      <c r="B7" s="280" t="inlineStr">
        <is>
          <t>Манометр технический</t>
        </is>
      </c>
      <c r="C7" s="10" t="inlineStr">
        <is>
          <t>МП4-УУ2</t>
        </is>
      </c>
      <c r="D7" s="10" t="n">
        <v>15331</v>
      </c>
      <c r="E7" s="10" t="n">
        <v>2010</v>
      </c>
      <c r="F7" s="26" t="inlineStr">
        <is>
          <t>0..160 кгс/см2</t>
        </is>
      </c>
      <c r="G7" s="10" t="n">
        <v>1.5</v>
      </c>
      <c r="H7" s="26" t="inlineStr">
        <is>
          <t>Р газа на выходе ПУ3</t>
        </is>
      </c>
      <c r="I7" s="26" t="inlineStr">
        <is>
          <t>Установка очистки газа</t>
        </is>
      </c>
      <c r="J7" s="15" t="inlineStr">
        <is>
          <t>АСУ,А и ТМ (КЦ № 6)</t>
        </is>
      </c>
      <c r="K7" s="15" t="n">
        <v>2012</v>
      </c>
      <c r="L7" s="15" t="n">
        <v>12</v>
      </c>
      <c r="M7" s="3" t="inlineStr">
        <is>
          <t>26ДЯУ</t>
        </is>
      </c>
      <c r="N7" s="70" t="inlineStr">
        <is>
          <t>П</t>
        </is>
      </c>
    </row>
    <row r="8">
      <c r="A8" s="15">
        <f>IF(B8&lt;&gt;"", COUNTA($B$2:B8), "")</f>
        <v/>
      </c>
      <c r="B8" s="280" t="inlineStr">
        <is>
          <t>Манометр технический</t>
        </is>
      </c>
      <c r="C8" s="10" t="inlineStr">
        <is>
          <t>МП4-УУ2</t>
        </is>
      </c>
      <c r="D8" s="10" t="n">
        <v>15081</v>
      </c>
      <c r="E8" s="10" t="n">
        <v>2010</v>
      </c>
      <c r="F8" s="26" t="inlineStr">
        <is>
          <t>0..160 кгс/см2</t>
        </is>
      </c>
      <c r="G8" s="10" t="n">
        <v>1.5</v>
      </c>
      <c r="H8" s="26" t="inlineStr">
        <is>
          <t>Р газа на входе ПУ4</t>
        </is>
      </c>
      <c r="I8" s="26" t="inlineStr">
        <is>
          <t>Установка очистки газа</t>
        </is>
      </c>
      <c r="J8" s="15" t="inlineStr">
        <is>
          <t>АСУ,А и ТМ (КЦ № 6)</t>
        </is>
      </c>
      <c r="K8" s="15" t="n">
        <v>2012</v>
      </c>
      <c r="L8" s="15" t="n">
        <v>12</v>
      </c>
      <c r="M8" s="3" t="inlineStr">
        <is>
          <t>26ДЯУ</t>
        </is>
      </c>
      <c r="N8" s="70" t="inlineStr">
        <is>
          <t>П</t>
        </is>
      </c>
    </row>
    <row r="9">
      <c r="A9" s="15">
        <f>IF(B9&lt;&gt;"", COUNTA($B$2:B9), "")</f>
        <v/>
      </c>
      <c r="B9" s="280" t="inlineStr">
        <is>
          <t>Манометр технический</t>
        </is>
      </c>
      <c r="C9" s="10" t="inlineStr">
        <is>
          <t>МП4-УУ2</t>
        </is>
      </c>
      <c r="D9" s="10" t="n">
        <v>15333</v>
      </c>
      <c r="E9" s="10" t="n">
        <v>2010</v>
      </c>
      <c r="F9" s="26" t="inlineStr">
        <is>
          <t>0..160 кгс/см2</t>
        </is>
      </c>
      <c r="G9" s="10" t="n">
        <v>1.5</v>
      </c>
      <c r="H9" s="26" t="inlineStr">
        <is>
          <t>Р газа на выходе ПУ4</t>
        </is>
      </c>
      <c r="I9" s="26" t="inlineStr">
        <is>
          <t>Установка очистки газа</t>
        </is>
      </c>
      <c r="J9" s="15" t="inlineStr">
        <is>
          <t>АСУ,А и ТМ (КЦ № 6)</t>
        </is>
      </c>
      <c r="K9" s="15" t="n">
        <v>2012</v>
      </c>
      <c r="L9" s="15" t="n">
        <v>12</v>
      </c>
      <c r="M9" s="3" t="inlineStr">
        <is>
          <t>26ДЯУ</t>
        </is>
      </c>
      <c r="N9" s="70" t="inlineStr">
        <is>
          <t>П</t>
        </is>
      </c>
    </row>
    <row r="10">
      <c r="A10" s="15">
        <f>IF(B10&lt;&gt;"", COUNTA($B$2:B10), "")</f>
        <v/>
      </c>
      <c r="B10" s="280" t="inlineStr">
        <is>
          <t>Манометр технический</t>
        </is>
      </c>
      <c r="C10" s="10" t="inlineStr">
        <is>
          <t>МП4-УУ2</t>
        </is>
      </c>
      <c r="D10" s="10" t="n">
        <v>15072</v>
      </c>
      <c r="E10" s="10" t="n">
        <v>2010</v>
      </c>
      <c r="F10" s="26" t="inlineStr">
        <is>
          <t>0..160 кгс/см2</t>
        </is>
      </c>
      <c r="G10" s="10" t="n">
        <v>1.5</v>
      </c>
      <c r="H10" s="26" t="inlineStr">
        <is>
          <t>Р газа на входе ПУ5</t>
        </is>
      </c>
      <c r="I10" s="26" t="inlineStr">
        <is>
          <t>Установка очистки газа</t>
        </is>
      </c>
      <c r="J10" s="15" t="inlineStr">
        <is>
          <t>АСУ,А и ТМ (КЦ № 6)</t>
        </is>
      </c>
      <c r="K10" s="15" t="n">
        <v>2012</v>
      </c>
      <c r="L10" s="15" t="n">
        <v>12</v>
      </c>
      <c r="M10" s="3" t="inlineStr">
        <is>
          <t>26ДЯУ</t>
        </is>
      </c>
      <c r="N10" s="70" t="inlineStr">
        <is>
          <t>П</t>
        </is>
      </c>
    </row>
    <row r="11">
      <c r="A11" s="15">
        <f>IF(B11&lt;&gt;"", COUNTA($B$2:B11), "")</f>
        <v/>
      </c>
      <c r="B11" s="280" t="inlineStr">
        <is>
          <t>Манометр технический</t>
        </is>
      </c>
      <c r="C11" s="10" t="inlineStr">
        <is>
          <t>МП4-УУ2</t>
        </is>
      </c>
      <c r="D11" s="10" t="n">
        <v>15087</v>
      </c>
      <c r="E11" s="10" t="n">
        <v>2010</v>
      </c>
      <c r="F11" s="26" t="inlineStr">
        <is>
          <t>0..160 кгс/см2</t>
        </is>
      </c>
      <c r="G11" s="10" t="n">
        <v>1.5</v>
      </c>
      <c r="H11" s="26" t="inlineStr">
        <is>
          <t>Р газа на выходе ПУ5</t>
        </is>
      </c>
      <c r="I11" s="26" t="inlineStr">
        <is>
          <t>Установка очистки газа</t>
        </is>
      </c>
      <c r="J11" s="15" t="inlineStr">
        <is>
          <t>АСУ,А и ТМ (КЦ № 6)</t>
        </is>
      </c>
      <c r="K11" s="15" t="n">
        <v>2012</v>
      </c>
      <c r="L11" s="15" t="n">
        <v>12</v>
      </c>
      <c r="M11" s="3" t="inlineStr">
        <is>
          <t>26ДЯУ</t>
        </is>
      </c>
      <c r="N11" s="70" t="inlineStr">
        <is>
          <t>П</t>
        </is>
      </c>
    </row>
    <row r="12">
      <c r="A12" s="15">
        <f>IF(B12&lt;&gt;"", COUNTA($B$2:B12), "")</f>
        <v/>
      </c>
      <c r="B12" s="280" t="inlineStr">
        <is>
          <t>Манометр технический</t>
        </is>
      </c>
      <c r="C12" s="10" t="inlineStr">
        <is>
          <t>МП4-УУ2</t>
        </is>
      </c>
      <c r="D12" s="10" t="n">
        <v>15349</v>
      </c>
      <c r="E12" s="10" t="n">
        <v>2010</v>
      </c>
      <c r="F12" s="26" t="inlineStr">
        <is>
          <t>0..160 кгс/см2</t>
        </is>
      </c>
      <c r="G12" s="10" t="n">
        <v>1.5</v>
      </c>
      <c r="H12" s="26" t="inlineStr">
        <is>
          <t>Р газа на входе ПУ6</t>
        </is>
      </c>
      <c r="I12" s="26" t="inlineStr">
        <is>
          <t>Установка очистки газа</t>
        </is>
      </c>
      <c r="J12" s="15" t="inlineStr">
        <is>
          <t>АСУ,А и ТМ (КЦ № 6)</t>
        </is>
      </c>
      <c r="K12" s="15" t="n">
        <v>2012</v>
      </c>
      <c r="L12" s="15" t="n">
        <v>12</v>
      </c>
      <c r="M12" s="3" t="inlineStr">
        <is>
          <t>26ДЯУ</t>
        </is>
      </c>
      <c r="N12" s="70" t="inlineStr">
        <is>
          <t>П</t>
        </is>
      </c>
    </row>
    <row r="13">
      <c r="A13" s="15">
        <f>IF(B13&lt;&gt;"", COUNTA($B$2:B13), "")</f>
        <v/>
      </c>
      <c r="B13" s="280" t="inlineStr">
        <is>
          <t>Манометр технический</t>
        </is>
      </c>
      <c r="C13" s="10" t="inlineStr">
        <is>
          <t>МП4-УУ2</t>
        </is>
      </c>
      <c r="D13" s="10" t="n">
        <v>15334</v>
      </c>
      <c r="E13" s="10" t="n">
        <v>2010</v>
      </c>
      <c r="F13" s="26" t="inlineStr">
        <is>
          <t>0..160 кгс/см2</t>
        </is>
      </c>
      <c r="G13" s="10" t="n">
        <v>1.5</v>
      </c>
      <c r="H13" s="26" t="inlineStr">
        <is>
          <t>Р газа на выходе ПУ6</t>
        </is>
      </c>
      <c r="I13" s="26" t="inlineStr">
        <is>
          <t>Установка очистки газа</t>
        </is>
      </c>
      <c r="J13" s="15" t="inlineStr">
        <is>
          <t>АСУ,А и ТМ (КЦ № 6)</t>
        </is>
      </c>
      <c r="K13" s="15" t="n">
        <v>2012</v>
      </c>
      <c r="L13" s="15" t="n">
        <v>12</v>
      </c>
      <c r="M13" s="3" t="inlineStr">
        <is>
          <t>26ДЯУ</t>
        </is>
      </c>
      <c r="N13" s="70" t="inlineStr">
        <is>
          <t>П</t>
        </is>
      </c>
    </row>
    <row r="14">
      <c r="A14" s="15">
        <f>IF(B14&lt;&gt;"", COUNTA($B$2:B14), "")</f>
        <v/>
      </c>
      <c r="B14" s="280" t="inlineStr">
        <is>
          <t>Манометр технический</t>
        </is>
      </c>
      <c r="C14" s="10" t="inlineStr">
        <is>
          <t>МП4-УУ2</t>
        </is>
      </c>
      <c r="D14" s="11" t="inlineStr">
        <is>
          <t>15085</t>
        </is>
      </c>
      <c r="E14" s="10" t="n">
        <v>2010</v>
      </c>
      <c r="F14" s="26" t="inlineStr">
        <is>
          <t>0..160 кгс/см2</t>
        </is>
      </c>
      <c r="G14" s="10" t="n">
        <v>1.5</v>
      </c>
      <c r="H14" s="26" t="inlineStr">
        <is>
          <t>Р газа на входе ПУ</t>
        </is>
      </c>
      <c r="I14" s="26" t="inlineStr">
        <is>
          <t>Установка очистки газа</t>
        </is>
      </c>
      <c r="J14" s="15" t="inlineStr">
        <is>
          <t>АСУ,А и ТМ (КЦ № 6)</t>
        </is>
      </c>
      <c r="K14" s="15" t="n">
        <v>2012</v>
      </c>
      <c r="L14" s="15" t="n">
        <v>12</v>
      </c>
      <c r="M14" s="3" t="inlineStr">
        <is>
          <t>1К26</t>
        </is>
      </c>
      <c r="N14" s="70" t="inlineStr">
        <is>
          <t>К</t>
        </is>
      </c>
    </row>
    <row r="15">
      <c r="A15" s="15">
        <f>IF(B15&lt;&gt;"", COUNTA($B$2:B15), "")</f>
        <v/>
      </c>
      <c r="B15" s="280" t="inlineStr">
        <is>
          <t>Манометр технический</t>
        </is>
      </c>
      <c r="C15" s="10" t="inlineStr">
        <is>
          <t>МП4-УУ2</t>
        </is>
      </c>
      <c r="D15" s="10" t="n">
        <v>24</v>
      </c>
      <c r="E15" s="10" t="n">
        <v>2010</v>
      </c>
      <c r="F15" s="26" t="inlineStr">
        <is>
          <t>0..160 кгс/см2</t>
        </is>
      </c>
      <c r="G15" s="10" t="n">
        <v>1.5</v>
      </c>
      <c r="H15" s="26" t="inlineStr">
        <is>
          <t>Р газа на выходе ПУ</t>
        </is>
      </c>
      <c r="I15" s="26" t="inlineStr">
        <is>
          <t>Установка очистки газа</t>
        </is>
      </c>
      <c r="J15" s="15" t="inlineStr">
        <is>
          <t>АСУ,А и ТМ (КЦ № 6)</t>
        </is>
      </c>
      <c r="K15" s="15" t="n">
        <v>2012</v>
      </c>
      <c r="L15" s="15" t="n">
        <v>12</v>
      </c>
      <c r="M15" s="3" t="inlineStr">
        <is>
          <t>1К26</t>
        </is>
      </c>
      <c r="N15" s="70" t="inlineStr">
        <is>
          <t>К</t>
        </is>
      </c>
    </row>
    <row r="16" ht="22.5" customHeight="1" s="151">
      <c r="A16" s="15">
        <f>IF(B16&lt;&gt;"", COUNTA($B$2:B16), "")</f>
        <v/>
      </c>
      <c r="B16" s="280" t="inlineStr">
        <is>
          <t>Манометр технический</t>
        </is>
      </c>
      <c r="C16" s="10" t="inlineStr">
        <is>
          <t>МП4-УУ2</t>
        </is>
      </c>
      <c r="D16" s="10" t="n"/>
      <c r="E16" s="10" t="n">
        <v>2013</v>
      </c>
      <c r="F16" s="26" t="inlineStr">
        <is>
          <t>0..10 кгс/см2</t>
        </is>
      </c>
      <c r="G16" s="10" t="n">
        <v>1.5</v>
      </c>
      <c r="H16" s="26" t="inlineStr">
        <is>
          <t>Р в конденсатной емкости Е3</t>
        </is>
      </c>
      <c r="I16" s="26" t="inlineStr">
        <is>
          <t>Установка очистки газа</t>
        </is>
      </c>
      <c r="J16" s="26" t="inlineStr">
        <is>
          <t>АСУ,А и ТМ (КЦ № 6)</t>
        </is>
      </c>
      <c r="K16" s="26" t="n">
        <v>2012</v>
      </c>
      <c r="L16" s="26" t="n">
        <v>12</v>
      </c>
      <c r="M16" s="160" t="inlineStr">
        <is>
          <t>25ДЯУ</t>
        </is>
      </c>
      <c r="N16" s="10" t="inlineStr">
        <is>
          <t>П</t>
        </is>
      </c>
    </row>
    <row r="17" ht="22.5" customHeight="1" s="151">
      <c r="A17" s="15">
        <f>IF(B17&lt;&gt;"", COUNTA($B$2:B17), "")</f>
        <v/>
      </c>
      <c r="B17" s="280" t="inlineStr">
        <is>
          <t>Термометр биметаллический</t>
        </is>
      </c>
      <c r="C17" s="71" t="inlineStr">
        <is>
          <t>ТБ-2</t>
        </is>
      </c>
      <c r="D17" s="71" t="n">
        <v>2021</v>
      </c>
      <c r="E17" s="10" t="n">
        <v>2010</v>
      </c>
      <c r="F17" s="10" t="inlineStr">
        <is>
          <t>0  ..  100°С</t>
        </is>
      </c>
      <c r="G17" s="10" t="n">
        <v>1</v>
      </c>
      <c r="H17" s="14" t="inlineStr">
        <is>
          <t>Температура конденсата в ПУ1</t>
        </is>
      </c>
      <c r="I17" s="26" t="inlineStr">
        <is>
          <t>Установка очистки газа</t>
        </is>
      </c>
      <c r="J17" s="15" t="inlineStr">
        <is>
          <t>АСУ,А и ТМ (КЦ № 6)</t>
        </is>
      </c>
      <c r="K17" s="15" t="n">
        <v>2012</v>
      </c>
      <c r="L17" s="15" t="n">
        <v>24</v>
      </c>
      <c r="M17" s="3" t="inlineStr">
        <is>
          <t>2К26</t>
        </is>
      </c>
      <c r="N17" s="70" t="inlineStr">
        <is>
          <t>К</t>
        </is>
      </c>
    </row>
    <row r="18" ht="22.5" customHeight="1" s="151">
      <c r="A18" s="15">
        <f>IF(B18&lt;&gt;"", COUNTA($B$2:B18), "")</f>
        <v/>
      </c>
      <c r="B18" s="280" t="inlineStr">
        <is>
          <t>Термометр биметаллический</t>
        </is>
      </c>
      <c r="C18" s="71" t="inlineStr">
        <is>
          <t>ТБ-2</t>
        </is>
      </c>
      <c r="D18" s="71" t="n">
        <v>9128</v>
      </c>
      <c r="E18" s="10" t="n">
        <v>2010</v>
      </c>
      <c r="F18" s="10" t="inlineStr">
        <is>
          <t>0  ..  100°С</t>
        </is>
      </c>
      <c r="G18" s="10" t="n">
        <v>1</v>
      </c>
      <c r="H18" s="14" t="inlineStr">
        <is>
          <t>Температура конденсата в ПУ2</t>
        </is>
      </c>
      <c r="I18" s="26" t="inlineStr">
        <is>
          <t>Установка очистки газа</t>
        </is>
      </c>
      <c r="J18" s="15" t="inlineStr">
        <is>
          <t>АСУ,А и ТМ (КЦ № 6)</t>
        </is>
      </c>
      <c r="K18" s="15" t="n">
        <v>2012</v>
      </c>
      <c r="L18" s="15" t="n">
        <v>24</v>
      </c>
      <c r="M18" s="3" t="inlineStr">
        <is>
          <t>2К26</t>
        </is>
      </c>
      <c r="N18" s="70" t="inlineStr">
        <is>
          <t>К</t>
        </is>
      </c>
    </row>
    <row r="19" ht="22.5" customHeight="1" s="151">
      <c r="A19" s="15">
        <f>IF(B19&lt;&gt;"", COUNTA($B$2:B19), "")</f>
        <v/>
      </c>
      <c r="B19" s="280" t="inlineStr">
        <is>
          <t>Термометр биметаллический</t>
        </is>
      </c>
      <c r="C19" s="71" t="inlineStr">
        <is>
          <t>ТБ-2</t>
        </is>
      </c>
      <c r="D19" s="71" t="n">
        <v>8763</v>
      </c>
      <c r="E19" s="10" t="n">
        <v>2010</v>
      </c>
      <c r="F19" s="10" t="inlineStr">
        <is>
          <t>0  ..  100°С</t>
        </is>
      </c>
      <c r="G19" s="10" t="n">
        <v>1</v>
      </c>
      <c r="H19" s="14" t="inlineStr">
        <is>
          <t>Температура конденсата в ПУ3</t>
        </is>
      </c>
      <c r="I19" s="26" t="inlineStr">
        <is>
          <t>Установка очистки газа</t>
        </is>
      </c>
      <c r="J19" s="15" t="inlineStr">
        <is>
          <t>АСУ,А и ТМ (КЦ № 6)</t>
        </is>
      </c>
      <c r="K19" s="15" t="n">
        <v>2012</v>
      </c>
      <c r="L19" s="15" t="n">
        <v>24</v>
      </c>
      <c r="M19" s="3" t="inlineStr">
        <is>
          <t>2К26</t>
        </is>
      </c>
      <c r="N19" s="70" t="inlineStr">
        <is>
          <t>К</t>
        </is>
      </c>
    </row>
    <row r="20" ht="22.5" customHeight="1" s="151">
      <c r="A20" s="15">
        <f>IF(B20&lt;&gt;"", COUNTA($B$2:B20), "")</f>
        <v/>
      </c>
      <c r="B20" s="280" t="inlineStr">
        <is>
          <t>Термометр биметаллический</t>
        </is>
      </c>
      <c r="C20" s="71" t="inlineStr">
        <is>
          <t>ТБ-2</t>
        </is>
      </c>
      <c r="D20" s="71" t="n">
        <v>1479</v>
      </c>
      <c r="E20" s="10" t="n">
        <v>2010</v>
      </c>
      <c r="F20" s="10" t="inlineStr">
        <is>
          <t>0  ..  100°С</t>
        </is>
      </c>
      <c r="G20" s="10" t="n">
        <v>1</v>
      </c>
      <c r="H20" s="14" t="inlineStr">
        <is>
          <t>Температура конденсата в ПУ4</t>
        </is>
      </c>
      <c r="I20" s="26" t="inlineStr">
        <is>
          <t>Установка очистки газа</t>
        </is>
      </c>
      <c r="J20" s="15" t="inlineStr">
        <is>
          <t>АСУ,А и ТМ (КЦ № 6)</t>
        </is>
      </c>
      <c r="K20" s="15" t="n">
        <v>2012</v>
      </c>
      <c r="L20" s="15" t="n">
        <v>24</v>
      </c>
      <c r="M20" s="3" t="inlineStr">
        <is>
          <t>2К26</t>
        </is>
      </c>
      <c r="N20" s="70" t="inlineStr">
        <is>
          <t>К</t>
        </is>
      </c>
    </row>
    <row r="21" ht="22.5" customHeight="1" s="151">
      <c r="A21" s="15">
        <f>IF(B21&lt;&gt;"", COUNTA($B$2:B21), "")</f>
        <v/>
      </c>
      <c r="B21" s="280" t="inlineStr">
        <is>
          <t>Термометр биметаллический</t>
        </is>
      </c>
      <c r="C21" s="71" t="inlineStr">
        <is>
          <t>ТБ-2</t>
        </is>
      </c>
      <c r="D21" s="71" t="n">
        <v>7703</v>
      </c>
      <c r="E21" s="10" t="n">
        <v>2010</v>
      </c>
      <c r="F21" s="10" t="inlineStr">
        <is>
          <t>0  ..  100°С</t>
        </is>
      </c>
      <c r="G21" s="10" t="n">
        <v>1</v>
      </c>
      <c r="H21" s="14" t="inlineStr">
        <is>
          <t>Температура конденсата в ПУ5</t>
        </is>
      </c>
      <c r="I21" s="26" t="inlineStr">
        <is>
          <t>Установка очистки газа</t>
        </is>
      </c>
      <c r="J21" s="15" t="inlineStr">
        <is>
          <t>АСУ,А и ТМ (КЦ № 6)</t>
        </is>
      </c>
      <c r="K21" s="15" t="n">
        <v>2012</v>
      </c>
      <c r="L21" s="15" t="n">
        <v>24</v>
      </c>
      <c r="M21" s="3" t="inlineStr">
        <is>
          <t>2К26</t>
        </is>
      </c>
      <c r="N21" s="70" t="inlineStr">
        <is>
          <t>К</t>
        </is>
      </c>
    </row>
    <row r="22" ht="22.5" customHeight="1" s="151">
      <c r="A22" s="15">
        <f>IF(B22&lt;&gt;"", COUNTA($B$2:B22), "")</f>
        <v/>
      </c>
      <c r="B22" s="280" t="inlineStr">
        <is>
          <t>Термометр биметаллический</t>
        </is>
      </c>
      <c r="C22" s="71" t="inlineStr">
        <is>
          <t>ТБ-2</t>
        </is>
      </c>
      <c r="D22" s="71" t="n">
        <v>7712</v>
      </c>
      <c r="E22" s="10" t="n">
        <v>2010</v>
      </c>
      <c r="F22" s="10" t="inlineStr">
        <is>
          <t>0  ..  100°С</t>
        </is>
      </c>
      <c r="G22" s="10" t="n">
        <v>1</v>
      </c>
      <c r="H22" s="14" t="inlineStr">
        <is>
          <t>Температура конденсата в ПУ6</t>
        </is>
      </c>
      <c r="I22" s="26" t="inlineStr">
        <is>
          <t>Установка очистки газа</t>
        </is>
      </c>
      <c r="J22" s="15" t="inlineStr">
        <is>
          <t>АСУ,А и ТМ (КЦ № 6)</t>
        </is>
      </c>
      <c r="K22" s="15" t="n">
        <v>2012</v>
      </c>
      <c r="L22" s="15" t="n">
        <v>24</v>
      </c>
      <c r="M22" s="3" t="inlineStr">
        <is>
          <t>2К26</t>
        </is>
      </c>
      <c r="N22" s="70" t="inlineStr">
        <is>
          <t>К</t>
        </is>
      </c>
    </row>
    <row r="23">
      <c r="A23" s="15">
        <f>IF(B23&lt;&gt;"", COUNTA($B$2:B23), "")</f>
        <v/>
      </c>
      <c r="B23" s="280" t="inlineStr">
        <is>
          <t>Уровнемер</t>
        </is>
      </c>
      <c r="C23" s="71" t="inlineStr">
        <is>
          <t>Rosemount 2120</t>
        </is>
      </c>
      <c r="D23" s="10" t="inlineStr">
        <is>
          <t>MS13395900100007</t>
        </is>
      </c>
      <c r="E23" s="10" t="n">
        <v>2011</v>
      </c>
      <c r="F23" s="10" t="n"/>
      <c r="G23" s="10" t="n"/>
      <c r="H23" s="14" t="inlineStr">
        <is>
          <t>Уровень конденсата в ПУ1</t>
        </is>
      </c>
      <c r="I23" s="26" t="inlineStr">
        <is>
          <t>Установка очистки газа</t>
        </is>
      </c>
      <c r="J23" s="15" t="inlineStr">
        <is>
          <t>АСУ,А и ТМ (КЦ № 6)</t>
        </is>
      </c>
      <c r="K23" s="15" t="n"/>
      <c r="L23" s="15" t="n"/>
      <c r="M23" s="3" t="n"/>
      <c r="N23" s="70" t="n"/>
    </row>
    <row r="24">
      <c r="A24" s="15">
        <f>IF(B24&lt;&gt;"", COUNTA($B$2:B24), "")</f>
        <v/>
      </c>
      <c r="B24" s="280" t="inlineStr">
        <is>
          <t>Уровнемер</t>
        </is>
      </c>
      <c r="C24" s="71" t="inlineStr">
        <is>
          <t>Rosemount 2120</t>
        </is>
      </c>
      <c r="D24" s="10" t="inlineStr">
        <is>
          <t>MS13395900100004</t>
        </is>
      </c>
      <c r="E24" s="10" t="n">
        <v>2011</v>
      </c>
      <c r="F24" s="10" t="n"/>
      <c r="G24" s="10" t="n"/>
      <c r="H24" s="14" t="inlineStr">
        <is>
          <t>Уровень конденсата в ПУ2</t>
        </is>
      </c>
      <c r="I24" s="26" t="inlineStr">
        <is>
          <t>Установка очистки газа</t>
        </is>
      </c>
      <c r="J24" s="15" t="inlineStr">
        <is>
          <t>АСУ,А и ТМ (КЦ № 6)</t>
        </is>
      </c>
      <c r="K24" s="15" t="n"/>
      <c r="L24" s="15" t="n"/>
      <c r="M24" s="3" t="n"/>
      <c r="N24" s="70" t="n"/>
    </row>
    <row r="25">
      <c r="A25" s="15">
        <f>IF(B25&lt;&gt;"", COUNTA($B$2:B25), "")</f>
        <v/>
      </c>
      <c r="B25" s="280" t="inlineStr">
        <is>
          <t>Уровнемер</t>
        </is>
      </c>
      <c r="C25" s="71" t="inlineStr">
        <is>
          <t>Rosemount 2120</t>
        </is>
      </c>
      <c r="D25" s="10" t="inlineStr">
        <is>
          <t>MS13395900100008</t>
        </is>
      </c>
      <c r="E25" s="10" t="n">
        <v>2011</v>
      </c>
      <c r="F25" s="10" t="n"/>
      <c r="G25" s="10" t="n"/>
      <c r="H25" s="14" t="inlineStr">
        <is>
          <t>Уровень конденсата в ПУ3</t>
        </is>
      </c>
      <c r="I25" s="26" t="inlineStr">
        <is>
          <t>Установка очистки газа</t>
        </is>
      </c>
      <c r="J25" s="15" t="inlineStr">
        <is>
          <t>АСУ,А и ТМ (КЦ № 6)</t>
        </is>
      </c>
      <c r="K25" s="15" t="n"/>
      <c r="L25" s="15" t="n"/>
      <c r="M25" s="3" t="n"/>
      <c r="N25" s="70" t="n"/>
    </row>
    <row r="26">
      <c r="A26" s="15">
        <f>IF(B26&lt;&gt;"", COUNTA($B$2:B26), "")</f>
        <v/>
      </c>
      <c r="B26" s="280" t="inlineStr">
        <is>
          <t>Уровнемер</t>
        </is>
      </c>
      <c r="C26" s="71" t="inlineStr">
        <is>
          <t>Rosemount 2120</t>
        </is>
      </c>
      <c r="D26" s="10" t="inlineStr">
        <is>
          <t>MS13395900100002</t>
        </is>
      </c>
      <c r="E26" s="10" t="n">
        <v>2011</v>
      </c>
      <c r="F26" s="10" t="n"/>
      <c r="G26" s="10" t="n"/>
      <c r="H26" s="14" t="inlineStr">
        <is>
          <t>Уровень конденсата в ПУ4</t>
        </is>
      </c>
      <c r="I26" s="26" t="inlineStr">
        <is>
          <t>Установка очистки газа</t>
        </is>
      </c>
      <c r="J26" s="15" t="inlineStr">
        <is>
          <t>АСУ,А и ТМ (КЦ № 6)</t>
        </is>
      </c>
      <c r="K26" s="15" t="n"/>
      <c r="L26" s="15" t="n"/>
      <c r="M26" s="3" t="n"/>
      <c r="N26" s="70" t="n"/>
    </row>
    <row r="27">
      <c r="A27" s="15">
        <f>IF(B27&lt;&gt;"", COUNTA($B$2:B27), "")</f>
        <v/>
      </c>
      <c r="B27" s="280" t="inlineStr">
        <is>
          <t>Уровнемер</t>
        </is>
      </c>
      <c r="C27" s="71" t="inlineStr">
        <is>
          <t>Rosemount 2120</t>
        </is>
      </c>
      <c r="D27" s="10" t="inlineStr">
        <is>
          <t>MS13395900100003</t>
        </is>
      </c>
      <c r="E27" s="10" t="n">
        <v>2011</v>
      </c>
      <c r="F27" s="10" t="n"/>
      <c r="G27" s="10" t="n"/>
      <c r="H27" s="14" t="inlineStr">
        <is>
          <t>Уровень конденсата в ПУ5</t>
        </is>
      </c>
      <c r="I27" s="26" t="inlineStr">
        <is>
          <t>Установка очистки газа</t>
        </is>
      </c>
      <c r="J27" s="15" t="inlineStr">
        <is>
          <t>АСУ,А и ТМ (КЦ № 6)</t>
        </is>
      </c>
      <c r="K27" s="15" t="n"/>
      <c r="L27" s="15" t="n"/>
      <c r="M27" s="3" t="n"/>
      <c r="N27" s="70" t="n"/>
    </row>
    <row r="28">
      <c r="A28" s="15">
        <f>IF(B28&lt;&gt;"", COUNTA($B$2:B28), "")</f>
        <v/>
      </c>
      <c r="B28" s="280" t="inlineStr">
        <is>
          <t>Уровнемер</t>
        </is>
      </c>
      <c r="C28" s="71" t="inlineStr">
        <is>
          <t>Rosemount 2120</t>
        </is>
      </c>
      <c r="D28" s="10" t="inlineStr">
        <is>
          <t>MS13395900100001</t>
        </is>
      </c>
      <c r="E28" s="10" t="n">
        <v>2011</v>
      </c>
      <c r="F28" s="10" t="n"/>
      <c r="G28" s="10" t="n"/>
      <c r="H28" s="14" t="inlineStr">
        <is>
          <t>Уровень конденсата в ПУ6</t>
        </is>
      </c>
      <c r="I28" s="26" t="inlineStr">
        <is>
          <t>Установка очистки газа</t>
        </is>
      </c>
      <c r="J28" s="15" t="inlineStr">
        <is>
          <t>АСУ,А и ТМ (КЦ № 6)</t>
        </is>
      </c>
      <c r="K28" s="15" t="n"/>
      <c r="L28" s="15" t="n"/>
      <c r="M28" s="3" t="n"/>
      <c r="N28" s="70" t="n"/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5" right="0.25" top="0.75" bottom="0.75" header="0.3" footer="0.3"/>
  <pageSetup orientation="landscape" paperSize="9" scale="77"/>
</worksheet>
</file>

<file path=xl/worksheets/sheet10.xml><?xml version="1.0" encoding="utf-8"?>
<worksheet xmlns="http://schemas.openxmlformats.org/spreadsheetml/2006/main">
  <sheetPr codeName="Лист10">
    <outlinePr summaryBelow="1" summaryRight="1"/>
    <pageSetUpPr/>
  </sheetPr>
  <dimension ref="A1:O140"/>
  <sheetViews>
    <sheetView zoomScaleNormal="100" workbookViewId="0">
      <pane ySplit="1" topLeftCell="A29" activePane="bottomLeft" state="frozen"/>
      <selection pane="bottomLeft" activeCell="M118" sqref="M118"/>
    </sheetView>
  </sheetViews>
  <sheetFormatPr baseColWidth="8" defaultRowHeight="15"/>
  <cols>
    <col width="3.5703125" bestFit="1" customWidth="1" style="151" min="1" max="1"/>
    <col width="23" bestFit="1" customWidth="1" style="151" min="2" max="2"/>
    <col width="28.28515625" bestFit="1" customWidth="1" style="151" min="3" max="3"/>
    <col width="9.28515625" bestFit="1" customWidth="1" style="151" min="4" max="4"/>
    <col width="6.5703125" bestFit="1" customWidth="1" style="151" min="5" max="5"/>
    <col width="14" customWidth="1" style="151" min="6" max="6"/>
    <col width="7.42578125" bestFit="1" customWidth="1" style="151" min="7" max="7"/>
    <col width="26.7109375" bestFit="1" customWidth="1" style="151" min="8" max="8"/>
    <col width="8" bestFit="1" customWidth="1" style="151" min="9" max="9"/>
    <col width="17.42578125" bestFit="1" customWidth="1" style="151" min="10" max="10"/>
    <col width="8" bestFit="1" customWidth="1" style="151" min="11" max="11"/>
    <col width="9" bestFit="1" customWidth="1" style="151" min="12" max="12"/>
    <col width="8" bestFit="1" customWidth="1" style="151" min="13" max="13"/>
    <col width="9" bestFit="1" customWidth="1" style="151" min="14" max="14"/>
    <col width="9.140625" customWidth="1" style="151" min="15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
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 xml:space="preserve">Дата последней поверки </t>
        </is>
      </c>
      <c r="N1" s="175" t="inlineStr">
        <is>
          <t>Поверка (П)/ Калибровка (К)</t>
        </is>
      </c>
    </row>
    <row r="2">
      <c r="A2" s="15">
        <f>IF(B2&lt;&gt;"", COUNTA($B$2:B2), "")</f>
        <v/>
      </c>
      <c r="B2" s="280" t="inlineStr">
        <is>
          <t>Манометр технический</t>
        </is>
      </c>
      <c r="C2" s="10" t="inlineStr">
        <is>
          <t>КМ2</t>
        </is>
      </c>
      <c r="D2" s="10" t="n">
        <v>15006</v>
      </c>
      <c r="E2" s="10" t="n">
        <v>2010</v>
      </c>
      <c r="F2" s="14" t="inlineStr">
        <is>
          <t>0..60 kPa</t>
        </is>
      </c>
      <c r="G2" s="15" t="n">
        <v>1.5</v>
      </c>
      <c r="H2" s="15" t="inlineStr">
        <is>
          <t>Р газа в общем коллекторе</t>
        </is>
      </c>
      <c r="I2" s="26" t="inlineStr">
        <is>
          <t>Котельная</t>
        </is>
      </c>
      <c r="J2" s="15" t="inlineStr">
        <is>
          <t>АСУ,А и ТМ (КЦ № 6)</t>
        </is>
      </c>
      <c r="K2" s="15" t="n">
        <v>2012</v>
      </c>
      <c r="L2" s="15" t="n">
        <v>12</v>
      </c>
      <c r="M2" s="3" t="inlineStr">
        <is>
          <t>26ДЯУ</t>
        </is>
      </c>
      <c r="N2" s="70" t="inlineStr">
        <is>
          <t>П</t>
        </is>
      </c>
    </row>
    <row r="3">
      <c r="A3" s="15">
        <f>IF(B3&lt;&gt;"", COUNTA($B$2:B3), "")</f>
        <v/>
      </c>
      <c r="B3" s="280" t="inlineStr">
        <is>
          <t>Манометр технический</t>
        </is>
      </c>
      <c r="C3" s="10" t="inlineStr">
        <is>
          <t>КМ2</t>
        </is>
      </c>
      <c r="D3" s="10" t="n">
        <v>15010</v>
      </c>
      <c r="E3" s="10" t="n">
        <v>2010</v>
      </c>
      <c r="F3" s="14" t="inlineStr">
        <is>
          <t>0..60 kPa</t>
        </is>
      </c>
      <c r="G3" s="15" t="n">
        <v>1.5</v>
      </c>
      <c r="H3" s="15" t="inlineStr">
        <is>
          <t>Р газа после РД до Г5</t>
        </is>
      </c>
      <c r="I3" s="26" t="inlineStr">
        <is>
          <t>Котельная</t>
        </is>
      </c>
      <c r="J3" s="15" t="inlineStr">
        <is>
          <t>АСУ,А и ТМ (КЦ № 6)</t>
        </is>
      </c>
      <c r="K3" s="15" t="n">
        <v>2012</v>
      </c>
      <c r="L3" s="15" t="n">
        <v>12</v>
      </c>
      <c r="M3" s="3" t="inlineStr">
        <is>
          <t>26ДЯУ</t>
        </is>
      </c>
      <c r="N3" s="70" t="inlineStr">
        <is>
          <t>П</t>
        </is>
      </c>
    </row>
    <row r="4">
      <c r="A4" s="15">
        <f>IF(B4&lt;&gt;"", COUNTA($B$2:B4), "")</f>
        <v/>
      </c>
      <c r="B4" s="280" t="inlineStr">
        <is>
          <t>Манометр технический</t>
        </is>
      </c>
      <c r="C4" s="10" t="inlineStr">
        <is>
          <t>МТИ</t>
        </is>
      </c>
      <c r="D4" s="10" t="n">
        <v>4334</v>
      </c>
      <c r="E4" s="10" t="n">
        <v>2003</v>
      </c>
      <c r="F4" s="26" t="inlineStr">
        <is>
          <t>0..6 кгс/см2</t>
        </is>
      </c>
      <c r="G4" s="15" t="n">
        <v>0.6</v>
      </c>
      <c r="H4" s="15" t="inlineStr">
        <is>
          <t>Р газа до Рд после Г4</t>
        </is>
      </c>
      <c r="I4" s="26" t="inlineStr">
        <is>
          <t>Котельная</t>
        </is>
      </c>
      <c r="J4" s="15" t="inlineStr">
        <is>
          <t>АСУ,А и ТМ (КЦ № 6)</t>
        </is>
      </c>
      <c r="K4" s="15" t="n">
        <v>2012</v>
      </c>
      <c r="L4" s="15" t="n">
        <v>12</v>
      </c>
      <c r="M4" s="3" t="inlineStr">
        <is>
          <t>26ДЯУ</t>
        </is>
      </c>
      <c r="N4" s="70" t="inlineStr">
        <is>
          <t>П</t>
        </is>
      </c>
    </row>
    <row r="5">
      <c r="A5" s="15">
        <f>IF(B5&lt;&gt;"", COUNTA($B$2:B5), "")</f>
        <v/>
      </c>
      <c r="B5" s="280" t="inlineStr">
        <is>
          <t>Манометр технический</t>
        </is>
      </c>
      <c r="C5" s="10" t="inlineStr">
        <is>
          <t>ТМ6</t>
        </is>
      </c>
      <c r="D5" s="10" t="n">
        <v>5103</v>
      </c>
      <c r="E5" s="10" t="n">
        <v>2010</v>
      </c>
      <c r="F5" s="26" t="inlineStr">
        <is>
          <t>0..6 кгс/см2</t>
        </is>
      </c>
      <c r="G5" s="15" t="n">
        <v>1.5</v>
      </c>
      <c r="H5" s="15" t="inlineStr">
        <is>
          <t>Р газа после КТЗ до КЗ</t>
        </is>
      </c>
      <c r="I5" s="26" t="inlineStr">
        <is>
          <t>Котельная</t>
        </is>
      </c>
      <c r="J5" s="15" t="inlineStr">
        <is>
          <t>АСУ,А и ТМ (КЦ № 6)</t>
        </is>
      </c>
      <c r="K5" s="15" t="n">
        <v>2012</v>
      </c>
      <c r="L5" s="15" t="n">
        <v>12</v>
      </c>
      <c r="M5" s="3" t="inlineStr">
        <is>
          <t>26ДЯУ</t>
        </is>
      </c>
      <c r="N5" s="70" t="inlineStr">
        <is>
          <t>П</t>
        </is>
      </c>
    </row>
    <row r="6">
      <c r="A6" s="15">
        <f>IF(B6&lt;&gt;"", COUNTA($B$2:B6), "")</f>
        <v/>
      </c>
      <c r="B6" s="280" t="inlineStr">
        <is>
          <t>Манометр технический</t>
        </is>
      </c>
      <c r="C6" s="10" t="inlineStr">
        <is>
          <t>КМ2</t>
        </is>
      </c>
      <c r="D6" s="10" t="n">
        <v>15008</v>
      </c>
      <c r="E6" s="10" t="n">
        <v>2010</v>
      </c>
      <c r="F6" s="14" t="inlineStr">
        <is>
          <t>0..60 kPa</t>
        </is>
      </c>
      <c r="G6" s="15" t="n">
        <v>1.5</v>
      </c>
      <c r="H6" s="15" t="inlineStr">
        <is>
          <t>Котел 1. Р газа до счетчика</t>
        </is>
      </c>
      <c r="I6" s="26" t="inlineStr">
        <is>
          <t>Котельная</t>
        </is>
      </c>
      <c r="J6" s="15" t="inlineStr">
        <is>
          <t>АСУ,А и ТМ (КЦ № 6)</t>
        </is>
      </c>
      <c r="K6" s="15" t="n">
        <v>2012</v>
      </c>
      <c r="L6" s="15" t="n">
        <v>12</v>
      </c>
      <c r="M6" s="3" t="inlineStr">
        <is>
          <t>26ДЯУ</t>
        </is>
      </c>
      <c r="N6" s="70" t="inlineStr">
        <is>
          <t>П</t>
        </is>
      </c>
    </row>
    <row r="7">
      <c r="A7" s="15">
        <f>IF(B7&lt;&gt;"", COUNTA($B$2:B7), "")</f>
        <v/>
      </c>
      <c r="B7" s="280" t="inlineStr">
        <is>
          <t>Манометр технический</t>
        </is>
      </c>
      <c r="C7" s="10" t="inlineStr">
        <is>
          <t>Wika</t>
        </is>
      </c>
      <c r="D7" s="10" t="n">
        <v>15011</v>
      </c>
      <c r="E7" s="10" t="n">
        <v>2010</v>
      </c>
      <c r="F7" s="14" t="inlineStr">
        <is>
          <t>0..400 mbar</t>
        </is>
      </c>
      <c r="G7" s="15" t="n">
        <v>1.5</v>
      </c>
      <c r="H7" s="15" t="inlineStr">
        <is>
          <t>Котел 1. Р газа РБ1</t>
        </is>
      </c>
      <c r="I7" s="26" t="inlineStr">
        <is>
          <t>Котельная</t>
        </is>
      </c>
      <c r="J7" s="15" t="inlineStr">
        <is>
          <t>АСУ,А и ТМ (КЦ № 6)</t>
        </is>
      </c>
      <c r="K7" s="15" t="n">
        <v>2012</v>
      </c>
      <c r="L7" s="15" t="n">
        <v>12</v>
      </c>
      <c r="M7" s="3" t="inlineStr">
        <is>
          <t>26ДЯУ</t>
        </is>
      </c>
      <c r="N7" s="70" t="inlineStr">
        <is>
          <t>П</t>
        </is>
      </c>
    </row>
    <row r="8">
      <c r="A8" s="15">
        <f>IF(B8&lt;&gt;"", COUNTA($B$2:B8), "")</f>
        <v/>
      </c>
      <c r="B8" s="280" t="inlineStr">
        <is>
          <t>Манометр технический</t>
        </is>
      </c>
      <c r="C8" s="10" t="inlineStr">
        <is>
          <t>ТМ5</t>
        </is>
      </c>
      <c r="D8" s="10" t="n">
        <v>15023</v>
      </c>
      <c r="E8" s="10" t="n">
        <v>2010</v>
      </c>
      <c r="F8" s="26" t="inlineStr">
        <is>
          <t>0..4 кгс/см2</t>
        </is>
      </c>
      <c r="G8" s="15" t="n">
        <v>1.5</v>
      </c>
      <c r="H8" s="15" t="inlineStr">
        <is>
          <t>Котел 1. Р воды на входе в котел</t>
        </is>
      </c>
      <c r="I8" s="26" t="inlineStr">
        <is>
          <t>Котельная</t>
        </is>
      </c>
      <c r="J8" s="15" t="inlineStr">
        <is>
          <t>АСУ,А и ТМ (КЦ № 6)</t>
        </is>
      </c>
      <c r="K8" s="15" t="n">
        <v>2012</v>
      </c>
      <c r="L8" s="15" t="n">
        <v>12</v>
      </c>
      <c r="M8" s="3" t="inlineStr">
        <is>
          <t>26ДЯУ</t>
        </is>
      </c>
      <c r="N8" s="70" t="inlineStr">
        <is>
          <t>П</t>
        </is>
      </c>
    </row>
    <row r="9">
      <c r="A9" s="15">
        <f>IF(B9&lt;&gt;"", COUNTA($B$2:B9), "")</f>
        <v/>
      </c>
      <c r="B9" s="280" t="inlineStr">
        <is>
          <t>Манометр технический</t>
        </is>
      </c>
      <c r="C9" s="10" t="inlineStr">
        <is>
          <t>ТМ5</t>
        </is>
      </c>
      <c r="D9" s="10" t="n">
        <v>15048</v>
      </c>
      <c r="E9" s="10" t="n">
        <v>2010</v>
      </c>
      <c r="F9" s="26" t="inlineStr">
        <is>
          <t>0..4 кгс/см2</t>
        </is>
      </c>
      <c r="G9" s="15" t="n">
        <v>1.5</v>
      </c>
      <c r="H9" s="15" t="inlineStr">
        <is>
          <t>Котел 1. Р воды после НР1</t>
        </is>
      </c>
      <c r="I9" s="26" t="inlineStr">
        <is>
          <t>Котельная</t>
        </is>
      </c>
      <c r="J9" s="15" t="inlineStr">
        <is>
          <t>АСУ,А и ТМ (КЦ № 6)</t>
        </is>
      </c>
      <c r="K9" s="15" t="n">
        <v>2012</v>
      </c>
      <c r="L9" s="15" t="n">
        <v>12</v>
      </c>
      <c r="M9" s="3" t="inlineStr">
        <is>
          <t>26ДЯУ</t>
        </is>
      </c>
      <c r="N9" s="70" t="inlineStr">
        <is>
          <t>П</t>
        </is>
      </c>
    </row>
    <row r="10">
      <c r="A10" s="15">
        <f>IF(B10&lt;&gt;"", COUNTA($B$2:B10), "")</f>
        <v/>
      </c>
      <c r="B10" s="280" t="inlineStr">
        <is>
          <t>Манометр технический</t>
        </is>
      </c>
      <c r="C10" s="10" t="inlineStr">
        <is>
          <t>ТМ5</t>
        </is>
      </c>
      <c r="D10" s="10" t="n">
        <v>15058</v>
      </c>
      <c r="E10" s="10" t="n">
        <v>2010</v>
      </c>
      <c r="F10" s="26" t="inlineStr">
        <is>
          <t>0..4 кгс/см2</t>
        </is>
      </c>
      <c r="G10" s="15" t="n">
        <v>1.5</v>
      </c>
      <c r="H10" s="15" t="inlineStr">
        <is>
          <t>Котел 1. Р воды до НР1</t>
        </is>
      </c>
      <c r="I10" s="26" t="inlineStr">
        <is>
          <t>Котельная</t>
        </is>
      </c>
      <c r="J10" s="15" t="inlineStr">
        <is>
          <t>АСУ,А и ТМ (КЦ № 6)</t>
        </is>
      </c>
      <c r="K10" s="15" t="n">
        <v>2012</v>
      </c>
      <c r="L10" s="15" t="n">
        <v>12</v>
      </c>
      <c r="M10" s="3" t="inlineStr">
        <is>
          <t>26ДЯУ</t>
        </is>
      </c>
      <c r="N10" s="70" t="inlineStr">
        <is>
          <t>П</t>
        </is>
      </c>
    </row>
    <row r="11">
      <c r="A11" s="15">
        <f>IF(B11&lt;&gt;"", COUNTA($B$2:B11), "")</f>
        <v/>
      </c>
      <c r="B11" s="280" t="inlineStr">
        <is>
          <t>Манометр технический</t>
        </is>
      </c>
      <c r="C11" s="10" t="inlineStr">
        <is>
          <t>ТМ5</t>
        </is>
      </c>
      <c r="D11" s="10" t="n">
        <v>15069</v>
      </c>
      <c r="E11" s="10" t="n">
        <v>2010</v>
      </c>
      <c r="F11" s="26" t="inlineStr">
        <is>
          <t>0..6 кгс/см2</t>
        </is>
      </c>
      <c r="G11" s="15" t="n">
        <v>1.5</v>
      </c>
      <c r="H11" s="15" t="inlineStr">
        <is>
          <t>Котел 1. Р воды на выходе из котла</t>
        </is>
      </c>
      <c r="I11" s="26" t="inlineStr">
        <is>
          <t>Котельная</t>
        </is>
      </c>
      <c r="J11" s="15" t="inlineStr">
        <is>
          <t>АСУ,А и ТМ (КЦ № 6)</t>
        </is>
      </c>
      <c r="K11" s="15" t="n">
        <v>2012</v>
      </c>
      <c r="L11" s="15" t="n">
        <v>12</v>
      </c>
      <c r="M11" s="3" t="inlineStr">
        <is>
          <t>26ДЯУ</t>
        </is>
      </c>
      <c r="N11" s="70" t="inlineStr">
        <is>
          <t>П</t>
        </is>
      </c>
    </row>
    <row r="12">
      <c r="A12" s="15">
        <f>IF(B12&lt;&gt;"", COUNTA($B$2:B12), "")</f>
        <v/>
      </c>
      <c r="B12" s="280" t="inlineStr">
        <is>
          <t>Манометр технический</t>
        </is>
      </c>
      <c r="C12" s="10" t="inlineStr">
        <is>
          <t>КМ2</t>
        </is>
      </c>
      <c r="D12" s="10" t="n">
        <v>15007</v>
      </c>
      <c r="E12" s="10" t="n">
        <v>2010</v>
      </c>
      <c r="F12" s="14" t="inlineStr">
        <is>
          <t>0..60 kPa</t>
        </is>
      </c>
      <c r="G12" s="15" t="n">
        <v>1.5</v>
      </c>
      <c r="H12" s="15" t="inlineStr">
        <is>
          <t>Котел 2. Р газа до счетчика</t>
        </is>
      </c>
      <c r="I12" s="26" t="inlineStr">
        <is>
          <t>Котельная</t>
        </is>
      </c>
      <c r="J12" s="15" t="inlineStr">
        <is>
          <t>АСУ,А и ТМ (КЦ № 6)</t>
        </is>
      </c>
      <c r="K12" s="15" t="n">
        <v>2012</v>
      </c>
      <c r="L12" s="15" t="n">
        <v>12</v>
      </c>
      <c r="M12" s="3" t="inlineStr">
        <is>
          <t>26ДЯУ</t>
        </is>
      </c>
      <c r="N12" s="70" t="inlineStr">
        <is>
          <t>П</t>
        </is>
      </c>
    </row>
    <row r="13">
      <c r="A13" s="15">
        <f>IF(B13&lt;&gt;"", COUNTA($B$2:B13), "")</f>
        <v/>
      </c>
      <c r="B13" s="280" t="inlineStr">
        <is>
          <t>Манометр технический</t>
        </is>
      </c>
      <c r="C13" s="10" t="inlineStr">
        <is>
          <t>Wika</t>
        </is>
      </c>
      <c r="D13" s="10" t="n">
        <v>15012</v>
      </c>
      <c r="E13" s="10" t="n">
        <v>2010</v>
      </c>
      <c r="F13" s="14" t="inlineStr">
        <is>
          <t>0..400 mbar</t>
        </is>
      </c>
      <c r="G13" s="15" t="n">
        <v>1.5</v>
      </c>
      <c r="H13" s="15" t="inlineStr">
        <is>
          <t>Котел 2. Р газа РБ2</t>
        </is>
      </c>
      <c r="I13" s="26" t="inlineStr">
        <is>
          <t>Котельная</t>
        </is>
      </c>
      <c r="J13" s="15" t="inlineStr">
        <is>
          <t>АСУ,А и ТМ (КЦ № 6)</t>
        </is>
      </c>
      <c r="K13" s="15" t="n">
        <v>2012</v>
      </c>
      <c r="L13" s="15" t="n">
        <v>12</v>
      </c>
      <c r="M13" s="3" t="inlineStr">
        <is>
          <t>26ДЯУ</t>
        </is>
      </c>
      <c r="N13" s="70" t="inlineStr">
        <is>
          <t>П</t>
        </is>
      </c>
    </row>
    <row r="14">
      <c r="A14" s="15">
        <f>IF(B14&lt;&gt;"", COUNTA($B$2:B14), "")</f>
        <v/>
      </c>
      <c r="B14" s="280" t="inlineStr">
        <is>
          <t>Манометр технический</t>
        </is>
      </c>
      <c r="C14" s="10" t="inlineStr">
        <is>
          <t>ТМ5</t>
        </is>
      </c>
      <c r="D14" s="10" t="n">
        <v>15052</v>
      </c>
      <c r="E14" s="10" t="n">
        <v>2010</v>
      </c>
      <c r="F14" s="26" t="inlineStr">
        <is>
          <t>0..4 кгс/см2</t>
        </is>
      </c>
      <c r="G14" s="15" t="n">
        <v>1.5</v>
      </c>
      <c r="H14" s="15" t="inlineStr">
        <is>
          <t>Котел 2. Р воды на входе в котел</t>
        </is>
      </c>
      <c r="I14" s="26" t="inlineStr">
        <is>
          <t>Котельная</t>
        </is>
      </c>
      <c r="J14" s="15" t="inlineStr">
        <is>
          <t>АСУ,А и ТМ (КЦ № 6)</t>
        </is>
      </c>
      <c r="K14" s="15" t="n">
        <v>2012</v>
      </c>
      <c r="L14" s="15" t="n">
        <v>12</v>
      </c>
      <c r="M14" s="3" t="inlineStr">
        <is>
          <t>26ДЯУ</t>
        </is>
      </c>
      <c r="N14" s="70" t="inlineStr">
        <is>
          <t>П</t>
        </is>
      </c>
    </row>
    <row r="15">
      <c r="A15" s="15">
        <f>IF(B15&lt;&gt;"", COUNTA($B$2:B15), "")</f>
        <v/>
      </c>
      <c r="B15" s="280" t="inlineStr">
        <is>
          <t>Манометр технический</t>
        </is>
      </c>
      <c r="C15" s="10" t="inlineStr">
        <is>
          <t>ТМ5</t>
        </is>
      </c>
      <c r="D15" s="10" t="n">
        <v>15061</v>
      </c>
      <c r="E15" s="10" t="n">
        <v>2010</v>
      </c>
      <c r="F15" s="26" t="inlineStr">
        <is>
          <t>0..4 кгс/см2</t>
        </is>
      </c>
      <c r="G15" s="15" t="n">
        <v>1.5</v>
      </c>
      <c r="H15" s="15" t="inlineStr">
        <is>
          <t>Котел 2. Р воды после НР2</t>
        </is>
      </c>
      <c r="I15" s="26" t="inlineStr">
        <is>
          <t>Котельная</t>
        </is>
      </c>
      <c r="J15" s="15" t="inlineStr">
        <is>
          <t>АСУ,А и ТМ (КЦ № 6)</t>
        </is>
      </c>
      <c r="K15" s="15" t="n">
        <v>2012</v>
      </c>
      <c r="L15" s="15" t="n">
        <v>12</v>
      </c>
      <c r="M15" s="3" t="inlineStr">
        <is>
          <t>26ДЯУ</t>
        </is>
      </c>
      <c r="N15" s="70" t="inlineStr">
        <is>
          <t>П</t>
        </is>
      </c>
    </row>
    <row r="16">
      <c r="A16" s="15">
        <f>IF(B16&lt;&gt;"", COUNTA($B$2:B16), "")</f>
        <v/>
      </c>
      <c r="B16" s="280" t="inlineStr">
        <is>
          <t>Манометр технический</t>
        </is>
      </c>
      <c r="C16" s="10" t="inlineStr">
        <is>
          <t>ТМ5</t>
        </is>
      </c>
      <c r="D16" s="10" t="n">
        <v>15054</v>
      </c>
      <c r="E16" s="10" t="n">
        <v>2010</v>
      </c>
      <c r="F16" s="26" t="inlineStr">
        <is>
          <t>0..4 кгс/см2</t>
        </is>
      </c>
      <c r="G16" s="15" t="n">
        <v>1.5</v>
      </c>
      <c r="H16" s="15" t="inlineStr">
        <is>
          <t>Котел 2. Р воды до НР2</t>
        </is>
      </c>
      <c r="I16" s="26" t="inlineStr">
        <is>
          <t>Котельная</t>
        </is>
      </c>
      <c r="J16" s="15" t="inlineStr">
        <is>
          <t>АСУ,А и ТМ (КЦ № 6)</t>
        </is>
      </c>
      <c r="K16" s="15" t="n">
        <v>2012</v>
      </c>
      <c r="L16" s="15" t="n">
        <v>12</v>
      </c>
      <c r="M16" s="3" t="inlineStr">
        <is>
          <t>26ДЯУ</t>
        </is>
      </c>
      <c r="N16" s="70" t="inlineStr">
        <is>
          <t>П</t>
        </is>
      </c>
    </row>
    <row r="17">
      <c r="A17" s="15">
        <f>IF(B17&lt;&gt;"", COUNTA($B$2:B17), "")</f>
        <v/>
      </c>
      <c r="B17" s="280" t="inlineStr">
        <is>
          <t>Манометр технический</t>
        </is>
      </c>
      <c r="C17" s="10" t="inlineStr">
        <is>
          <t>МП3-УТ2</t>
        </is>
      </c>
      <c r="D17" s="10" t="n">
        <v>1322111</v>
      </c>
      <c r="E17" s="10" t="n">
        <v>2010</v>
      </c>
      <c r="F17" s="26" t="inlineStr">
        <is>
          <t>0..6 кгс/см2</t>
        </is>
      </c>
      <c r="G17" s="15" t="n">
        <v>1.5</v>
      </c>
      <c r="H17" s="15" t="inlineStr">
        <is>
          <t>Котел 2. Р воды на выходе из котла</t>
        </is>
      </c>
      <c r="I17" s="26" t="inlineStr">
        <is>
          <t>Котельная</t>
        </is>
      </c>
      <c r="J17" s="15" t="inlineStr">
        <is>
          <t>АСУ,А и ТМ (КЦ № 6)</t>
        </is>
      </c>
      <c r="K17" s="15" t="n">
        <v>2012</v>
      </c>
      <c r="L17" s="15" t="n">
        <v>12</v>
      </c>
      <c r="M17" s="3" t="inlineStr">
        <is>
          <t>26ДЯУ</t>
        </is>
      </c>
      <c r="N17" s="70" t="inlineStr">
        <is>
          <t>П</t>
        </is>
      </c>
    </row>
    <row r="18">
      <c r="A18" s="15">
        <f>IF(B18&lt;&gt;"", COUNTA($B$2:B18), "")</f>
        <v/>
      </c>
      <c r="B18" s="280" t="inlineStr">
        <is>
          <t>Манометр технический</t>
        </is>
      </c>
      <c r="C18" s="10" t="inlineStr">
        <is>
          <t>КМ2</t>
        </is>
      </c>
      <c r="D18" s="10" t="n">
        <v>15009</v>
      </c>
      <c r="E18" s="10" t="n">
        <v>2010</v>
      </c>
      <c r="F18" s="14" t="inlineStr">
        <is>
          <t>0..60 kPa</t>
        </is>
      </c>
      <c r="G18" s="15" t="n">
        <v>1.5</v>
      </c>
      <c r="H18" s="15" t="inlineStr">
        <is>
          <t>Котел 3. Р газа до счетчика</t>
        </is>
      </c>
      <c r="I18" s="26" t="inlineStr">
        <is>
          <t>Котельная</t>
        </is>
      </c>
      <c r="J18" s="15" t="inlineStr">
        <is>
          <t>АСУ,А и ТМ (КЦ № 6)</t>
        </is>
      </c>
      <c r="K18" s="15" t="n">
        <v>2012</v>
      </c>
      <c r="L18" s="15" t="n">
        <v>12</v>
      </c>
      <c r="M18" s="3" t="inlineStr">
        <is>
          <t>26ДЯУ</t>
        </is>
      </c>
      <c r="N18" s="70" t="inlineStr">
        <is>
          <t>П</t>
        </is>
      </c>
    </row>
    <row r="19">
      <c r="A19" s="15">
        <f>IF(B19&lt;&gt;"", COUNTA($B$2:B19), "")</f>
        <v/>
      </c>
      <c r="B19" s="280" t="inlineStr">
        <is>
          <t>Манометр технический</t>
        </is>
      </c>
      <c r="C19" s="10" t="inlineStr">
        <is>
          <t>Wika</t>
        </is>
      </c>
      <c r="D19" s="10" t="n">
        <v>15013</v>
      </c>
      <c r="E19" s="10" t="n">
        <v>2010</v>
      </c>
      <c r="F19" s="14" t="inlineStr">
        <is>
          <t>0..400 mbar</t>
        </is>
      </c>
      <c r="G19" s="15" t="n">
        <v>1.5</v>
      </c>
      <c r="H19" s="15" t="inlineStr">
        <is>
          <t>Котел 3. Р газа РБ3</t>
        </is>
      </c>
      <c r="I19" s="26" t="inlineStr">
        <is>
          <t>Котельная</t>
        </is>
      </c>
      <c r="J19" s="15" t="inlineStr">
        <is>
          <t>АСУ,А и ТМ (КЦ № 6)</t>
        </is>
      </c>
      <c r="K19" s="15" t="n">
        <v>2012</v>
      </c>
      <c r="L19" s="15" t="n">
        <v>12</v>
      </c>
      <c r="M19" s="3" t="inlineStr">
        <is>
          <t>26ДЯУ</t>
        </is>
      </c>
      <c r="N19" s="70" t="inlineStr">
        <is>
          <t>П</t>
        </is>
      </c>
    </row>
    <row r="20">
      <c r="A20" s="15">
        <f>IF(B20&lt;&gt;"", COUNTA($B$2:B20), "")</f>
        <v/>
      </c>
      <c r="B20" s="280" t="inlineStr">
        <is>
          <t>Манометр технический</t>
        </is>
      </c>
      <c r="C20" s="10" t="inlineStr">
        <is>
          <t>ТМ5</t>
        </is>
      </c>
      <c r="D20" s="10" t="n">
        <v>15059</v>
      </c>
      <c r="E20" s="10" t="n">
        <v>2010</v>
      </c>
      <c r="F20" s="26" t="inlineStr">
        <is>
          <t>0..4 кгс/см2</t>
        </is>
      </c>
      <c r="G20" s="15" t="n">
        <v>1.5</v>
      </c>
      <c r="H20" s="15" t="inlineStr">
        <is>
          <t>Котел 3. Р воды на входе в котел</t>
        </is>
      </c>
      <c r="I20" s="26" t="inlineStr">
        <is>
          <t>Котельная</t>
        </is>
      </c>
      <c r="J20" s="15" t="inlineStr">
        <is>
          <t>АСУ,А и ТМ (КЦ № 6)</t>
        </is>
      </c>
      <c r="K20" s="15" t="n">
        <v>2012</v>
      </c>
      <c r="L20" s="15" t="n">
        <v>12</v>
      </c>
      <c r="M20" s="3" t="inlineStr">
        <is>
          <t>26ДЯУ</t>
        </is>
      </c>
      <c r="N20" s="70" t="inlineStr">
        <is>
          <t>П</t>
        </is>
      </c>
    </row>
    <row r="21">
      <c r="A21" s="15">
        <f>IF(B21&lt;&gt;"", COUNTA($B$2:B21), "")</f>
        <v/>
      </c>
      <c r="B21" s="280" t="inlineStr">
        <is>
          <t>Манометр технический</t>
        </is>
      </c>
      <c r="C21" s="10" t="inlineStr">
        <is>
          <t>ТМ5</t>
        </is>
      </c>
      <c r="D21" s="10" t="n">
        <v>15028</v>
      </c>
      <c r="E21" s="10" t="n">
        <v>2010</v>
      </c>
      <c r="F21" s="26" t="inlineStr">
        <is>
          <t>0..4 кгс/см2</t>
        </is>
      </c>
      <c r="G21" s="15" t="n">
        <v>1.5</v>
      </c>
      <c r="H21" s="15" t="inlineStr">
        <is>
          <t>Котел 3. Р воды после НР3</t>
        </is>
      </c>
      <c r="I21" s="26" t="inlineStr">
        <is>
          <t>Котельная</t>
        </is>
      </c>
      <c r="J21" s="15" t="inlineStr">
        <is>
          <t>АСУ,А и ТМ (КЦ № 6)</t>
        </is>
      </c>
      <c r="K21" s="15" t="n">
        <v>2012</v>
      </c>
      <c r="L21" s="15" t="n">
        <v>12</v>
      </c>
      <c r="M21" s="3" t="inlineStr">
        <is>
          <t>26ДЯУ</t>
        </is>
      </c>
      <c r="N21" s="70" t="inlineStr">
        <is>
          <t>П</t>
        </is>
      </c>
    </row>
    <row r="22">
      <c r="A22" s="15">
        <f>IF(B22&lt;&gt;"", COUNTA($B$2:B22), "")</f>
        <v/>
      </c>
      <c r="B22" s="280" t="inlineStr">
        <is>
          <t>Манометр технический</t>
        </is>
      </c>
      <c r="C22" s="10" t="inlineStr">
        <is>
          <t>МП3-УТ2</t>
        </is>
      </c>
      <c r="D22" s="10" t="n">
        <v>1426119</v>
      </c>
      <c r="E22" s="10" t="n">
        <v>2010</v>
      </c>
      <c r="F22" s="26" t="inlineStr">
        <is>
          <t>0..4 кгс/см2</t>
        </is>
      </c>
      <c r="G22" s="15" t="n">
        <v>1.5</v>
      </c>
      <c r="H22" s="15" t="inlineStr">
        <is>
          <t>Котел 3. Р воды на выходе из котла</t>
        </is>
      </c>
      <c r="I22" s="26" t="inlineStr">
        <is>
          <t>Котельная</t>
        </is>
      </c>
      <c r="J22" s="15" t="inlineStr">
        <is>
          <t>АСУ,А и ТМ (КЦ № 6)</t>
        </is>
      </c>
      <c r="K22" s="15" t="n">
        <v>2012</v>
      </c>
      <c r="L22" s="15" t="n">
        <v>12</v>
      </c>
      <c r="M22" s="3" t="inlineStr">
        <is>
          <t>26ДЯУ</t>
        </is>
      </c>
      <c r="N22" s="70" t="inlineStr">
        <is>
          <t>П</t>
        </is>
      </c>
    </row>
    <row r="23">
      <c r="A23" s="15">
        <f>IF(B23&lt;&gt;"", COUNTA($B$2:B23), "")</f>
        <v/>
      </c>
      <c r="B23" s="280" t="inlineStr">
        <is>
          <t>Манометр технический</t>
        </is>
      </c>
      <c r="C23" s="10" t="inlineStr">
        <is>
          <t>ТМ5</t>
        </is>
      </c>
      <c r="D23" s="10" t="n">
        <v>15024</v>
      </c>
      <c r="E23" s="10" t="n">
        <v>2010</v>
      </c>
      <c r="F23" s="26" t="inlineStr">
        <is>
          <t>0..6 кгс/см2</t>
        </is>
      </c>
      <c r="G23" s="15" t="n">
        <v>1.5</v>
      </c>
      <c r="H23" s="15" t="inlineStr">
        <is>
          <t>Котел 3. Р воды до НР3</t>
        </is>
      </c>
      <c r="I23" s="26" t="inlineStr">
        <is>
          <t>Котельная</t>
        </is>
      </c>
      <c r="J23" s="15" t="inlineStr">
        <is>
          <t>АСУ,А и ТМ (КЦ № 6)</t>
        </is>
      </c>
      <c r="K23" s="15" t="n">
        <v>2012</v>
      </c>
      <c r="L23" s="15" t="n">
        <v>12</v>
      </c>
      <c r="M23" s="3" t="inlineStr">
        <is>
          <t>26ДЯУ</t>
        </is>
      </c>
      <c r="N23" s="70" t="inlineStr">
        <is>
          <t>П</t>
        </is>
      </c>
    </row>
    <row r="24">
      <c r="A24" s="15">
        <f>IF(B24&lt;&gt;"", COUNTA($B$2:B24), "")</f>
        <v/>
      </c>
      <c r="B24" s="280" t="inlineStr">
        <is>
          <t>Манометр технический</t>
        </is>
      </c>
      <c r="C24" s="10" t="inlineStr">
        <is>
          <t>МП4-УУ2</t>
        </is>
      </c>
      <c r="D24" s="10" t="n">
        <v>15052</v>
      </c>
      <c r="E24" s="10" t="n">
        <v>2010</v>
      </c>
      <c r="F24" s="26" t="inlineStr">
        <is>
          <t>0..4 кгс/см2</t>
        </is>
      </c>
      <c r="G24" s="15" t="n">
        <v>1.5</v>
      </c>
      <c r="H24" s="15" t="inlineStr">
        <is>
          <t>Р воды в коллекторе Т2</t>
        </is>
      </c>
      <c r="I24" s="26" t="inlineStr">
        <is>
          <t>Котельная</t>
        </is>
      </c>
      <c r="J24" s="15" t="inlineStr">
        <is>
          <t>АСУ,А и ТМ (КЦ № 6)</t>
        </is>
      </c>
      <c r="K24" s="15" t="n">
        <v>2012</v>
      </c>
      <c r="L24" s="15" t="n">
        <v>12</v>
      </c>
      <c r="M24" s="3" t="inlineStr">
        <is>
          <t>26ДЯУ</t>
        </is>
      </c>
      <c r="N24" s="70" t="inlineStr">
        <is>
          <t>П</t>
        </is>
      </c>
    </row>
    <row r="25">
      <c r="A25" s="15">
        <f>IF(B25&lt;&gt;"", COUNTA($B$2:B25), "")</f>
        <v/>
      </c>
      <c r="B25" s="280" t="inlineStr">
        <is>
          <t>Манометр технический</t>
        </is>
      </c>
      <c r="C25" s="10" t="inlineStr">
        <is>
          <t>МП3-УУ2</t>
        </is>
      </c>
      <c r="D25" s="10" t="n">
        <v>15521</v>
      </c>
      <c r="E25" s="10" t="n">
        <v>2010</v>
      </c>
      <c r="F25" s="26" t="inlineStr">
        <is>
          <t>0..4 кгс/см2</t>
        </is>
      </c>
      <c r="G25" s="15" t="n">
        <v>1.5</v>
      </c>
      <c r="H25" s="15" t="inlineStr">
        <is>
          <t>Р воды на вых. В коллектор</t>
        </is>
      </c>
      <c r="I25" s="26" t="inlineStr">
        <is>
          <t>Котельная</t>
        </is>
      </c>
      <c r="J25" s="15" t="inlineStr">
        <is>
          <t>АСУ,А и ТМ (КЦ № 6)</t>
        </is>
      </c>
      <c r="K25" s="15" t="n">
        <v>2012</v>
      </c>
      <c r="L25" s="15" t="n">
        <v>12</v>
      </c>
      <c r="M25" s="3" t="inlineStr">
        <is>
          <t>26ДЯУ</t>
        </is>
      </c>
      <c r="N25" s="70" t="inlineStr">
        <is>
          <t>П</t>
        </is>
      </c>
    </row>
    <row r="26">
      <c r="A26" s="15">
        <f>IF(B26&lt;&gt;"", COUNTA($B$2:B26), "")</f>
        <v/>
      </c>
      <c r="B26" s="280" t="inlineStr">
        <is>
          <t>Манометр технический</t>
        </is>
      </c>
      <c r="C26" s="10" t="inlineStr">
        <is>
          <t>МП3-УТ2</t>
        </is>
      </c>
      <c r="D26" s="10" t="n">
        <v>1426129</v>
      </c>
      <c r="E26" s="10" t="n">
        <v>2010</v>
      </c>
      <c r="F26" s="26" t="inlineStr">
        <is>
          <t>0..6 кгс/см2</t>
        </is>
      </c>
      <c r="G26" s="15" t="n">
        <v>1</v>
      </c>
      <c r="H26" s="15" t="inlineStr">
        <is>
          <t>Р воды до НПВ1</t>
        </is>
      </c>
      <c r="I26" s="26" t="inlineStr">
        <is>
          <t>Котельная</t>
        </is>
      </c>
      <c r="J26" s="15" t="inlineStr">
        <is>
          <t>АСУ,А и ТМ (КЦ № 6)</t>
        </is>
      </c>
      <c r="K26" s="15" t="n">
        <v>2012</v>
      </c>
      <c r="L26" s="15" t="n">
        <v>12</v>
      </c>
      <c r="M26" s="3" t="inlineStr">
        <is>
          <t>26ДЯУ</t>
        </is>
      </c>
      <c r="N26" s="70" t="inlineStr">
        <is>
          <t>П</t>
        </is>
      </c>
    </row>
    <row r="27">
      <c r="A27" s="15">
        <f>IF(B27&lt;&gt;"", COUNTA($B$2:B27), "")</f>
        <v/>
      </c>
      <c r="B27" s="280" t="inlineStr">
        <is>
          <t>Манометр технический</t>
        </is>
      </c>
      <c r="C27" s="10" t="inlineStr">
        <is>
          <t>МП3-УТ2</t>
        </is>
      </c>
      <c r="D27" s="10" t="n">
        <v>146275</v>
      </c>
      <c r="E27" s="10" t="n">
        <v>2010</v>
      </c>
      <c r="F27" s="26" t="inlineStr">
        <is>
          <t>0..6 кгс/см2</t>
        </is>
      </c>
      <c r="G27" s="15" t="n">
        <v>1</v>
      </c>
      <c r="H27" s="15" t="inlineStr">
        <is>
          <t>Р воды после НПВ1</t>
        </is>
      </c>
      <c r="I27" s="26" t="inlineStr">
        <is>
          <t>Котельная</t>
        </is>
      </c>
      <c r="J27" s="15" t="inlineStr">
        <is>
          <t>АСУ,А и ТМ (КЦ № 6)</t>
        </is>
      </c>
      <c r="K27" s="15" t="n">
        <v>2012</v>
      </c>
      <c r="L27" s="15" t="n">
        <v>12</v>
      </c>
      <c r="M27" s="3" t="inlineStr">
        <is>
          <t>26ДЯУ</t>
        </is>
      </c>
      <c r="N27" s="70" t="inlineStr">
        <is>
          <t>П</t>
        </is>
      </c>
    </row>
    <row r="28">
      <c r="A28" s="15">
        <f>IF(B28&lt;&gt;"", COUNTA($B$2:B28), "")</f>
        <v/>
      </c>
      <c r="B28" s="280" t="inlineStr">
        <is>
          <t>Манометр технический</t>
        </is>
      </c>
      <c r="C28" s="10" t="inlineStr">
        <is>
          <t>ДМ8008-ВУ-УУ2</t>
        </is>
      </c>
      <c r="D28" s="10" t="n">
        <v>15628</v>
      </c>
      <c r="E28" s="10" t="n">
        <v>2010</v>
      </c>
      <c r="F28" s="26" t="inlineStr">
        <is>
          <t>0..6 кгс/см2</t>
        </is>
      </c>
      <c r="G28" s="15" t="n">
        <v>1.5</v>
      </c>
      <c r="H28" s="15" t="inlineStr">
        <is>
          <t>Р воды до НПВ2</t>
        </is>
      </c>
      <c r="I28" s="26" t="inlineStr">
        <is>
          <t>Котельная</t>
        </is>
      </c>
      <c r="J28" s="15" t="inlineStr">
        <is>
          <t>АСУ,А и ТМ (КЦ № 6)</t>
        </is>
      </c>
      <c r="K28" s="15" t="n">
        <v>2012</v>
      </c>
      <c r="L28" s="15" t="n">
        <v>12</v>
      </c>
      <c r="M28" s="3" t="inlineStr">
        <is>
          <t>26ДЯУ</t>
        </is>
      </c>
      <c r="N28" s="70" t="inlineStr">
        <is>
          <t>П</t>
        </is>
      </c>
    </row>
    <row r="29">
      <c r="A29" s="15">
        <f>IF(B29&lt;&gt;"", COUNTA($B$2:B29), "")</f>
        <v/>
      </c>
      <c r="B29" s="280" t="inlineStr">
        <is>
          <t>Манометр технический</t>
        </is>
      </c>
      <c r="C29" s="10" t="inlineStr">
        <is>
          <t>ДМ8008-ВУ-УУ2</t>
        </is>
      </c>
      <c r="D29" s="10" t="n">
        <v>51752</v>
      </c>
      <c r="E29" s="10" t="n">
        <v>2010</v>
      </c>
      <c r="F29" s="26" t="inlineStr">
        <is>
          <t>0..6 кгс/см2</t>
        </is>
      </c>
      <c r="G29" s="15" t="n">
        <v>1.5</v>
      </c>
      <c r="H29" s="15" t="inlineStr">
        <is>
          <t>Р воды после НПВ2</t>
        </is>
      </c>
      <c r="I29" s="26" t="inlineStr">
        <is>
          <t>Котельная</t>
        </is>
      </c>
      <c r="J29" s="15" t="inlineStr">
        <is>
          <t>АСУ,А и ТМ (КЦ № 6)</t>
        </is>
      </c>
      <c r="K29" s="15" t="n">
        <v>2012</v>
      </c>
      <c r="L29" s="15" t="n">
        <v>12</v>
      </c>
      <c r="M29" s="3" t="inlineStr">
        <is>
          <t>26ДЯУ</t>
        </is>
      </c>
      <c r="N29" s="70" t="inlineStr">
        <is>
          <t>П</t>
        </is>
      </c>
    </row>
    <row r="30" ht="22.5" customHeight="1" s="151">
      <c r="A30" s="15">
        <f>IF(B30&lt;&gt;"", COUNTA($B$2:B30), "")</f>
        <v/>
      </c>
      <c r="B30" s="280" t="inlineStr">
        <is>
          <t>Манометр технический</t>
        </is>
      </c>
      <c r="C30" s="10" t="inlineStr">
        <is>
          <t>ТМ5</t>
        </is>
      </c>
      <c r="D30" s="10" t="n">
        <v>15025</v>
      </c>
      <c r="E30" s="10" t="n">
        <v>2010</v>
      </c>
      <c r="F30" s="26" t="inlineStr">
        <is>
          <t>0..4 кгс/см2</t>
        </is>
      </c>
      <c r="G30" s="15" t="n">
        <v>1.5</v>
      </c>
      <c r="H30" s="15" t="inlineStr">
        <is>
          <t>Р воды после резервного насоса собственных нужд</t>
        </is>
      </c>
      <c r="I30" s="26" t="inlineStr">
        <is>
          <t>Котельная</t>
        </is>
      </c>
      <c r="J30" s="15" t="inlineStr">
        <is>
          <t>АСУ,А и ТМ (КЦ № 6)</t>
        </is>
      </c>
      <c r="K30" s="15" t="n">
        <v>2012</v>
      </c>
      <c r="L30" s="15" t="n">
        <v>12</v>
      </c>
      <c r="M30" s="3" t="inlineStr">
        <is>
          <t>26ДЯУ</t>
        </is>
      </c>
      <c r="N30" s="70" t="inlineStr">
        <is>
          <t>П</t>
        </is>
      </c>
    </row>
    <row r="31" ht="33.75" customHeight="1" s="151">
      <c r="A31" s="15">
        <f>IF(B31&lt;&gt;"", COUNTA($B$2:B31), "")</f>
        <v/>
      </c>
      <c r="B31" s="280" t="inlineStr">
        <is>
          <t>Манометр технический</t>
        </is>
      </c>
      <c r="C31" s="10" t="inlineStr">
        <is>
          <t>МП3-УТ2</t>
        </is>
      </c>
      <c r="D31" s="10" t="n">
        <v>1426130</v>
      </c>
      <c r="E31" s="10" t="n">
        <v>2010</v>
      </c>
      <c r="F31" s="26" t="inlineStr">
        <is>
          <t>0..6 кгс/см2</t>
        </is>
      </c>
      <c r="G31" s="15" t="n">
        <v>1</v>
      </c>
      <c r="H31" s="15" t="inlineStr">
        <is>
          <t>Р воды после основного и резервного насосов собственных нужд в коллектор</t>
        </is>
      </c>
      <c r="I31" s="26" t="inlineStr">
        <is>
          <t>Котельная</t>
        </is>
      </c>
      <c r="J31" s="15" t="inlineStr">
        <is>
          <t>АСУ,А и ТМ (КЦ № 6)</t>
        </is>
      </c>
      <c r="K31" s="15" t="n">
        <v>2012</v>
      </c>
      <c r="L31" s="15" t="n">
        <v>12</v>
      </c>
      <c r="M31" s="3" t="inlineStr">
        <is>
          <t>26ДЯУ</t>
        </is>
      </c>
      <c r="N31" s="70" t="inlineStr">
        <is>
          <t>П</t>
        </is>
      </c>
    </row>
    <row r="32" ht="22.5" customHeight="1" s="151">
      <c r="A32" s="15">
        <f>IF(B32&lt;&gt;"", COUNTA($B$2:B32), "")</f>
        <v/>
      </c>
      <c r="B32" s="280" t="inlineStr">
        <is>
          <t>Манометр технический</t>
        </is>
      </c>
      <c r="C32" s="10" t="inlineStr">
        <is>
          <t>ТМ5</t>
        </is>
      </c>
      <c r="D32" s="10" t="n">
        <v>15065</v>
      </c>
      <c r="E32" s="10" t="n">
        <v>2010</v>
      </c>
      <c r="F32" s="26" t="inlineStr">
        <is>
          <t>0..6 кгс/см2</t>
        </is>
      </c>
      <c r="G32" s="15" t="n">
        <v>1.5</v>
      </c>
      <c r="H32" s="15" t="inlineStr">
        <is>
          <t>Р воды до основного насоса собственных нужд</t>
        </is>
      </c>
      <c r="I32" s="26" t="inlineStr">
        <is>
          <t>Котельная</t>
        </is>
      </c>
      <c r="J32" s="15" t="inlineStr">
        <is>
          <t>АСУ,А и ТМ (КЦ № 6)</t>
        </is>
      </c>
      <c r="K32" s="15" t="n">
        <v>2012</v>
      </c>
      <c r="L32" s="15" t="n">
        <v>12</v>
      </c>
      <c r="M32" s="3" t="inlineStr">
        <is>
          <t>26ДЯУ</t>
        </is>
      </c>
      <c r="N32" s="70" t="inlineStr">
        <is>
          <t>П</t>
        </is>
      </c>
    </row>
    <row r="33" ht="22.5" customHeight="1" s="151">
      <c r="A33" s="15">
        <f>IF(B33&lt;&gt;"", COUNTA($B$2:B33), "")</f>
        <v/>
      </c>
      <c r="B33" s="280" t="inlineStr">
        <is>
          <t>Манометр технический</t>
        </is>
      </c>
      <c r="C33" s="10" t="inlineStr">
        <is>
          <t>ТМ5</t>
        </is>
      </c>
      <c r="D33" s="10" t="n">
        <v>15050</v>
      </c>
      <c r="E33" s="10" t="n">
        <v>2010</v>
      </c>
      <c r="F33" s="26" t="inlineStr">
        <is>
          <t>0..4 кгс/см2</t>
        </is>
      </c>
      <c r="G33" s="15" t="n">
        <v>1.5</v>
      </c>
      <c r="H33" s="15" t="inlineStr">
        <is>
          <t>Р воды до резервного насоса собственных нужд</t>
        </is>
      </c>
      <c r="I33" s="26" t="inlineStr">
        <is>
          <t>Котельная</t>
        </is>
      </c>
      <c r="J33" s="15" t="inlineStr">
        <is>
          <t>АСУ,А и ТМ (КЦ № 6)</t>
        </is>
      </c>
      <c r="K33" s="15" t="n">
        <v>2012</v>
      </c>
      <c r="L33" s="15" t="n">
        <v>12</v>
      </c>
      <c r="M33" s="3" t="inlineStr">
        <is>
          <t>26ДЯУ</t>
        </is>
      </c>
      <c r="N33" s="70" t="inlineStr">
        <is>
          <t>П</t>
        </is>
      </c>
    </row>
    <row r="34" ht="22.5" customHeight="1" s="151">
      <c r="A34" s="15">
        <f>IF(B34&lt;&gt;"", COUNTA($B$2:B34), "")</f>
        <v/>
      </c>
      <c r="B34" s="280" t="inlineStr">
        <is>
          <t>Манометр технический</t>
        </is>
      </c>
      <c r="C34" s="10" t="inlineStr">
        <is>
          <t>ТМ5</t>
        </is>
      </c>
      <c r="D34" s="10" t="n">
        <v>15064</v>
      </c>
      <c r="E34" s="10" t="n">
        <v>2010</v>
      </c>
      <c r="F34" s="26" t="inlineStr">
        <is>
          <t>0..6 кгс/см2</t>
        </is>
      </c>
      <c r="G34" s="15" t="n">
        <v>1.5</v>
      </c>
      <c r="H34" s="15" t="inlineStr">
        <is>
          <t>Р воды после основного насоса собственных нужд</t>
        </is>
      </c>
      <c r="I34" s="26" t="inlineStr">
        <is>
          <t>Котельная</t>
        </is>
      </c>
      <c r="J34" s="15" t="inlineStr">
        <is>
          <t>АСУ,А и ТМ (КЦ № 6)</t>
        </is>
      </c>
      <c r="K34" s="15" t="n">
        <v>2012</v>
      </c>
      <c r="L34" s="15" t="n">
        <v>12</v>
      </c>
      <c r="M34" s="3" t="inlineStr">
        <is>
          <t>26ДЯУ</t>
        </is>
      </c>
      <c r="N34" s="70" t="inlineStr">
        <is>
          <t>П</t>
        </is>
      </c>
    </row>
    <row r="35">
      <c r="A35" s="15">
        <f>IF(B35&lt;&gt;"", COUNTA($B$2:B35), "")</f>
        <v/>
      </c>
      <c r="B35" s="280" t="inlineStr">
        <is>
          <t>Манометр технический</t>
        </is>
      </c>
      <c r="C35" s="10" t="inlineStr">
        <is>
          <t>ТМ5</t>
        </is>
      </c>
      <c r="D35" s="10" t="n">
        <v>15051</v>
      </c>
      <c r="E35" s="10" t="n">
        <v>2010</v>
      </c>
      <c r="F35" s="26" t="inlineStr">
        <is>
          <t>0..4 кгс/см2</t>
        </is>
      </c>
      <c r="G35" s="15" t="n">
        <v>1.5</v>
      </c>
      <c r="H35" s="15" t="inlineStr">
        <is>
          <t>Р воды перед смесителем</t>
        </is>
      </c>
      <c r="I35" s="26" t="inlineStr">
        <is>
          <t>Котельная</t>
        </is>
      </c>
      <c r="J35" s="15" t="inlineStr">
        <is>
          <t>АСУ,А и ТМ (КЦ № 6)</t>
        </is>
      </c>
      <c r="K35" s="15" t="n">
        <v>2012</v>
      </c>
      <c r="L35" s="15" t="n">
        <v>12</v>
      </c>
      <c r="M35" s="3" t="inlineStr">
        <is>
          <t>26ДЯУ</t>
        </is>
      </c>
      <c r="N35" s="70" t="inlineStr">
        <is>
          <t>П</t>
        </is>
      </c>
    </row>
    <row r="36">
      <c r="A36" s="15">
        <f>IF(B36&lt;&gt;"", COUNTA($B$2:B36), "")</f>
        <v/>
      </c>
      <c r="B36" s="280" t="inlineStr">
        <is>
          <t>Манометр технический</t>
        </is>
      </c>
      <c r="C36" s="10" t="inlineStr">
        <is>
          <t>ТМ5</t>
        </is>
      </c>
      <c r="D36" s="10" t="n">
        <v>15056</v>
      </c>
      <c r="E36" s="10" t="n">
        <v>2010</v>
      </c>
      <c r="F36" s="26" t="inlineStr">
        <is>
          <t>0..4 кгс/см2</t>
        </is>
      </c>
      <c r="G36" s="15" t="n">
        <v>1.5</v>
      </c>
      <c r="H36" s="15" t="inlineStr">
        <is>
          <t>Р воды в общий коллектор</t>
        </is>
      </c>
      <c r="I36" s="26" t="inlineStr">
        <is>
          <t>Котельная</t>
        </is>
      </c>
      <c r="J36" s="15" t="inlineStr">
        <is>
          <t>АСУ,А и ТМ (КЦ № 6)</t>
        </is>
      </c>
      <c r="K36" s="15" t="n">
        <v>2012</v>
      </c>
      <c r="L36" s="15" t="n">
        <v>12</v>
      </c>
      <c r="M36" s="3" t="inlineStr">
        <is>
          <t>26ДЯУ</t>
        </is>
      </c>
      <c r="N36" s="70" t="inlineStr">
        <is>
          <t>П</t>
        </is>
      </c>
    </row>
    <row r="37">
      <c r="A37" s="15">
        <f>IF(B37&lt;&gt;"", COUNTA($B$2:B37), "")</f>
        <v/>
      </c>
      <c r="B37" s="280" t="inlineStr">
        <is>
          <t>Манометр технический</t>
        </is>
      </c>
      <c r="C37" s="10" t="inlineStr">
        <is>
          <t>ТМ5</t>
        </is>
      </c>
      <c r="D37" s="10" t="n">
        <v>15053</v>
      </c>
      <c r="E37" s="10" t="n">
        <v>2010</v>
      </c>
      <c r="F37" s="26" t="inlineStr">
        <is>
          <t>0..4 кгс/см2</t>
        </is>
      </c>
      <c r="G37" s="15" t="n">
        <v>1.5</v>
      </c>
      <c r="H37" s="15" t="inlineStr">
        <is>
          <t>Р воды из ТС собственных нужд</t>
        </is>
      </c>
      <c r="I37" s="26" t="inlineStr">
        <is>
          <t>Котельная</t>
        </is>
      </c>
      <c r="J37" s="15" t="inlineStr">
        <is>
          <t>АСУ,А и ТМ (КЦ № 6)</t>
        </is>
      </c>
      <c r="K37" s="15" t="n">
        <v>2012</v>
      </c>
      <c r="L37" s="15" t="n">
        <v>12</v>
      </c>
      <c r="M37" s="3" t="inlineStr">
        <is>
          <t>26ДЯУ</t>
        </is>
      </c>
      <c r="N37" s="70" t="inlineStr">
        <is>
          <t>П</t>
        </is>
      </c>
    </row>
    <row r="38">
      <c r="A38" s="15">
        <f>IF(B38&lt;&gt;"", COUNTA($B$2:B38), "")</f>
        <v/>
      </c>
      <c r="B38" s="280" t="inlineStr">
        <is>
          <t>Манометр технический</t>
        </is>
      </c>
      <c r="C38" s="10" t="inlineStr">
        <is>
          <t>ДМ8008-ВУ-У2</t>
        </is>
      </c>
      <c r="D38" s="10" t="n">
        <v>15161</v>
      </c>
      <c r="E38" s="10" t="n">
        <v>2010</v>
      </c>
      <c r="F38" s="26" t="inlineStr">
        <is>
          <t xml:space="preserve">0…6 кгс/см2 </t>
        </is>
      </c>
      <c r="G38" s="15" t="n">
        <v>1.5</v>
      </c>
      <c r="H38" s="15" t="inlineStr">
        <is>
          <t>Р воды на ХВО после РД</t>
        </is>
      </c>
      <c r="I38" s="26" t="inlineStr">
        <is>
          <t>Котельная</t>
        </is>
      </c>
      <c r="J38" s="15" t="inlineStr">
        <is>
          <t>АСУ,А и ТМ (КЦ № 6)</t>
        </is>
      </c>
      <c r="K38" s="15" t="n">
        <v>2012</v>
      </c>
      <c r="L38" s="15" t="n">
        <v>12</v>
      </c>
      <c r="M38" s="3" t="inlineStr">
        <is>
          <t>26ДЯУ</t>
        </is>
      </c>
      <c r="N38" s="70" t="inlineStr">
        <is>
          <t>П</t>
        </is>
      </c>
    </row>
    <row r="39">
      <c r="A39" s="15">
        <f>IF(B39&lt;&gt;"", COUNTA($B$2:B39), "")</f>
        <v/>
      </c>
      <c r="B39" s="280" t="inlineStr">
        <is>
          <t>Манометр технический</t>
        </is>
      </c>
      <c r="C39" s="10" t="inlineStr">
        <is>
          <t>МП3-УУ2</t>
        </is>
      </c>
      <c r="D39" s="10" t="n">
        <v>600488</v>
      </c>
      <c r="E39" s="10" t="n">
        <v>2010</v>
      </c>
      <c r="F39" s="26" t="inlineStr">
        <is>
          <t>0..6 кгс/см2</t>
        </is>
      </c>
      <c r="G39" s="15" t="n">
        <v>1.5</v>
      </c>
      <c r="H39" s="15" t="inlineStr">
        <is>
          <t>Р воды на ХВО до РД</t>
        </is>
      </c>
      <c r="I39" s="26" t="inlineStr">
        <is>
          <t>Котельная</t>
        </is>
      </c>
      <c r="J39" s="15" t="inlineStr">
        <is>
          <t>АСУ,А и ТМ (КЦ № 6)</t>
        </is>
      </c>
      <c r="K39" s="15" t="n">
        <v>2012</v>
      </c>
      <c r="L39" s="15" t="n">
        <v>12</v>
      </c>
      <c r="M39" s="3" t="inlineStr">
        <is>
          <t>26ДЯУ</t>
        </is>
      </c>
      <c r="N39" s="70" t="inlineStr">
        <is>
          <t>П</t>
        </is>
      </c>
    </row>
    <row r="40">
      <c r="A40" s="15">
        <f>IF(B40&lt;&gt;"", COUNTA($B$2:B40), "")</f>
        <v/>
      </c>
      <c r="B40" s="280" t="inlineStr">
        <is>
          <t>Манометр технический</t>
        </is>
      </c>
      <c r="C40" s="10" t="inlineStr">
        <is>
          <t>ТМ5</t>
        </is>
      </c>
      <c r="D40" s="10" t="n">
        <v>15067</v>
      </c>
      <c r="E40" s="10" t="n">
        <v>2010</v>
      </c>
      <c r="F40" s="26" t="inlineStr">
        <is>
          <t>0..6 кгс/см2</t>
        </is>
      </c>
      <c r="G40" s="15" t="n">
        <v>1.5</v>
      </c>
      <c r="H40" s="15" t="inlineStr">
        <is>
          <t>Р воды на ХВО перед фильтром</t>
        </is>
      </c>
      <c r="I40" s="26" t="inlineStr">
        <is>
          <t>Котельная</t>
        </is>
      </c>
      <c r="J40" s="15" t="inlineStr">
        <is>
          <t>АСУ,А и ТМ (КЦ № 6)</t>
        </is>
      </c>
      <c r="K40" s="15" t="n">
        <v>2012</v>
      </c>
      <c r="L40" s="15" t="n">
        <v>12</v>
      </c>
      <c r="M40" s="3" t="inlineStr">
        <is>
          <t>26ДЯУ</t>
        </is>
      </c>
      <c r="N40" s="70" t="inlineStr">
        <is>
          <t>П</t>
        </is>
      </c>
    </row>
    <row r="41">
      <c r="A41" s="15">
        <f>IF(B41&lt;&gt;"", COUNTA($B$2:B41), "")</f>
        <v/>
      </c>
      <c r="B41" s="280" t="inlineStr">
        <is>
          <t>Манометр технический</t>
        </is>
      </c>
      <c r="C41" s="10" t="inlineStr">
        <is>
          <t>ТМ5</t>
        </is>
      </c>
      <c r="D41" s="10" t="n">
        <v>15068</v>
      </c>
      <c r="E41" s="10" t="n">
        <v>2010</v>
      </c>
      <c r="F41" s="26" t="inlineStr">
        <is>
          <t>0..6 кгс/см2</t>
        </is>
      </c>
      <c r="G41" s="15" t="n">
        <v>1.5</v>
      </c>
      <c r="H41" s="15" t="inlineStr">
        <is>
          <t>Р воды на ХВО перед расходомером</t>
        </is>
      </c>
      <c r="I41" s="26" t="inlineStr">
        <is>
          <t>Котельная</t>
        </is>
      </c>
      <c r="J41" s="15" t="inlineStr">
        <is>
          <t>АСУ,А и ТМ (КЦ № 6)</t>
        </is>
      </c>
      <c r="K41" s="15" t="n">
        <v>2012</v>
      </c>
      <c r="L41" s="15" t="n">
        <v>12</v>
      </c>
      <c r="M41" s="3" t="inlineStr">
        <is>
          <t>26ДЯУ</t>
        </is>
      </c>
      <c r="N41" s="70" t="inlineStr">
        <is>
          <t>П</t>
        </is>
      </c>
    </row>
    <row r="42">
      <c r="A42" s="15">
        <f>IF(B42&lt;&gt;"", COUNTA($B$2:B42), "")</f>
        <v/>
      </c>
      <c r="B42" s="280" t="inlineStr">
        <is>
          <t>Манометр технический</t>
        </is>
      </c>
      <c r="C42" s="10" t="inlineStr">
        <is>
          <t>МП3-УТ2</t>
        </is>
      </c>
      <c r="D42" s="10" t="n">
        <v>1322110</v>
      </c>
      <c r="E42" s="10" t="n">
        <v>2010</v>
      </c>
      <c r="F42" s="26" t="inlineStr">
        <is>
          <t>0..6 кгс/см2</t>
        </is>
      </c>
      <c r="G42" s="15" t="n">
        <v>1.5</v>
      </c>
      <c r="H42" s="15" t="inlineStr">
        <is>
          <t>Р воды на ХВО перед В5</t>
        </is>
      </c>
      <c r="I42" s="26" t="inlineStr">
        <is>
          <t>Котельная</t>
        </is>
      </c>
      <c r="J42" s="15" t="inlineStr">
        <is>
          <t>АСУ,А и ТМ (КЦ № 6)</t>
        </is>
      </c>
      <c r="K42" s="15" t="n">
        <v>2012</v>
      </c>
      <c r="L42" s="15" t="n">
        <v>12</v>
      </c>
      <c r="M42" s="3" t="inlineStr">
        <is>
          <t>26ДЯУ</t>
        </is>
      </c>
      <c r="N42" s="70" t="inlineStr">
        <is>
          <t>П</t>
        </is>
      </c>
    </row>
    <row r="43">
      <c r="A43" s="15">
        <f>IF(B43&lt;&gt;"", COUNTA($B$2:B43), "")</f>
        <v/>
      </c>
      <c r="B43" s="280" t="inlineStr">
        <is>
          <t>Манометр технический</t>
        </is>
      </c>
      <c r="C43" s="10" t="inlineStr">
        <is>
          <t>МП3-УТ2</t>
        </is>
      </c>
      <c r="D43" s="10" t="n">
        <v>1426125</v>
      </c>
      <c r="E43" s="10" t="n">
        <v>2010</v>
      </c>
      <c r="F43" s="26" t="inlineStr">
        <is>
          <t>0..6 кгс/см2</t>
        </is>
      </c>
      <c r="G43" s="15" t="n">
        <v>1</v>
      </c>
      <c r="H43" s="15" t="inlineStr">
        <is>
          <t>Р воды на ХВО после В6</t>
        </is>
      </c>
      <c r="I43" s="26" t="inlineStr">
        <is>
          <t>Котельная</t>
        </is>
      </c>
      <c r="J43" s="15" t="inlineStr">
        <is>
          <t>АСУ,А и ТМ (КЦ № 6)</t>
        </is>
      </c>
      <c r="K43" s="15" t="n">
        <v>2012</v>
      </c>
      <c r="L43" s="15" t="n">
        <v>12</v>
      </c>
      <c r="M43" s="3" t="inlineStr">
        <is>
          <t>26ДЯУ</t>
        </is>
      </c>
      <c r="N43" s="70" t="inlineStr">
        <is>
          <t>П</t>
        </is>
      </c>
    </row>
    <row r="44">
      <c r="A44" s="15">
        <f>IF(B44&lt;&gt;"", COUNTA($B$2:B44), "")</f>
        <v/>
      </c>
      <c r="B44" s="280" t="inlineStr">
        <is>
          <t>Манометр технический</t>
        </is>
      </c>
      <c r="C44" s="10" t="inlineStr">
        <is>
          <t>ТМ5</t>
        </is>
      </c>
      <c r="D44" s="10" t="n">
        <v>15060</v>
      </c>
      <c r="E44" s="10" t="n">
        <v>2010</v>
      </c>
      <c r="F44" s="26" t="inlineStr">
        <is>
          <t>0..4 кгс/см2</t>
        </is>
      </c>
      <c r="G44" s="15" t="n">
        <v>1.5</v>
      </c>
      <c r="H44" s="15" t="inlineStr">
        <is>
          <t>Р воды до сетевого насоса СН1</t>
        </is>
      </c>
      <c r="I44" s="26" t="inlineStr">
        <is>
          <t>Котельная</t>
        </is>
      </c>
      <c r="J44" s="15" t="inlineStr">
        <is>
          <t>АСУ,А и ТМ (КЦ № 6)</t>
        </is>
      </c>
      <c r="K44" s="15" t="n">
        <v>2012</v>
      </c>
      <c r="L44" s="15" t="n">
        <v>12</v>
      </c>
      <c r="M44" s="3" t="inlineStr">
        <is>
          <t>26ДЯУ</t>
        </is>
      </c>
      <c r="N44" s="70" t="inlineStr">
        <is>
          <t>П</t>
        </is>
      </c>
    </row>
    <row r="45">
      <c r="A45" s="15">
        <f>IF(B45&lt;&gt;"", COUNTA($B$2:B45), "")</f>
        <v/>
      </c>
      <c r="B45" s="280" t="inlineStr">
        <is>
          <t>Манометр технический</t>
        </is>
      </c>
      <c r="C45" s="10" t="inlineStr">
        <is>
          <t>ТМ5</t>
        </is>
      </c>
      <c r="D45" s="10" t="n">
        <v>15057</v>
      </c>
      <c r="E45" s="10" t="n">
        <v>2010</v>
      </c>
      <c r="F45" s="26" t="inlineStr">
        <is>
          <t>0..4 кгс/см2</t>
        </is>
      </c>
      <c r="G45" s="15" t="n">
        <v>1.5</v>
      </c>
      <c r="H45" s="15" t="inlineStr">
        <is>
          <t>Р воды до сетевого насоса СН2</t>
        </is>
      </c>
      <c r="I45" s="26" t="inlineStr">
        <is>
          <t>Котельная</t>
        </is>
      </c>
      <c r="J45" s="15" t="inlineStr">
        <is>
          <t>АСУ,А и ТМ (КЦ № 6)</t>
        </is>
      </c>
      <c r="K45" s="15" t="n">
        <v>2012</v>
      </c>
      <c r="L45" s="15" t="n">
        <v>12</v>
      </c>
      <c r="M45" s="3" t="inlineStr">
        <is>
          <t>26ДЯУ</t>
        </is>
      </c>
      <c r="N45" s="70" t="inlineStr">
        <is>
          <t>П</t>
        </is>
      </c>
    </row>
    <row r="46">
      <c r="A46" s="15">
        <f>IF(B46&lt;&gt;"", COUNTA($B$2:B46), "")</f>
        <v/>
      </c>
      <c r="B46" s="280" t="inlineStr">
        <is>
          <t>Манометр технический</t>
        </is>
      </c>
      <c r="C46" s="10" t="inlineStr">
        <is>
          <t>Wika</t>
        </is>
      </c>
      <c r="D46" s="10" t="n">
        <v>14550</v>
      </c>
      <c r="E46" s="10" t="n">
        <v>2010</v>
      </c>
      <c r="F46" s="26" t="inlineStr">
        <is>
          <t>0..10 кгс/см2</t>
        </is>
      </c>
      <c r="G46" s="15" t="n">
        <v>1</v>
      </c>
      <c r="H46" s="15" t="inlineStr">
        <is>
          <t>Р воды после сетевого насоса СН1</t>
        </is>
      </c>
      <c r="I46" s="26" t="inlineStr">
        <is>
          <t>Котельная</t>
        </is>
      </c>
      <c r="J46" s="15" t="inlineStr">
        <is>
          <t>АСУ,А и ТМ (КЦ № 6)</t>
        </is>
      </c>
      <c r="K46" s="15" t="n">
        <v>2012</v>
      </c>
      <c r="L46" s="15" t="n">
        <v>12</v>
      </c>
      <c r="M46" s="3" t="inlineStr">
        <is>
          <t>26ДЯУ</t>
        </is>
      </c>
      <c r="N46" s="70" t="inlineStr">
        <is>
          <t>П</t>
        </is>
      </c>
    </row>
    <row r="47">
      <c r="A47" s="15">
        <f>IF(B47&lt;&gt;"", COUNTA($B$2:B47), "")</f>
        <v/>
      </c>
      <c r="B47" s="280" t="inlineStr">
        <is>
          <t>Манометр технический</t>
        </is>
      </c>
      <c r="C47" s="10" t="inlineStr">
        <is>
          <t>Wika</t>
        </is>
      </c>
      <c r="D47" s="10" t="n">
        <v>14549</v>
      </c>
      <c r="E47" s="10" t="n">
        <v>2010</v>
      </c>
      <c r="F47" s="26" t="inlineStr">
        <is>
          <t>0..10 кгс/см2</t>
        </is>
      </c>
      <c r="G47" s="15" t="n">
        <v>1</v>
      </c>
      <c r="H47" s="15" t="inlineStr">
        <is>
          <t>Р воды после сетевого насоса СН2</t>
        </is>
      </c>
      <c r="I47" s="26" t="inlineStr">
        <is>
          <t>Котельная</t>
        </is>
      </c>
      <c r="J47" s="15" t="inlineStr">
        <is>
          <t>АСУ,А и ТМ (КЦ № 6)</t>
        </is>
      </c>
      <c r="K47" s="15" t="n">
        <v>2012</v>
      </c>
      <c r="L47" s="15" t="n">
        <v>12</v>
      </c>
      <c r="M47" s="3" t="inlineStr">
        <is>
          <t>26ДЯУ</t>
        </is>
      </c>
      <c r="N47" s="70" t="inlineStr">
        <is>
          <t>П</t>
        </is>
      </c>
    </row>
    <row r="48">
      <c r="A48" s="15">
        <f>IF(B48&lt;&gt;"", COUNTA($B$2:B48), "")</f>
        <v/>
      </c>
      <c r="B48" s="280" t="inlineStr">
        <is>
          <t>Манометр технический</t>
        </is>
      </c>
      <c r="C48" s="10" t="inlineStr">
        <is>
          <t>ДМ8008-ВУ-УУ2</t>
        </is>
      </c>
      <c r="D48" s="10" t="n">
        <v>50290</v>
      </c>
      <c r="E48" s="10" t="n">
        <v>2010</v>
      </c>
      <c r="F48" s="26" t="inlineStr">
        <is>
          <t>0..6 кгс/см2</t>
        </is>
      </c>
      <c r="G48" s="15" t="n">
        <v>1.5</v>
      </c>
      <c r="H48" s="15" t="inlineStr">
        <is>
          <t>Р воды на выходе в теплосеть</t>
        </is>
      </c>
      <c r="I48" s="26" t="inlineStr">
        <is>
          <t>Котельная</t>
        </is>
      </c>
      <c r="J48" s="15" t="inlineStr">
        <is>
          <t>АСУ,А и ТМ (КЦ № 6)</t>
        </is>
      </c>
      <c r="K48" s="15" t="n">
        <v>2012</v>
      </c>
      <c r="L48" s="15" t="n">
        <v>12</v>
      </c>
      <c r="M48" s="3" t="inlineStr">
        <is>
          <t>26ДЯУ</t>
        </is>
      </c>
      <c r="N48" s="70" t="inlineStr">
        <is>
          <t>П</t>
        </is>
      </c>
      <c r="O48" s="110" t="n"/>
    </row>
    <row r="49">
      <c r="A49" s="15">
        <f>IF(B49&lt;&gt;"", COUNTA($B$2:B49), "")</f>
        <v/>
      </c>
      <c r="B49" s="280" t="inlineStr">
        <is>
          <t>Манометр технический</t>
        </is>
      </c>
      <c r="C49" s="10" t="inlineStr">
        <is>
          <t>ТМ5</t>
        </is>
      </c>
      <c r="D49" s="10" t="n">
        <v>15590</v>
      </c>
      <c r="E49" s="10" t="n">
        <v>2010</v>
      </c>
      <c r="F49" s="26" t="inlineStr">
        <is>
          <t>0..6 кгс/см2</t>
        </is>
      </c>
      <c r="G49" s="15" t="n">
        <v>1.5</v>
      </c>
      <c r="H49" s="15" t="inlineStr">
        <is>
          <t>Р воды на входе после фильтра</t>
        </is>
      </c>
      <c r="I49" s="26" t="inlineStr">
        <is>
          <t>Котельная</t>
        </is>
      </c>
      <c r="J49" s="15" t="inlineStr">
        <is>
          <t>АСУ,А и ТМ (КЦ № 6)</t>
        </is>
      </c>
      <c r="K49" s="15" t="n">
        <v>2012</v>
      </c>
      <c r="L49" s="15" t="n">
        <v>12</v>
      </c>
      <c r="M49" s="3" t="inlineStr">
        <is>
          <t>26ДЯУ</t>
        </is>
      </c>
      <c r="N49" s="70" t="inlineStr">
        <is>
          <t>П</t>
        </is>
      </c>
    </row>
    <row r="50">
      <c r="A50" s="15">
        <f>IF(B50&lt;&gt;"", COUNTA($B$2:B50), "")</f>
        <v/>
      </c>
      <c r="B50" s="280" t="inlineStr">
        <is>
          <t>Манометр технический</t>
        </is>
      </c>
      <c r="C50" s="10" t="inlineStr">
        <is>
          <t>МП3-УТ2</t>
        </is>
      </c>
      <c r="D50" s="10" t="n">
        <v>600489</v>
      </c>
      <c r="E50" s="10" t="n">
        <v>2010</v>
      </c>
      <c r="F50" s="26" t="inlineStr">
        <is>
          <t>0..6 кгс/см2</t>
        </is>
      </c>
      <c r="G50" s="15" t="n">
        <v>1.5</v>
      </c>
      <c r="H50" s="15" t="inlineStr">
        <is>
          <t>Р воды на входе до фильтра</t>
        </is>
      </c>
      <c r="I50" s="26" t="inlineStr">
        <is>
          <t>Котельная</t>
        </is>
      </c>
      <c r="J50" s="15" t="inlineStr">
        <is>
          <t>АСУ,А и ТМ (КЦ № 6)</t>
        </is>
      </c>
      <c r="K50" s="15" t="n">
        <v>2012</v>
      </c>
      <c r="L50" s="15" t="n">
        <v>12</v>
      </c>
      <c r="M50" s="3" t="inlineStr">
        <is>
          <t>26ДЯУ</t>
        </is>
      </c>
      <c r="N50" s="70" t="inlineStr">
        <is>
          <t>П</t>
        </is>
      </c>
    </row>
    <row r="51">
      <c r="A51" s="15">
        <f>IF(B51&lt;&gt;"", COUNTA($B$2:B51), "")</f>
        <v/>
      </c>
      <c r="B51" s="280" t="inlineStr">
        <is>
          <t>Манометр технический</t>
        </is>
      </c>
      <c r="C51" s="10" t="inlineStr">
        <is>
          <t>ДМ02-100-1-G</t>
        </is>
      </c>
      <c r="D51" s="10" t="n">
        <v>15183</v>
      </c>
      <c r="E51" s="10" t="n">
        <v>2010</v>
      </c>
      <c r="F51" s="26" t="inlineStr">
        <is>
          <t>0...6bar</t>
        </is>
      </c>
      <c r="G51" s="15" t="n">
        <v>1.5</v>
      </c>
      <c r="H51" s="15" t="inlineStr">
        <is>
          <t>Р газа после Г7 перед Г6</t>
        </is>
      </c>
      <c r="I51" s="26" t="inlineStr">
        <is>
          <t>Котельная</t>
        </is>
      </c>
      <c r="J51" s="15" t="inlineStr">
        <is>
          <t>АСУ,А и ТМ (КЦ № 6)</t>
        </is>
      </c>
      <c r="K51" s="15" t="n">
        <v>2012</v>
      </c>
      <c r="L51" s="15" t="n">
        <v>12</v>
      </c>
      <c r="M51" s="3" t="inlineStr">
        <is>
          <t>26ДЯУ</t>
        </is>
      </c>
      <c r="N51" s="70" t="inlineStr">
        <is>
          <t>П</t>
        </is>
      </c>
    </row>
    <row r="52">
      <c r="A52" s="15">
        <f>IF(B52&lt;&gt;"", COUNTA($B$2:B52), "")</f>
        <v/>
      </c>
      <c r="B52" s="28" t="inlineStr">
        <is>
          <t>Газоанализатор CO</t>
        </is>
      </c>
      <c r="C52" s="11" t="inlineStr">
        <is>
          <t>SGY CO0 V4 NC01</t>
        </is>
      </c>
      <c r="D52" s="11" t="inlineStr">
        <is>
          <t>464064</t>
        </is>
      </c>
      <c r="E52" s="10" t="n">
        <v>2010</v>
      </c>
      <c r="F52" s="11" t="inlineStr">
        <is>
          <t>0..500 ppm</t>
        </is>
      </c>
      <c r="G52" s="11" t="n"/>
      <c r="H52" s="16" t="inlineStr">
        <is>
          <t>Шкаф автоматики (AT3)</t>
        </is>
      </c>
      <c r="I52" s="27" t="inlineStr">
        <is>
          <t>Котельная</t>
        </is>
      </c>
      <c r="J52" s="3" t="inlineStr">
        <is>
          <t>АСУ,А и ТМ (КЦ № 6)</t>
        </is>
      </c>
      <c r="K52" s="3" t="n">
        <v>2012</v>
      </c>
      <c r="L52" s="15" t="n">
        <v>12</v>
      </c>
      <c r="M52" s="3" t="n"/>
      <c r="N52" s="70" t="n"/>
    </row>
    <row r="53">
      <c r="A53" s="15">
        <f>IF(B53&lt;&gt;"", COUNTA($B$2:B53), "")</f>
        <v/>
      </c>
      <c r="B53" s="28" t="inlineStr">
        <is>
          <t>Газоанализатор CH4</t>
        </is>
      </c>
      <c r="C53" s="11" t="inlineStr">
        <is>
          <t>SGY ME0 V4 NC01</t>
        </is>
      </c>
      <c r="D53" s="11" t="inlineStr">
        <is>
          <t>464066</t>
        </is>
      </c>
      <c r="E53" s="10" t="n">
        <v>2010</v>
      </c>
      <c r="F53" s="11" t="inlineStr">
        <is>
          <t>0..50 % L.E.L.</t>
        </is>
      </c>
      <c r="G53" s="11" t="n"/>
      <c r="H53" s="16" t="inlineStr">
        <is>
          <t>Шкаф автоматики (AT2)</t>
        </is>
      </c>
      <c r="I53" s="27" t="inlineStr">
        <is>
          <t>Котельная</t>
        </is>
      </c>
      <c r="J53" s="3" t="inlineStr">
        <is>
          <t>АСУ,А и ТМ (КЦ № 6)</t>
        </is>
      </c>
      <c r="K53" s="3" t="n">
        <v>2012</v>
      </c>
      <c r="L53" s="15" t="n">
        <v>12</v>
      </c>
      <c r="M53" s="3" t="n"/>
      <c r="N53" s="70" t="n"/>
    </row>
    <row r="54">
      <c r="A54" s="15">
        <f>IF(B54&lt;&gt;"", COUNTA($B$2:B54), "")</f>
        <v/>
      </c>
      <c r="B54" s="28" t="inlineStr">
        <is>
          <t>Газоанализатор CH4</t>
        </is>
      </c>
      <c r="C54" s="11" t="inlineStr">
        <is>
          <t>SGY ME 0 V4NCSE</t>
        </is>
      </c>
      <c r="D54" s="29" t="n">
        <v>137737</v>
      </c>
      <c r="E54" s="10" t="n">
        <v>2010</v>
      </c>
      <c r="F54" s="11" t="inlineStr">
        <is>
          <t>0..50 % L.E.L.</t>
        </is>
      </c>
      <c r="G54" s="29" t="n"/>
      <c r="H54" s="16" t="inlineStr">
        <is>
          <t>Шкаф автоматики (AT1)</t>
        </is>
      </c>
      <c r="I54" s="27" t="inlineStr">
        <is>
          <t>Котельная</t>
        </is>
      </c>
      <c r="J54" s="3" t="inlineStr">
        <is>
          <t>АСУ,А и ТМ (КЦ № 6)</t>
        </is>
      </c>
      <c r="K54" s="3" t="n">
        <v>2012</v>
      </c>
      <c r="L54" s="15" t="n">
        <v>12</v>
      </c>
      <c r="M54" s="3" t="n"/>
      <c r="N54" s="70" t="n"/>
    </row>
    <row r="55">
      <c r="A55" s="15">
        <f>IF(B55&lt;&gt;"", COUNTA($B$2:B55), "")</f>
        <v/>
      </c>
      <c r="B55" s="28" t="inlineStr">
        <is>
          <t>Корректор расхода газа</t>
        </is>
      </c>
      <c r="C55" s="29" t="inlineStr">
        <is>
          <t>EK270</t>
        </is>
      </c>
      <c r="D55" s="29" t="n">
        <v>12105934</v>
      </c>
      <c r="E55" s="10" t="n">
        <v>2010</v>
      </c>
      <c r="F55" s="11" t="n"/>
      <c r="G55" s="29" t="n"/>
      <c r="H55" s="17" t="inlineStr">
        <is>
          <t>Счетчик газа на входе в котельную</t>
        </is>
      </c>
      <c r="I55" s="27" t="inlineStr">
        <is>
          <t>Котельная</t>
        </is>
      </c>
      <c r="J55" s="3" t="inlineStr">
        <is>
          <t>АСУ,А и ТМ (КЦ № 6)</t>
        </is>
      </c>
      <c r="K55" s="3" t="n">
        <v>2012</v>
      </c>
      <c r="L55" s="15" t="n">
        <v>12</v>
      </c>
      <c r="M55" s="3" t="n"/>
      <c r="N55" s="70" t="n"/>
    </row>
    <row r="56" ht="22.5" customHeight="1" s="151">
      <c r="A56" s="15">
        <f>IF(B56&lt;&gt;"", COUNTA($B$2:B56), "")</f>
        <v/>
      </c>
      <c r="B56" s="28" t="inlineStr">
        <is>
          <t>Датчик перепада давления</t>
        </is>
      </c>
      <c r="C56" s="11" t="inlineStr">
        <is>
          <t>АИР 20/М2-ДД модель 400</t>
        </is>
      </c>
      <c r="D56" s="11" t="inlineStr">
        <is>
          <t>20-74142</t>
        </is>
      </c>
      <c r="E56" s="10" t="n">
        <v>2012</v>
      </c>
      <c r="F56" s="11" t="inlineStr">
        <is>
          <t>0…1,6 МПа</t>
        </is>
      </c>
      <c r="G56" s="11" t="n"/>
      <c r="H56" s="17" t="inlineStr">
        <is>
          <t>Перепад счетчика газа на входе в котельную</t>
        </is>
      </c>
      <c r="I56" s="27" t="inlineStr">
        <is>
          <t>Котельная</t>
        </is>
      </c>
      <c r="J56" s="3" t="inlineStr">
        <is>
          <t>АСУ,А и ТМ (КЦ № 6)</t>
        </is>
      </c>
      <c r="K56" s="3" t="n">
        <v>2012</v>
      </c>
      <c r="L56" s="15" t="n">
        <v>12</v>
      </c>
      <c r="M56" s="3" t="n"/>
      <c r="N56" s="70" t="n"/>
    </row>
    <row r="57">
      <c r="A57" s="15">
        <f>IF(B57&lt;&gt;"", COUNTA($B$2:B57), "")</f>
        <v/>
      </c>
      <c r="B57" s="28" t="inlineStr">
        <is>
          <t>Датчик давления</t>
        </is>
      </c>
      <c r="C57" s="11" t="inlineStr">
        <is>
          <t>АДР-0,25 (Агава)</t>
        </is>
      </c>
      <c r="D57" s="11" t="inlineStr">
        <is>
          <t>12040487</t>
        </is>
      </c>
      <c r="E57" s="10" t="n">
        <v>2010</v>
      </c>
      <c r="F57" s="11" t="n"/>
      <c r="G57" s="11" t="n"/>
      <c r="H57" s="16" t="inlineStr">
        <is>
          <t>Разрежение в газоходе котла №1</t>
        </is>
      </c>
      <c r="I57" s="27" t="inlineStr">
        <is>
          <t>Котельная</t>
        </is>
      </c>
      <c r="J57" s="3" t="inlineStr">
        <is>
          <t>АСУ,А и ТМ (КЦ № 6)</t>
        </is>
      </c>
      <c r="K57" s="3" t="n">
        <v>2012</v>
      </c>
      <c r="L57" s="15" t="n">
        <v>12</v>
      </c>
      <c r="M57" s="3" t="n"/>
      <c r="N57" s="70" t="n"/>
    </row>
    <row r="58">
      <c r="A58" s="15">
        <f>IF(B58&lt;&gt;"", COUNTA($B$2:B58), "")</f>
        <v/>
      </c>
      <c r="B58" s="28" t="inlineStr">
        <is>
          <t>Датчик температуры</t>
        </is>
      </c>
      <c r="C58" s="11" t="inlineStr">
        <is>
          <t>Элемер ТС-1088/6 Pt100</t>
        </is>
      </c>
      <c r="D58" s="11" t="inlineStr">
        <is>
          <t>8199</t>
        </is>
      </c>
      <c r="E58" s="10" t="n">
        <v>2012</v>
      </c>
      <c r="F58" s="27" t="inlineStr">
        <is>
          <t>­50  ..  200°С</t>
        </is>
      </c>
      <c r="G58" s="11" t="n"/>
      <c r="H58" s="16" t="inlineStr">
        <is>
          <t>Т воды на входе в котел №1</t>
        </is>
      </c>
      <c r="I58" s="27" t="inlineStr">
        <is>
          <t>Котельная</t>
        </is>
      </c>
      <c r="J58" s="3" t="inlineStr">
        <is>
          <t>АСУ,А и ТМ (КЦ № 6)</t>
        </is>
      </c>
      <c r="K58" s="3" t="n">
        <v>2012</v>
      </c>
      <c r="L58" s="15" t="n">
        <v>12</v>
      </c>
      <c r="M58" s="3" t="n"/>
      <c r="N58" s="70" t="n"/>
    </row>
    <row r="59">
      <c r="A59" s="15">
        <f>IF(B59&lt;&gt;"", COUNTA($B$2:B59), "")</f>
        <v/>
      </c>
      <c r="B59" s="28" t="inlineStr">
        <is>
          <t>Сигнализатор температуры</t>
        </is>
      </c>
      <c r="C59" s="11" t="inlineStr">
        <is>
          <t>Sauter</t>
        </is>
      </c>
      <c r="D59" s="11" t="inlineStr">
        <is>
          <t>1134</t>
        </is>
      </c>
      <c r="E59" s="10" t="n">
        <v>2010</v>
      </c>
      <c r="F59" s="11" t="inlineStr">
        <is>
          <t>0…130°С</t>
        </is>
      </c>
      <c r="G59" s="11" t="n"/>
      <c r="H59" s="16" t="inlineStr">
        <is>
          <t>Т воды в котле №1</t>
        </is>
      </c>
      <c r="I59" s="27" t="inlineStr">
        <is>
          <t>Котельная</t>
        </is>
      </c>
      <c r="J59" s="3" t="inlineStr">
        <is>
          <t>АСУ,А и ТМ (КЦ № 6)</t>
        </is>
      </c>
      <c r="K59" s="3" t="n">
        <v>2012</v>
      </c>
      <c r="L59" s="15" t="n">
        <v>12</v>
      </c>
      <c r="M59" s="3" t="n"/>
      <c r="N59" s="70" t="n"/>
    </row>
    <row r="60">
      <c r="A60" s="15">
        <f>IF(B60&lt;&gt;"", COUNTA($B$2:B60), "")</f>
        <v/>
      </c>
      <c r="B60" s="28" t="inlineStr">
        <is>
          <t>Датчик температуры</t>
        </is>
      </c>
      <c r="C60" s="11" t="inlineStr">
        <is>
          <t>Элемер ТС-1088/6 Pt100</t>
        </is>
      </c>
      <c r="D60" s="11" t="inlineStr">
        <is>
          <t>8200</t>
        </is>
      </c>
      <c r="E60" s="10" t="n">
        <v>2012</v>
      </c>
      <c r="F60" s="27" t="inlineStr">
        <is>
          <t>­50  ..  200°С</t>
        </is>
      </c>
      <c r="G60" s="11" t="n"/>
      <c r="H60" s="16" t="inlineStr">
        <is>
          <t>Т воды на выходе котла №1</t>
        </is>
      </c>
      <c r="I60" s="27" t="inlineStr">
        <is>
          <t>Котельная</t>
        </is>
      </c>
      <c r="J60" s="3" t="inlineStr">
        <is>
          <t>АСУ,А и ТМ (КЦ № 6)</t>
        </is>
      </c>
      <c r="K60" s="3" t="n">
        <v>2012</v>
      </c>
      <c r="L60" s="15" t="n">
        <v>12</v>
      </c>
      <c r="M60" s="3" t="n"/>
      <c r="N60" s="70" t="n"/>
    </row>
    <row r="61">
      <c r="A61" s="15">
        <f>IF(B61&lt;&gt;"", COUNTA($B$2:B61), "")</f>
        <v/>
      </c>
      <c r="B61" s="28" t="inlineStr">
        <is>
          <t>Датчик температуры</t>
        </is>
      </c>
      <c r="C61" s="11" t="inlineStr">
        <is>
          <t>Элемер ТС-1088/6 Pt100</t>
        </is>
      </c>
      <c r="D61" s="11" t="inlineStr">
        <is>
          <t>8201</t>
        </is>
      </c>
      <c r="E61" s="10" t="n">
        <v>2012</v>
      </c>
      <c r="F61" s="27" t="inlineStr">
        <is>
          <t>­50  ..  200°С</t>
        </is>
      </c>
      <c r="G61" s="11" t="n"/>
      <c r="H61" s="16" t="inlineStr">
        <is>
          <t>Т воды на выходе котла №1</t>
        </is>
      </c>
      <c r="I61" s="27" t="inlineStr">
        <is>
          <t>Котельная</t>
        </is>
      </c>
      <c r="J61" s="3" t="inlineStr">
        <is>
          <t>АСУ,А и ТМ (КЦ № 6)</t>
        </is>
      </c>
      <c r="K61" s="3" t="n">
        <v>2012</v>
      </c>
      <c r="L61" s="15" t="n">
        <v>12</v>
      </c>
      <c r="M61" s="3" t="n"/>
      <c r="N61" s="70" t="n"/>
    </row>
    <row r="62">
      <c r="A62" s="15">
        <f>IF(B62&lt;&gt;"", COUNTA($B$2:B62), "")</f>
        <v/>
      </c>
      <c r="B62" s="28" t="inlineStr">
        <is>
          <t>Сигнализатор давления</t>
        </is>
      </c>
      <c r="C62" s="11" t="inlineStr">
        <is>
          <t>Fantini cosmi</t>
        </is>
      </c>
      <c r="D62" s="11" t="inlineStr">
        <is>
          <t>118341</t>
        </is>
      </c>
      <c r="E62" s="10" t="n">
        <v>2010</v>
      </c>
      <c r="F62" s="11" t="n"/>
      <c r="G62" s="11" t="n"/>
      <c r="H62" s="16" t="inlineStr">
        <is>
          <t>Р воды на выходе котла №1 (низкое)</t>
        </is>
      </c>
      <c r="I62" s="27" t="inlineStr">
        <is>
          <t>Котельная</t>
        </is>
      </c>
      <c r="J62" s="3" t="inlineStr">
        <is>
          <t>АСУ,А и ТМ (КЦ № 6)</t>
        </is>
      </c>
      <c r="K62" s="3" t="n">
        <v>2012</v>
      </c>
      <c r="L62" s="15" t="n">
        <v>12</v>
      </c>
      <c r="M62" s="3" t="n"/>
      <c r="N62" s="70" t="n"/>
    </row>
    <row r="63" ht="22.5" customHeight="1" s="151">
      <c r="A63" s="15">
        <f>IF(B63&lt;&gt;"", COUNTA($B$2:B63), "")</f>
        <v/>
      </c>
      <c r="B63" s="28" t="inlineStr">
        <is>
          <t>Сигнализатор давления</t>
        </is>
      </c>
      <c r="C63" s="11" t="inlineStr">
        <is>
          <t>Fantini cosmi</t>
        </is>
      </c>
      <c r="D63" s="11" t="inlineStr">
        <is>
          <t>118238</t>
        </is>
      </c>
      <c r="E63" s="10" t="n">
        <v>2010</v>
      </c>
      <c r="F63" s="11" t="n"/>
      <c r="G63" s="11" t="n"/>
      <c r="H63" s="16" t="inlineStr">
        <is>
          <t>Р воды на выходе котла №1 (высокое)</t>
        </is>
      </c>
      <c r="I63" s="27" t="inlineStr">
        <is>
          <t>Котельная</t>
        </is>
      </c>
      <c r="J63" s="3" t="inlineStr">
        <is>
          <t>АСУ,А и ТМ (КЦ № 6)</t>
        </is>
      </c>
      <c r="K63" s="3" t="n">
        <v>2012</v>
      </c>
      <c r="L63" s="15" t="n">
        <v>12</v>
      </c>
      <c r="M63" s="3" t="n"/>
      <c r="N63" s="70" t="n"/>
    </row>
    <row r="64">
      <c r="A64" s="15">
        <f>IF(B64&lt;&gt;"", COUNTA($B$2:B64), "")</f>
        <v/>
      </c>
      <c r="B64" s="28" t="inlineStr">
        <is>
          <t>Датчик давления</t>
        </is>
      </c>
      <c r="C64" s="11" t="inlineStr">
        <is>
          <t>Агава АДР-2,5.4.1</t>
        </is>
      </c>
      <c r="D64" s="11" t="inlineStr">
        <is>
          <t>12040677</t>
        </is>
      </c>
      <c r="E64" s="10" t="n">
        <v>2010</v>
      </c>
      <c r="F64" s="11" t="n"/>
      <c r="G64" s="11" t="n"/>
      <c r="H64" s="16" t="inlineStr">
        <is>
          <t>Р воздуха на горелку котла №1</t>
        </is>
      </c>
      <c r="I64" s="27" t="inlineStr">
        <is>
          <t>Котельная</t>
        </is>
      </c>
      <c r="J64" s="3" t="inlineStr">
        <is>
          <t>АСУ,А и ТМ (КЦ № 6)</t>
        </is>
      </c>
      <c r="K64" s="3" t="n">
        <v>2012</v>
      </c>
      <c r="L64" s="15" t="n">
        <v>12</v>
      </c>
      <c r="M64" s="3" t="n"/>
      <c r="N64" s="70" t="n"/>
    </row>
    <row r="65">
      <c r="A65" s="15">
        <f>IF(B65&lt;&gt;"", COUNTA($B$2:B65), "")</f>
        <v/>
      </c>
      <c r="B65" s="28" t="inlineStr">
        <is>
          <t>Датчик давления</t>
        </is>
      </c>
      <c r="C65" s="11" t="inlineStr">
        <is>
          <t>Агава АДР-2,5.4.1</t>
        </is>
      </c>
      <c r="D65" s="11" t="inlineStr">
        <is>
          <t>12040669</t>
        </is>
      </c>
      <c r="E65" s="10" t="n">
        <v>2010</v>
      </c>
      <c r="F65" s="11" t="n"/>
      <c r="G65" s="11" t="n"/>
      <c r="H65" s="16" t="inlineStr">
        <is>
          <t>Р газа перед горелкой котла №1</t>
        </is>
      </c>
      <c r="I65" s="27" t="inlineStr">
        <is>
          <t>Котельная</t>
        </is>
      </c>
      <c r="J65" s="3" t="inlineStr">
        <is>
          <t>АСУ,А и ТМ (КЦ № 6)</t>
        </is>
      </c>
      <c r="K65" s="3" t="n">
        <v>2012</v>
      </c>
      <c r="L65" s="15" t="n">
        <v>12</v>
      </c>
      <c r="M65" s="3" t="n"/>
      <c r="N65" s="70" t="n"/>
    </row>
    <row r="66">
      <c r="A66" s="15">
        <f>IF(B66&lt;&gt;"", COUNTA($B$2:B66), "")</f>
        <v/>
      </c>
      <c r="B66" s="28" t="inlineStr">
        <is>
          <t>Датчик температуры</t>
        </is>
      </c>
      <c r="C66" s="11" t="inlineStr">
        <is>
          <t>Элемер ТС-1088/6 Pt100</t>
        </is>
      </c>
      <c r="D66" s="11" t="inlineStr">
        <is>
          <t>4728</t>
        </is>
      </c>
      <c r="E66" s="10" t="n">
        <v>2012</v>
      </c>
      <c r="F66" s="27" t="inlineStr">
        <is>
          <t>­50  ..  350°С</t>
        </is>
      </c>
      <c r="G66" s="11" t="n"/>
      <c r="H66" s="16" t="inlineStr">
        <is>
          <t>Т дымовых газов котла №1</t>
        </is>
      </c>
      <c r="I66" s="27" t="inlineStr">
        <is>
          <t>Котельная</t>
        </is>
      </c>
      <c r="J66" s="3" t="inlineStr">
        <is>
          <t>АСУ,А и ТМ (КЦ № 6)</t>
        </is>
      </c>
      <c r="K66" s="3" t="n">
        <v>2012</v>
      </c>
      <c r="L66" s="15" t="n">
        <v>12</v>
      </c>
      <c r="M66" s="3" t="n"/>
      <c r="N66" s="70" t="n"/>
    </row>
    <row r="67">
      <c r="A67" s="15">
        <f>IF(B67&lt;&gt;"", COUNTA($B$2:B67), "")</f>
        <v/>
      </c>
      <c r="B67" s="28" t="inlineStr">
        <is>
          <t>Датчик давления</t>
        </is>
      </c>
      <c r="C67" s="11" t="inlineStr">
        <is>
          <t>АДР-0,25 (Агава)</t>
        </is>
      </c>
      <c r="D67" s="11" t="inlineStr">
        <is>
          <t>12030479</t>
        </is>
      </c>
      <c r="E67" s="10" t="n">
        <v>2010</v>
      </c>
      <c r="F67" s="11" t="n"/>
      <c r="G67" s="11" t="n"/>
      <c r="H67" s="16" t="inlineStr">
        <is>
          <t>Разрежение в газоходе котла №2</t>
        </is>
      </c>
      <c r="I67" s="27" t="inlineStr">
        <is>
          <t>Котельная</t>
        </is>
      </c>
      <c r="J67" s="3" t="inlineStr">
        <is>
          <t>АСУ,А и ТМ (КЦ № 6)</t>
        </is>
      </c>
      <c r="K67" s="3" t="n">
        <v>2012</v>
      </c>
      <c r="L67" s="15" t="n">
        <v>12</v>
      </c>
      <c r="M67" s="3" t="n"/>
      <c r="N67" s="70" t="n"/>
    </row>
    <row r="68">
      <c r="A68" s="15">
        <f>IF(B68&lt;&gt;"", COUNTA($B$2:B68), "")</f>
        <v/>
      </c>
      <c r="B68" s="28" t="inlineStr">
        <is>
          <t>Датчик температуры</t>
        </is>
      </c>
      <c r="C68" s="11" t="inlineStr">
        <is>
          <t>Элемер ТС-1088/6 Pt100</t>
        </is>
      </c>
      <c r="D68" s="11" t="inlineStr">
        <is>
          <t>8197</t>
        </is>
      </c>
      <c r="E68" s="10" t="n">
        <v>2012</v>
      </c>
      <c r="F68" s="27" t="inlineStr">
        <is>
          <t>­50  ..  200°С</t>
        </is>
      </c>
      <c r="G68" s="11" t="n"/>
      <c r="H68" s="16" t="inlineStr">
        <is>
          <t>Т воды на входе в котел №2</t>
        </is>
      </c>
      <c r="I68" s="27" t="inlineStr">
        <is>
          <t>Котельная</t>
        </is>
      </c>
      <c r="J68" s="3" t="inlineStr">
        <is>
          <t>АСУ,А и ТМ (КЦ № 6)</t>
        </is>
      </c>
      <c r="K68" s="3" t="n">
        <v>2012</v>
      </c>
      <c r="L68" s="15" t="n">
        <v>12</v>
      </c>
      <c r="M68" s="3" t="n"/>
      <c r="N68" s="70" t="n"/>
    </row>
    <row r="69">
      <c r="A69" s="15">
        <f>IF(B69&lt;&gt;"", COUNTA($B$2:B69), "")</f>
        <v/>
      </c>
      <c r="B69" s="28" t="inlineStr">
        <is>
          <t>Сигнализатор температуры</t>
        </is>
      </c>
      <c r="C69" s="11" t="inlineStr">
        <is>
          <t>Sauter</t>
        </is>
      </c>
      <c r="D69" s="11" t="inlineStr">
        <is>
          <t>1143</t>
        </is>
      </c>
      <c r="E69" s="10" t="n">
        <v>2010</v>
      </c>
      <c r="F69" s="11" t="inlineStr">
        <is>
          <t>0…130°С</t>
        </is>
      </c>
      <c r="G69" s="11" t="n"/>
      <c r="H69" s="16" t="inlineStr">
        <is>
          <t>Т воды в котле №2</t>
        </is>
      </c>
      <c r="I69" s="27" t="inlineStr">
        <is>
          <t>Котельная</t>
        </is>
      </c>
      <c r="J69" s="3" t="inlineStr">
        <is>
          <t>АСУ,А и ТМ (КЦ № 6)</t>
        </is>
      </c>
      <c r="K69" s="3" t="n">
        <v>2012</v>
      </c>
      <c r="L69" s="15" t="n">
        <v>12</v>
      </c>
      <c r="M69" s="3" t="n"/>
      <c r="N69" s="70" t="n"/>
    </row>
    <row r="70">
      <c r="A70" s="15">
        <f>IF(B70&lt;&gt;"", COUNTA($B$2:B70), "")</f>
        <v/>
      </c>
      <c r="B70" s="28" t="inlineStr">
        <is>
          <t>Датчик температуры</t>
        </is>
      </c>
      <c r="C70" s="11" t="inlineStr">
        <is>
          <t>Элемер ТС-1088/6 Pt100</t>
        </is>
      </c>
      <c r="D70" s="11" t="inlineStr">
        <is>
          <t>8195</t>
        </is>
      </c>
      <c r="E70" s="10" t="n">
        <v>2012</v>
      </c>
      <c r="F70" s="27" t="inlineStr">
        <is>
          <t>­50  ..  200°С</t>
        </is>
      </c>
      <c r="G70" s="11" t="n"/>
      <c r="H70" s="16" t="inlineStr">
        <is>
          <t>Т воды на выходе котла №2</t>
        </is>
      </c>
      <c r="I70" s="27" t="inlineStr">
        <is>
          <t>Котельная</t>
        </is>
      </c>
      <c r="J70" s="3" t="inlineStr">
        <is>
          <t>АСУ,А и ТМ (КЦ № 6)</t>
        </is>
      </c>
      <c r="K70" s="3" t="n">
        <v>2012</v>
      </c>
      <c r="L70" s="15" t="n">
        <v>12</v>
      </c>
      <c r="M70" s="3" t="n"/>
      <c r="N70" s="70" t="n"/>
    </row>
    <row r="71">
      <c r="A71" s="15">
        <f>IF(B71&lt;&gt;"", COUNTA($B$2:B71), "")</f>
        <v/>
      </c>
      <c r="B71" s="28" t="inlineStr">
        <is>
          <t>Датчик температуры</t>
        </is>
      </c>
      <c r="C71" s="11" t="inlineStr">
        <is>
          <t>Элемер ТС-1088/6 Pt100</t>
        </is>
      </c>
      <c r="D71" s="11" t="inlineStr">
        <is>
          <t>8198</t>
        </is>
      </c>
      <c r="E71" s="10" t="n">
        <v>2012</v>
      </c>
      <c r="F71" s="27" t="inlineStr">
        <is>
          <t>­50  ..  200°С</t>
        </is>
      </c>
      <c r="G71" s="11" t="n"/>
      <c r="H71" s="16" t="inlineStr">
        <is>
          <t>Т воды на выходе котла №2</t>
        </is>
      </c>
      <c r="I71" s="27" t="inlineStr">
        <is>
          <t>Котельная</t>
        </is>
      </c>
      <c r="J71" s="3" t="inlineStr">
        <is>
          <t>АСУ,А и ТМ (КЦ № 6)</t>
        </is>
      </c>
      <c r="K71" s="3" t="n">
        <v>2012</v>
      </c>
      <c r="L71" s="15" t="n">
        <v>12</v>
      </c>
      <c r="M71" s="3" t="n"/>
      <c r="N71" s="70" t="n"/>
    </row>
    <row r="72">
      <c r="A72" s="15">
        <f>IF(B72&lt;&gt;"", COUNTA($B$2:B72), "")</f>
        <v/>
      </c>
      <c r="B72" s="28" t="inlineStr">
        <is>
          <t>Сигнализатор давления</t>
        </is>
      </c>
      <c r="C72" s="11" t="inlineStr">
        <is>
          <t>Fantini cosmi</t>
        </is>
      </c>
      <c r="D72" s="11" t="inlineStr">
        <is>
          <t>118228</t>
        </is>
      </c>
      <c r="E72" s="10" t="n">
        <v>2010</v>
      </c>
      <c r="F72" s="11" t="n"/>
      <c r="G72" s="11" t="n"/>
      <c r="H72" s="16" t="inlineStr">
        <is>
          <t>Р воды на выходе котла №2 (низкое)</t>
        </is>
      </c>
      <c r="I72" s="27" t="inlineStr">
        <is>
          <t>Котельная</t>
        </is>
      </c>
      <c r="J72" s="3" t="inlineStr">
        <is>
          <t>АСУ,А и ТМ (КЦ № 6)</t>
        </is>
      </c>
      <c r="K72" s="3" t="n">
        <v>2012</v>
      </c>
      <c r="L72" s="15" t="n">
        <v>12</v>
      </c>
      <c r="M72" s="3" t="n"/>
      <c r="N72" s="70" t="n"/>
    </row>
    <row r="73" ht="22.5" customHeight="1" s="151">
      <c r="A73" s="15">
        <f>IF(B73&lt;&gt;"", COUNTA($B$2:B73), "")</f>
        <v/>
      </c>
      <c r="B73" s="28" t="inlineStr">
        <is>
          <t>Сигнализатор давления</t>
        </is>
      </c>
      <c r="C73" s="11" t="inlineStr">
        <is>
          <t>Fantini cosmi</t>
        </is>
      </c>
      <c r="D73" s="11" t="inlineStr">
        <is>
          <t>118412</t>
        </is>
      </c>
      <c r="E73" s="10" t="n">
        <v>2010</v>
      </c>
      <c r="F73" s="11" t="n"/>
      <c r="G73" s="11" t="n"/>
      <c r="H73" s="16" t="inlineStr">
        <is>
          <t>Р воды на выходе котла №2 (высокое)</t>
        </is>
      </c>
      <c r="I73" s="27" t="inlineStr">
        <is>
          <t>Котельная</t>
        </is>
      </c>
      <c r="J73" s="3" t="inlineStr">
        <is>
          <t>АСУ,А и ТМ (КЦ № 6)</t>
        </is>
      </c>
      <c r="K73" s="3" t="n">
        <v>2012</v>
      </c>
      <c r="L73" s="15" t="n">
        <v>12</v>
      </c>
      <c r="M73" s="3" t="n"/>
      <c r="N73" s="70" t="n"/>
    </row>
    <row r="74">
      <c r="A74" s="15">
        <f>IF(B74&lt;&gt;"", COUNTA($B$2:B74), "")</f>
        <v/>
      </c>
      <c r="B74" s="28" t="inlineStr">
        <is>
          <t>Датчик давления</t>
        </is>
      </c>
      <c r="C74" s="11" t="inlineStr">
        <is>
          <t>Агава АДР-2,5.4.1</t>
        </is>
      </c>
      <c r="D74" s="11" t="inlineStr">
        <is>
          <t>12040667</t>
        </is>
      </c>
      <c r="E74" s="10" t="n">
        <v>2010</v>
      </c>
      <c r="F74" s="11" t="n"/>
      <c r="G74" s="11" t="n"/>
      <c r="H74" s="16" t="inlineStr">
        <is>
          <t>Р воздуха на горелку котла №2</t>
        </is>
      </c>
      <c r="I74" s="27" t="inlineStr">
        <is>
          <t>Котельная</t>
        </is>
      </c>
      <c r="J74" s="3" t="inlineStr">
        <is>
          <t>АСУ,А и ТМ (КЦ № 6)</t>
        </is>
      </c>
      <c r="K74" s="3" t="n">
        <v>2012</v>
      </c>
      <c r="L74" s="15" t="n">
        <v>12</v>
      </c>
      <c r="M74" s="3" t="n"/>
      <c r="N74" s="70" t="n"/>
    </row>
    <row r="75">
      <c r="A75" s="15">
        <f>IF(B75&lt;&gt;"", COUNTA($B$2:B75), "")</f>
        <v/>
      </c>
      <c r="B75" s="28" t="inlineStr">
        <is>
          <t>Датчик давления</t>
        </is>
      </c>
      <c r="C75" s="11" t="inlineStr">
        <is>
          <t>Агава АДР-2,5.4.1</t>
        </is>
      </c>
      <c r="D75" s="11" t="inlineStr">
        <is>
          <t>12040674</t>
        </is>
      </c>
      <c r="E75" s="10" t="n">
        <v>2010</v>
      </c>
      <c r="F75" s="11" t="n"/>
      <c r="G75" s="11" t="n"/>
      <c r="H75" s="16" t="inlineStr">
        <is>
          <t>Р газа перед горелкой котла №2</t>
        </is>
      </c>
      <c r="I75" s="27" t="inlineStr">
        <is>
          <t>Котельная</t>
        </is>
      </c>
      <c r="J75" s="3" t="inlineStr">
        <is>
          <t>АСУ,А и ТМ (КЦ № 6)</t>
        </is>
      </c>
      <c r="K75" s="3" t="n">
        <v>2012</v>
      </c>
      <c r="L75" s="15" t="n">
        <v>12</v>
      </c>
      <c r="M75" s="3" t="n"/>
      <c r="N75" s="70" t="n"/>
    </row>
    <row r="76">
      <c r="A76" s="15">
        <f>IF(B76&lt;&gt;"", COUNTA($B$2:B76), "")</f>
        <v/>
      </c>
      <c r="B76" s="28" t="inlineStr">
        <is>
          <t>Датчик температуры</t>
        </is>
      </c>
      <c r="C76" s="11" t="inlineStr">
        <is>
          <t>Элемер ТС-1088/6 Pt100</t>
        </is>
      </c>
      <c r="D76" s="11" t="inlineStr">
        <is>
          <t>4704</t>
        </is>
      </c>
      <c r="E76" s="10" t="n">
        <v>2012</v>
      </c>
      <c r="F76" s="27" t="inlineStr">
        <is>
          <t>­50  ..  350°С</t>
        </is>
      </c>
      <c r="G76" s="11" t="n"/>
      <c r="H76" s="16" t="inlineStr">
        <is>
          <t>Т дымовых газов котла №2</t>
        </is>
      </c>
      <c r="I76" s="27" t="inlineStr">
        <is>
          <t>Котельная</t>
        </is>
      </c>
      <c r="J76" s="3" t="inlineStr">
        <is>
          <t>АСУ,А и ТМ (КЦ № 6)</t>
        </is>
      </c>
      <c r="K76" s="3" t="n">
        <v>2012</v>
      </c>
      <c r="L76" s="15" t="n">
        <v>12</v>
      </c>
      <c r="M76" s="47" t="n"/>
      <c r="N76" s="70" t="n"/>
    </row>
    <row r="77">
      <c r="A77" s="15">
        <f>IF(B77&lt;&gt;"", COUNTA($B$2:B77), "")</f>
        <v/>
      </c>
      <c r="B77" s="28" t="inlineStr">
        <is>
          <t>Датчик давления</t>
        </is>
      </c>
      <c r="C77" s="11" t="inlineStr">
        <is>
          <t>АДР-0,25 (Агава)</t>
        </is>
      </c>
      <c r="D77" s="11" t="inlineStr">
        <is>
          <t>12040486</t>
        </is>
      </c>
      <c r="E77" s="10" t="n">
        <v>2010</v>
      </c>
      <c r="F77" s="11" t="n"/>
      <c r="G77" s="11" t="n"/>
      <c r="H77" s="16" t="inlineStr">
        <is>
          <t>Разрежение в газоходе котла №3</t>
        </is>
      </c>
      <c r="I77" s="27" t="inlineStr">
        <is>
          <t>Котельная</t>
        </is>
      </c>
      <c r="J77" s="3" t="inlineStr">
        <is>
          <t>АСУ,А и ТМ (КЦ № 6)</t>
        </is>
      </c>
      <c r="K77" s="3" t="n">
        <v>2012</v>
      </c>
      <c r="L77" s="15" t="n">
        <v>12</v>
      </c>
      <c r="M77" s="47" t="n"/>
      <c r="N77" s="70" t="n"/>
    </row>
    <row r="78">
      <c r="A78" s="15">
        <f>IF(B78&lt;&gt;"", COUNTA($B$2:B78), "")</f>
        <v/>
      </c>
      <c r="B78" s="28" t="inlineStr">
        <is>
          <t>Датчик температуры</t>
        </is>
      </c>
      <c r="C78" s="11" t="inlineStr">
        <is>
          <t>Элемер ТС-1088/6 Pt100</t>
        </is>
      </c>
      <c r="D78" s="11" t="inlineStr">
        <is>
          <t>8193</t>
        </is>
      </c>
      <c r="E78" s="10" t="n">
        <v>2012</v>
      </c>
      <c r="F78" s="27" t="inlineStr">
        <is>
          <t>­50  ..  200°С</t>
        </is>
      </c>
      <c r="G78" s="11" t="n"/>
      <c r="H78" s="16" t="inlineStr">
        <is>
          <t>Т воды на входе в котел №3</t>
        </is>
      </c>
      <c r="I78" s="27" t="inlineStr">
        <is>
          <t>Котельная</t>
        </is>
      </c>
      <c r="J78" s="3" t="inlineStr">
        <is>
          <t>АСУ,А и ТМ (КЦ № 6)</t>
        </is>
      </c>
      <c r="K78" s="3" t="n">
        <v>2012</v>
      </c>
      <c r="L78" s="15" t="n">
        <v>12</v>
      </c>
      <c r="M78" s="47" t="n"/>
      <c r="N78" s="70" t="n"/>
    </row>
    <row r="79">
      <c r="A79" s="15">
        <f>IF(B79&lt;&gt;"", COUNTA($B$2:B79), "")</f>
        <v/>
      </c>
      <c r="B79" s="28" t="inlineStr">
        <is>
          <t>Сигнализатор температуры</t>
        </is>
      </c>
      <c r="C79" s="11" t="inlineStr">
        <is>
          <t>Sauter</t>
        </is>
      </c>
      <c r="D79" s="11" t="inlineStr">
        <is>
          <t>1146</t>
        </is>
      </c>
      <c r="E79" s="10" t="n">
        <v>2010</v>
      </c>
      <c r="F79" s="11" t="inlineStr">
        <is>
          <t>0…130°С</t>
        </is>
      </c>
      <c r="G79" s="11" t="n"/>
      <c r="H79" s="16" t="inlineStr">
        <is>
          <t>Т воды в котле №3</t>
        </is>
      </c>
      <c r="I79" s="27" t="inlineStr">
        <is>
          <t>Котельная</t>
        </is>
      </c>
      <c r="J79" s="3" t="inlineStr">
        <is>
          <t>АСУ,А и ТМ (КЦ № 6)</t>
        </is>
      </c>
      <c r="K79" s="3" t="n">
        <v>2012</v>
      </c>
      <c r="L79" s="15" t="n">
        <v>12</v>
      </c>
      <c r="M79" s="47" t="n"/>
      <c r="N79" s="70" t="n"/>
    </row>
    <row r="80">
      <c r="A80" s="15">
        <f>IF(B80&lt;&gt;"", COUNTA($B$2:B80), "")</f>
        <v/>
      </c>
      <c r="B80" s="28" t="inlineStr">
        <is>
          <t>Датчик температуры</t>
        </is>
      </c>
      <c r="C80" s="11" t="inlineStr">
        <is>
          <t>Элемер ТС-1088/6 Pt100</t>
        </is>
      </c>
      <c r="D80" s="11" t="inlineStr">
        <is>
          <t>8194</t>
        </is>
      </c>
      <c r="E80" s="10" t="n">
        <v>2012</v>
      </c>
      <c r="F80" s="27" t="inlineStr">
        <is>
          <t>­50  ..  200°С</t>
        </is>
      </c>
      <c r="G80" s="11" t="n"/>
      <c r="H80" s="16" t="inlineStr">
        <is>
          <t>Т воды на выходе котла №3</t>
        </is>
      </c>
      <c r="I80" s="27" t="inlineStr">
        <is>
          <t>Котельная</t>
        </is>
      </c>
      <c r="J80" s="3" t="inlineStr">
        <is>
          <t>АСУ,А и ТМ (КЦ № 6)</t>
        </is>
      </c>
      <c r="K80" s="3" t="n">
        <v>2012</v>
      </c>
      <c r="L80" s="15" t="n">
        <v>12</v>
      </c>
      <c r="M80" s="47" t="n"/>
      <c r="N80" s="70" t="n"/>
    </row>
    <row r="81">
      <c r="A81" s="15">
        <f>IF(B81&lt;&gt;"", COUNTA($B$2:B81), "")</f>
        <v/>
      </c>
      <c r="B81" s="28" t="inlineStr">
        <is>
          <t>Датчик температуры</t>
        </is>
      </c>
      <c r="C81" s="11" t="inlineStr">
        <is>
          <t>Элемер ТС-1088/6 Pt100</t>
        </is>
      </c>
      <c r="D81" s="11" t="inlineStr">
        <is>
          <t>8192</t>
        </is>
      </c>
      <c r="E81" s="10" t="n">
        <v>2012</v>
      </c>
      <c r="F81" s="27" t="inlineStr">
        <is>
          <t>­50  ..  200°С</t>
        </is>
      </c>
      <c r="G81" s="11" t="n"/>
      <c r="H81" s="16" t="inlineStr">
        <is>
          <t>Т воды на выходе котла №3</t>
        </is>
      </c>
      <c r="I81" s="27" t="inlineStr">
        <is>
          <t>Котельная</t>
        </is>
      </c>
      <c r="J81" s="3" t="inlineStr">
        <is>
          <t>АСУ,А и ТМ (КЦ № 6)</t>
        </is>
      </c>
      <c r="K81" s="3" t="n">
        <v>2012</v>
      </c>
      <c r="L81" s="15" t="n">
        <v>12</v>
      </c>
      <c r="M81" s="47" t="n"/>
      <c r="N81" s="70" t="n"/>
    </row>
    <row r="82">
      <c r="A82" s="15">
        <f>IF(B82&lt;&gt;"", COUNTA($B$2:B82), "")</f>
        <v/>
      </c>
      <c r="B82" s="28" t="inlineStr">
        <is>
          <t>Сигнализатор давления</t>
        </is>
      </c>
      <c r="C82" s="11" t="inlineStr">
        <is>
          <t>Fantini cosmi</t>
        </is>
      </c>
      <c r="D82" s="11" t="inlineStr">
        <is>
          <t>118366</t>
        </is>
      </c>
      <c r="E82" s="10" t="n">
        <v>2010</v>
      </c>
      <c r="F82" s="11" t="n"/>
      <c r="G82" s="11" t="n"/>
      <c r="H82" s="16" t="inlineStr">
        <is>
          <t>Р воды на выходе котла №3 (низкое)</t>
        </is>
      </c>
      <c r="I82" s="27" t="inlineStr">
        <is>
          <t>Котельная</t>
        </is>
      </c>
      <c r="J82" s="3" t="inlineStr">
        <is>
          <t>АСУ,А и ТМ (КЦ № 6)</t>
        </is>
      </c>
      <c r="K82" s="3" t="n">
        <v>2012</v>
      </c>
      <c r="L82" s="15" t="n">
        <v>12</v>
      </c>
      <c r="M82" s="47" t="n"/>
      <c r="N82" s="70" t="n"/>
    </row>
    <row r="83" ht="22.5" customHeight="1" s="151">
      <c r="A83" s="15">
        <f>IF(B83&lt;&gt;"", COUNTA($B$2:B83), "")</f>
        <v/>
      </c>
      <c r="B83" s="28" t="inlineStr">
        <is>
          <t>Сигнализатор давления</t>
        </is>
      </c>
      <c r="C83" s="11" t="inlineStr">
        <is>
          <t>Fantini cosmi</t>
        </is>
      </c>
      <c r="D83" s="11" t="inlineStr">
        <is>
          <t>118227</t>
        </is>
      </c>
      <c r="E83" s="10" t="n">
        <v>2010</v>
      </c>
      <c r="F83" s="11" t="n"/>
      <c r="G83" s="11" t="n"/>
      <c r="H83" s="16" t="inlineStr">
        <is>
          <t>Р воды на выходе котла №3 (высокое)</t>
        </is>
      </c>
      <c r="I83" s="27" t="inlineStr">
        <is>
          <t>Котельная</t>
        </is>
      </c>
      <c r="J83" s="3" t="inlineStr">
        <is>
          <t>АСУ,А и ТМ (КЦ № 6)</t>
        </is>
      </c>
      <c r="K83" s="3" t="n">
        <v>2012</v>
      </c>
      <c r="L83" s="15" t="n">
        <v>12</v>
      </c>
      <c r="M83" s="47" t="n"/>
      <c r="N83" s="70" t="n"/>
    </row>
    <row r="84">
      <c r="A84" s="15">
        <f>IF(B84&lt;&gt;"", COUNTA($B$2:B84), "")</f>
        <v/>
      </c>
      <c r="B84" s="28" t="inlineStr">
        <is>
          <t>Датчик давления</t>
        </is>
      </c>
      <c r="C84" s="11" t="inlineStr">
        <is>
          <t>Агава АДР-2,5.4.1</t>
        </is>
      </c>
      <c r="D84" s="11" t="inlineStr">
        <is>
          <t>12040661</t>
        </is>
      </c>
      <c r="E84" s="10" t="n">
        <v>2010</v>
      </c>
      <c r="F84" s="11" t="n"/>
      <c r="G84" s="11" t="n"/>
      <c r="H84" s="16" t="inlineStr">
        <is>
          <t>Р воздуха на горелку котла №3</t>
        </is>
      </c>
      <c r="I84" s="27" t="inlineStr">
        <is>
          <t>Котельная</t>
        </is>
      </c>
      <c r="J84" s="3" t="inlineStr">
        <is>
          <t>АСУ,А и ТМ (КЦ № 6)</t>
        </is>
      </c>
      <c r="K84" s="3" t="n">
        <v>2012</v>
      </c>
      <c r="L84" s="15" t="n">
        <v>12</v>
      </c>
      <c r="M84" s="47" t="n"/>
      <c r="N84" s="70" t="n"/>
    </row>
    <row r="85">
      <c r="A85" s="15">
        <f>IF(B85&lt;&gt;"", COUNTA($B$2:B85), "")</f>
        <v/>
      </c>
      <c r="B85" s="28" t="inlineStr">
        <is>
          <t>Датчик давления</t>
        </is>
      </c>
      <c r="C85" s="11" t="inlineStr">
        <is>
          <t>Агава АДР-2,5.4.1</t>
        </is>
      </c>
      <c r="D85" s="11" t="inlineStr">
        <is>
          <t>12040671</t>
        </is>
      </c>
      <c r="E85" s="10" t="n">
        <v>2010</v>
      </c>
      <c r="F85" s="11" t="n"/>
      <c r="G85" s="11" t="n"/>
      <c r="H85" s="16" t="inlineStr">
        <is>
          <t>Р газа перед горелкой котла №3</t>
        </is>
      </c>
      <c r="I85" s="27" t="inlineStr">
        <is>
          <t>Котельная</t>
        </is>
      </c>
      <c r="J85" s="3" t="inlineStr">
        <is>
          <t>АСУ,А и ТМ (КЦ № 6)</t>
        </is>
      </c>
      <c r="K85" s="3" t="n">
        <v>2012</v>
      </c>
      <c r="L85" s="15" t="n">
        <v>12</v>
      </c>
      <c r="M85" s="47" t="n"/>
      <c r="N85" s="70" t="n"/>
    </row>
    <row r="86">
      <c r="A86" s="15">
        <f>IF(B86&lt;&gt;"", COUNTA($B$2:B86), "")</f>
        <v/>
      </c>
      <c r="B86" s="28" t="inlineStr">
        <is>
          <t>Датчик температуры</t>
        </is>
      </c>
      <c r="C86" s="11" t="inlineStr">
        <is>
          <t>Элемер ТС-1088/6 Pt100</t>
        </is>
      </c>
      <c r="D86" s="11" t="inlineStr">
        <is>
          <t>4710</t>
        </is>
      </c>
      <c r="E86" s="10" t="n">
        <v>2012</v>
      </c>
      <c r="F86" s="27" t="inlineStr">
        <is>
          <t>­50  ..  350°С</t>
        </is>
      </c>
      <c r="G86" s="11" t="n"/>
      <c r="H86" s="16" t="inlineStr">
        <is>
          <t>Т дымовых газов котла №3</t>
        </is>
      </c>
      <c r="I86" s="27" t="inlineStr">
        <is>
          <t>Котельная</t>
        </is>
      </c>
      <c r="J86" s="3" t="inlineStr">
        <is>
          <t>АСУ,А и ТМ (КЦ № 6)</t>
        </is>
      </c>
      <c r="K86" s="3" t="n">
        <v>2012</v>
      </c>
      <c r="L86" s="15" t="n">
        <v>12</v>
      </c>
      <c r="M86" s="47" t="n"/>
      <c r="N86" s="70" t="n"/>
    </row>
    <row r="87" ht="22.5" customHeight="1" s="151">
      <c r="A87" s="15">
        <f>IF(B87&lt;&gt;"", COUNTA($B$2:B87), "")</f>
        <v/>
      </c>
      <c r="B87" s="28" t="inlineStr">
        <is>
          <t>Датчик перепада давления</t>
        </is>
      </c>
      <c r="C87" s="11" t="inlineStr">
        <is>
          <t>DEM-202</t>
        </is>
      </c>
      <c r="D87" s="11" t="inlineStr">
        <is>
          <t>008652</t>
        </is>
      </c>
      <c r="E87" s="10" t="n">
        <v>2010</v>
      </c>
      <c r="F87" s="11" t="inlineStr">
        <is>
          <t>-0,05…0,5 MPa</t>
        </is>
      </c>
      <c r="G87" s="11" t="n"/>
      <c r="H87" s="16" t="inlineStr">
        <is>
          <t>Перепад Р на насосах циркуляции К1</t>
        </is>
      </c>
      <c r="I87" s="27" t="inlineStr">
        <is>
          <t>Котельная</t>
        </is>
      </c>
      <c r="J87" s="3" t="inlineStr">
        <is>
          <t>АСУ,А и ТМ (КЦ № 6)</t>
        </is>
      </c>
      <c r="K87" s="3" t="n">
        <v>2012</v>
      </c>
      <c r="L87" s="15" t="n">
        <v>12</v>
      </c>
      <c r="M87" s="47" t="n"/>
      <c r="N87" s="70" t="n"/>
    </row>
    <row r="88" ht="22.5" customHeight="1" s="151">
      <c r="A88" s="15">
        <f>IF(B88&lt;&gt;"", COUNTA($B$2:B88), "")</f>
        <v/>
      </c>
      <c r="B88" s="28" t="inlineStr">
        <is>
          <t>Датчик температуры</t>
        </is>
      </c>
      <c r="C88" s="11" t="inlineStr">
        <is>
          <t>Элемер ТС-1088/6 Pt100</t>
        </is>
      </c>
      <c r="D88" s="16" t="inlineStr">
        <is>
          <t>8191</t>
        </is>
      </c>
      <c r="E88" s="10" t="n">
        <v>2012</v>
      </c>
      <c r="F88" s="27" t="inlineStr">
        <is>
          <t>­50  ..  200°С</t>
        </is>
      </c>
      <c r="G88" s="16" t="n"/>
      <c r="H88" s="16" t="inlineStr">
        <is>
          <t>Т прямой сетевой воды к потребителям</t>
        </is>
      </c>
      <c r="I88" s="27" t="inlineStr">
        <is>
          <t>Котельная</t>
        </is>
      </c>
      <c r="J88" s="3" t="inlineStr">
        <is>
          <t>АСУ,А и ТМ (КЦ № 6)</t>
        </is>
      </c>
      <c r="K88" s="3" t="n">
        <v>2012</v>
      </c>
      <c r="L88" s="15" t="n">
        <v>12</v>
      </c>
      <c r="M88" s="47" t="n"/>
      <c r="N88" s="70" t="n"/>
    </row>
    <row r="89">
      <c r="A89" s="15">
        <f>IF(B89&lt;&gt;"", COUNTA($B$2:B89), "")</f>
        <v/>
      </c>
      <c r="B89" s="28" t="inlineStr">
        <is>
          <t>Датчик давления</t>
        </is>
      </c>
      <c r="C89" s="16" t="inlineStr">
        <is>
          <t>ДДМ-03-ДИ</t>
        </is>
      </c>
      <c r="D89" s="16" t="inlineStr">
        <is>
          <t>206-073</t>
        </is>
      </c>
      <c r="E89" s="10" t="n">
        <v>2010</v>
      </c>
      <c r="F89" s="16" t="inlineStr">
        <is>
          <t>0..600kPa</t>
        </is>
      </c>
      <c r="G89" s="16" t="n"/>
      <c r="H89" s="16" t="inlineStr">
        <is>
          <t>Р обратной сетевой воды</t>
        </is>
      </c>
      <c r="I89" s="27" t="inlineStr">
        <is>
          <t>Котельная</t>
        </is>
      </c>
      <c r="J89" s="3" t="inlineStr">
        <is>
          <t>АСУ,А и ТМ (КЦ № 6)</t>
        </is>
      </c>
      <c r="K89" s="3" t="n">
        <v>2012</v>
      </c>
      <c r="L89" s="15" t="n">
        <v>12</v>
      </c>
      <c r="M89" s="47" t="n"/>
      <c r="N89" s="70" t="n"/>
    </row>
    <row r="90">
      <c r="A90" s="15">
        <f>IF(B90&lt;&gt;"", COUNTA($B$2:B90), "")</f>
        <v/>
      </c>
      <c r="B90" s="28" t="inlineStr">
        <is>
          <t>Датчик давления</t>
        </is>
      </c>
      <c r="C90" s="11" t="inlineStr">
        <is>
          <t>АИР-10/М1-ДИ</t>
        </is>
      </c>
      <c r="D90" s="11" t="inlineStr">
        <is>
          <t>14466</t>
        </is>
      </c>
      <c r="E90" s="10" t="n">
        <v>2012</v>
      </c>
      <c r="F90" s="16" t="inlineStr">
        <is>
          <t>0... 2.5 Mpa</t>
        </is>
      </c>
      <c r="G90" s="11" t="inlineStr">
        <is>
          <t>0,4</t>
        </is>
      </c>
      <c r="H90" s="16" t="inlineStr">
        <is>
          <t>Р водопроводной воды</t>
        </is>
      </c>
      <c r="I90" s="27" t="inlineStr">
        <is>
          <t>Котельная</t>
        </is>
      </c>
      <c r="J90" s="3" t="inlineStr">
        <is>
          <t>АСУ,А и ТМ (КЦ № 6)</t>
        </is>
      </c>
      <c r="K90" s="3" t="n">
        <v>2012</v>
      </c>
      <c r="L90" s="15" t="n">
        <v>12</v>
      </c>
      <c r="M90" s="47" t="n"/>
      <c r="N90" s="70" t="n"/>
    </row>
    <row r="91" ht="22.5" customHeight="1" s="151">
      <c r="A91" s="15">
        <f>IF(B91&lt;&gt;"", COUNTA($B$2:B91), "")</f>
        <v/>
      </c>
      <c r="B91" s="28" t="inlineStr">
        <is>
          <t>Датчик давления</t>
        </is>
      </c>
      <c r="C91" s="11" t="inlineStr">
        <is>
          <t>АИР-10/М1-ДИ</t>
        </is>
      </c>
      <c r="D91" s="11" t="inlineStr">
        <is>
          <t>64480</t>
        </is>
      </c>
      <c r="E91" s="10" t="n">
        <v>2012</v>
      </c>
      <c r="F91" s="16" t="inlineStr">
        <is>
          <t>0..0,6 Mpa  (max. 2.5 Mpa)</t>
        </is>
      </c>
      <c r="G91" s="11" t="inlineStr">
        <is>
          <t>0,4</t>
        </is>
      </c>
      <c r="H91" s="16" t="inlineStr">
        <is>
          <t>Р воды перед насосами К4</t>
        </is>
      </c>
      <c r="I91" s="27" t="inlineStr">
        <is>
          <t>Котельная</t>
        </is>
      </c>
      <c r="J91" s="3" t="inlineStr">
        <is>
          <t>АСУ,А и ТМ (КЦ № 6)</t>
        </is>
      </c>
      <c r="K91" s="3" t="n">
        <v>2012</v>
      </c>
      <c r="L91" s="15" t="n">
        <v>12</v>
      </c>
      <c r="M91" s="47" t="n"/>
      <c r="N91" s="70" t="n"/>
    </row>
    <row r="92">
      <c r="A92" s="15">
        <f>IF(B92&lt;&gt;"", COUNTA($B$2:B92), "")</f>
        <v/>
      </c>
      <c r="B92" s="28" t="inlineStr">
        <is>
          <t>Датчик температуры</t>
        </is>
      </c>
      <c r="C92" s="11" t="inlineStr">
        <is>
          <t>Элемер ТС-1088/6 Pt100</t>
        </is>
      </c>
      <c r="D92" s="11" t="inlineStr">
        <is>
          <t>8196</t>
        </is>
      </c>
      <c r="E92" s="10" t="n">
        <v>2010</v>
      </c>
      <c r="F92" s="27" t="inlineStr">
        <is>
          <t>­50  ..  200°С</t>
        </is>
      </c>
      <c r="G92" s="11" t="n"/>
      <c r="H92" s="16" t="inlineStr">
        <is>
          <t>Т теплоносителя на АВО</t>
        </is>
      </c>
      <c r="I92" s="27" t="inlineStr">
        <is>
          <t>Котельная</t>
        </is>
      </c>
      <c r="J92" s="3" t="inlineStr">
        <is>
          <t>АСУ,А и ТМ (КЦ № 6)</t>
        </is>
      </c>
      <c r="K92" s="3" t="n">
        <v>2012</v>
      </c>
      <c r="L92" s="15" t="n">
        <v>12</v>
      </c>
      <c r="M92" s="47" t="n"/>
      <c r="N92" s="70" t="n"/>
    </row>
    <row r="93">
      <c r="A93" s="15">
        <f>IF(B93&lt;&gt;"", COUNTA($B$2:B93), "")</f>
        <v/>
      </c>
      <c r="B93" s="28" t="inlineStr">
        <is>
          <t>Датчик давления</t>
        </is>
      </c>
      <c r="C93" s="11" t="inlineStr">
        <is>
          <t>КРТ5-1</t>
        </is>
      </c>
      <c r="D93" s="11" t="inlineStr">
        <is>
          <t>443650</t>
        </is>
      </c>
      <c r="E93" s="10" t="n">
        <v>2010</v>
      </c>
      <c r="F93" s="11" t="inlineStr">
        <is>
          <t>0…1 MPa</t>
        </is>
      </c>
      <c r="G93" s="11" t="n"/>
      <c r="H93" s="16" t="inlineStr">
        <is>
          <t>Р воды после насосов К3</t>
        </is>
      </c>
      <c r="I93" s="27" t="inlineStr">
        <is>
          <t>Котельная</t>
        </is>
      </c>
      <c r="J93" s="3" t="inlineStr">
        <is>
          <t>АСУ,А и ТМ (КЦ № 6)</t>
        </is>
      </c>
      <c r="K93" s="3" t="n">
        <v>2012</v>
      </c>
      <c r="L93" s="15" t="n">
        <v>12</v>
      </c>
      <c r="M93" s="47" t="n"/>
      <c r="N93" s="70" t="n"/>
    </row>
    <row r="94" ht="22.5" customHeight="1" s="151">
      <c r="A94" s="15">
        <f>IF(B94&lt;&gt;"", COUNTA($B$2:B94), "")</f>
        <v/>
      </c>
      <c r="B94" s="28" t="inlineStr">
        <is>
          <t>Датчик давления</t>
        </is>
      </c>
      <c r="C94" s="11" t="inlineStr">
        <is>
          <t>АИР-10/М1-ДИ</t>
        </is>
      </c>
      <c r="D94" s="11" t="inlineStr">
        <is>
          <t>64324</t>
        </is>
      </c>
      <c r="E94" s="10" t="n">
        <v>2012</v>
      </c>
      <c r="F94" s="16" t="inlineStr">
        <is>
          <t>0..1 Mpa (max. 2.5 Mpa)</t>
        </is>
      </c>
      <c r="G94" s="11" t="inlineStr">
        <is>
          <t>0,4</t>
        </is>
      </c>
      <c r="H94" s="16" t="inlineStr">
        <is>
          <t>Р воды перед насосами К2</t>
        </is>
      </c>
      <c r="I94" s="27" t="inlineStr">
        <is>
          <t>Котельная</t>
        </is>
      </c>
      <c r="J94" s="3" t="inlineStr">
        <is>
          <t>АСУ,А и ТМ (КЦ № 6)</t>
        </is>
      </c>
      <c r="K94" s="3" t="n">
        <v>2012</v>
      </c>
      <c r="L94" s="15" t="n">
        <v>12</v>
      </c>
      <c r="M94" s="47" t="n"/>
      <c r="N94" s="70" t="n"/>
    </row>
    <row r="95">
      <c r="A95" s="15">
        <f>IF(B95&lt;&gt;"", COUNTA($B$2:B95), "")</f>
        <v/>
      </c>
      <c r="B95" s="28" t="inlineStr">
        <is>
          <t>Датчик температуры</t>
        </is>
      </c>
      <c r="C95" s="11" t="inlineStr">
        <is>
          <t>Элемер ТС-1288/4 Pt100</t>
        </is>
      </c>
      <c r="D95" s="11" t="inlineStr">
        <is>
          <t>7759</t>
        </is>
      </c>
      <c r="E95" s="10" t="n">
        <v>2012</v>
      </c>
      <c r="F95" s="27" t="inlineStr">
        <is>
          <t>­50..50°С</t>
        </is>
      </c>
      <c r="G95" s="11" t="n"/>
      <c r="H95" s="16" t="inlineStr">
        <is>
          <t>Т воздуха в помещении</t>
        </is>
      </c>
      <c r="I95" s="27" t="inlineStr">
        <is>
          <t>Котельная</t>
        </is>
      </c>
      <c r="J95" s="3" t="inlineStr">
        <is>
          <t>АСУ,А и ТМ (КЦ № 6)</t>
        </is>
      </c>
      <c r="K95" s="3" t="n">
        <v>2012</v>
      </c>
      <c r="L95" s="15" t="n">
        <v>12</v>
      </c>
      <c r="M95" s="47" t="n"/>
      <c r="N95" s="70" t="n"/>
    </row>
    <row r="96">
      <c r="A96" s="15">
        <f>IF(B96&lt;&gt;"", COUNTA($B$2:B96), "")</f>
        <v/>
      </c>
      <c r="B96" s="28" t="inlineStr">
        <is>
          <t>Датчик давления</t>
        </is>
      </c>
      <c r="C96" s="11" t="inlineStr">
        <is>
          <t>АИР-10/М1-ДИ</t>
        </is>
      </c>
      <c r="D96" s="11" t="inlineStr">
        <is>
          <t>64485</t>
        </is>
      </c>
      <c r="E96" s="10" t="n">
        <v>2012</v>
      </c>
      <c r="F96" s="16" t="inlineStr">
        <is>
          <t>0... 2.5 Mpa</t>
        </is>
      </c>
      <c r="G96" s="11" t="inlineStr">
        <is>
          <t>0,4</t>
        </is>
      </c>
      <c r="H96" s="16" t="inlineStr">
        <is>
          <t>Р воды после насосов К4</t>
        </is>
      </c>
      <c r="I96" s="27" t="inlineStr">
        <is>
          <t>Котельная</t>
        </is>
      </c>
      <c r="J96" s="3" t="inlineStr">
        <is>
          <t>АСУ,А и ТМ (КЦ № 6)</t>
        </is>
      </c>
      <c r="K96" s="3" t="n">
        <v>2012</v>
      </c>
      <c r="L96" s="15" t="n">
        <v>12</v>
      </c>
      <c r="M96" s="47" t="n"/>
      <c r="N96" s="70" t="n"/>
    </row>
    <row r="97" ht="22.5" customHeight="1" s="151">
      <c r="A97" s="15">
        <f>IF(B97&lt;&gt;"", COUNTA($B$2:B97), "")</f>
        <v/>
      </c>
      <c r="B97" s="28" t="inlineStr">
        <is>
          <t>Датчик давления</t>
        </is>
      </c>
      <c r="C97" s="11" t="inlineStr">
        <is>
          <t>АИР-10/М1-ДИ</t>
        </is>
      </c>
      <c r="D97" s="11" t="inlineStr">
        <is>
          <t>64313</t>
        </is>
      </c>
      <c r="E97" s="10" t="n">
        <v>2012</v>
      </c>
      <c r="F97" s="16" t="inlineStr">
        <is>
          <t>0..1 Mpa (max. 2.5 Mpa)</t>
        </is>
      </c>
      <c r="G97" s="11" t="inlineStr">
        <is>
          <t>0,3</t>
        </is>
      </c>
      <c r="H97" s="16" t="inlineStr">
        <is>
          <t>Р сетевой воды к потребителю</t>
        </is>
      </c>
      <c r="I97" s="27" t="inlineStr">
        <is>
          <t>Котельная</t>
        </is>
      </c>
      <c r="J97" s="15" t="inlineStr">
        <is>
          <t>АСУ,А и ТМ (КЦ № 6)</t>
        </is>
      </c>
      <c r="K97" s="3" t="n">
        <v>2012</v>
      </c>
      <c r="L97" s="15" t="n">
        <v>12</v>
      </c>
      <c r="M97" s="47" t="n"/>
      <c r="N97" s="15" t="n"/>
    </row>
    <row r="98" ht="22.5" customHeight="1" s="151">
      <c r="A98" s="15">
        <f>IF(B98&lt;&gt;"", COUNTA($B$2:B98), "")</f>
        <v/>
      </c>
      <c r="B98" s="28" t="inlineStr">
        <is>
          <t>Датчик давления</t>
        </is>
      </c>
      <c r="C98" s="11" t="inlineStr">
        <is>
          <t>АИР-10/М1-ДИ</t>
        </is>
      </c>
      <c r="D98" s="11" t="inlineStr">
        <is>
          <t>64483</t>
        </is>
      </c>
      <c r="E98" s="10" t="n">
        <v>2012</v>
      </c>
      <c r="F98" s="16" t="inlineStr">
        <is>
          <t>0..0,4 Mpa  (max. 2.5 Mpa)</t>
        </is>
      </c>
      <c r="G98" s="11" t="inlineStr">
        <is>
          <t>0,5</t>
        </is>
      </c>
      <c r="H98" s="16" t="inlineStr">
        <is>
          <t>Р воды от потребителя теплосети</t>
        </is>
      </c>
      <c r="I98" s="27" t="inlineStr">
        <is>
          <t>Котельная</t>
        </is>
      </c>
      <c r="J98" s="15" t="inlineStr">
        <is>
          <t>АСУ,А и ТМ (КЦ № 6)</t>
        </is>
      </c>
      <c r="K98" s="3" t="n">
        <v>2012</v>
      </c>
      <c r="L98" s="15" t="n">
        <v>12</v>
      </c>
      <c r="M98" s="47" t="n"/>
      <c r="N98" s="15" t="n"/>
    </row>
    <row r="99">
      <c r="A99" s="15">
        <f>IF(B99&lt;&gt;"", COUNTA($B$2:B99), "")</f>
        <v/>
      </c>
      <c r="B99" s="14" t="inlineStr">
        <is>
          <t>Термометр биметаллический</t>
        </is>
      </c>
      <c r="C99" s="11" t="inlineStr">
        <is>
          <t>БТ5</t>
        </is>
      </c>
      <c r="D99" s="10" t="n">
        <v>15045</v>
      </c>
      <c r="E99" s="10" t="n"/>
      <c r="F99" s="27" t="inlineStr">
        <is>
          <t>­40…+60°С</t>
        </is>
      </c>
      <c r="G99" s="10" t="n">
        <v>1.5</v>
      </c>
      <c r="H99" s="16" t="inlineStr">
        <is>
          <t>Т газа на входе в котельную</t>
        </is>
      </c>
      <c r="I99" s="27" t="inlineStr">
        <is>
          <t>Котельная</t>
        </is>
      </c>
      <c r="J99" s="15" t="inlineStr">
        <is>
          <t>АСУ,А и ТМ (КЦ № 6)</t>
        </is>
      </c>
      <c r="K99" s="10" t="n"/>
      <c r="L99" s="10" t="n">
        <v>24</v>
      </c>
      <c r="M99" s="3" t="inlineStr">
        <is>
          <t>25ДЯУ</t>
        </is>
      </c>
      <c r="N99" s="70" t="inlineStr">
        <is>
          <t>П</t>
        </is>
      </c>
    </row>
    <row r="100">
      <c r="A100" s="15">
        <f>IF(B100&lt;&gt;"", COUNTA($B$2:B100), "")</f>
        <v/>
      </c>
      <c r="B100" s="14" t="inlineStr">
        <is>
          <t>Термометр биметаллический</t>
        </is>
      </c>
      <c r="C100" s="11" t="inlineStr">
        <is>
          <t>БТ5</t>
        </is>
      </c>
      <c r="D100" s="10" t="n">
        <v>15040</v>
      </c>
      <c r="E100" s="10" t="n"/>
      <c r="F100" s="27" t="inlineStr">
        <is>
          <t>0…+160°С</t>
        </is>
      </c>
      <c r="G100" s="10" t="n">
        <v>1.5</v>
      </c>
      <c r="H100" s="16" t="inlineStr">
        <is>
          <t>Т воды на выходе котла №1</t>
        </is>
      </c>
      <c r="I100" s="27" t="inlineStr">
        <is>
          <t>Котельная</t>
        </is>
      </c>
      <c r="J100" s="15" t="inlineStr">
        <is>
          <t>АСУ,А и ТМ (КЦ № 6)</t>
        </is>
      </c>
      <c r="K100" s="10" t="n"/>
      <c r="L100" s="10" t="n">
        <v>24</v>
      </c>
      <c r="M100" s="3" t="inlineStr">
        <is>
          <t>25ДЯУ</t>
        </is>
      </c>
      <c r="N100" s="70" t="inlineStr">
        <is>
          <t>П</t>
        </is>
      </c>
    </row>
    <row r="101">
      <c r="A101" s="15">
        <f>IF(B101&lt;&gt;"", COUNTA($B$2:B101), "")</f>
        <v/>
      </c>
      <c r="B101" s="14" t="inlineStr">
        <is>
          <t>Термометр биметаллический</t>
        </is>
      </c>
      <c r="C101" s="11" t="inlineStr">
        <is>
          <t>БТ5</t>
        </is>
      </c>
      <c r="D101" s="10" t="n">
        <v>15046</v>
      </c>
      <c r="E101" s="10" t="n"/>
      <c r="F101" s="27" t="inlineStr">
        <is>
          <t>0…+350°С</t>
        </is>
      </c>
      <c r="G101" s="10" t="n">
        <v>1.5</v>
      </c>
      <c r="H101" s="16" t="inlineStr">
        <is>
          <t>Т дымовых газов котла №1</t>
        </is>
      </c>
      <c r="I101" s="27" t="inlineStr">
        <is>
          <t>Котельная</t>
        </is>
      </c>
      <c r="J101" s="15" t="inlineStr">
        <is>
          <t>АСУ,А и ТМ (КЦ № 6)</t>
        </is>
      </c>
      <c r="K101" s="10" t="n"/>
      <c r="L101" s="10" t="n">
        <v>24</v>
      </c>
      <c r="M101" s="3" t="inlineStr">
        <is>
          <t>25ДЯУ</t>
        </is>
      </c>
      <c r="N101" s="70" t="inlineStr">
        <is>
          <t>П</t>
        </is>
      </c>
    </row>
    <row r="102">
      <c r="A102" s="15">
        <f>IF(B102&lt;&gt;"", COUNTA($B$2:B102), "")</f>
        <v/>
      </c>
      <c r="B102" s="14" t="inlineStr">
        <is>
          <t>Термометр биметаллический</t>
        </is>
      </c>
      <c r="C102" s="11" t="inlineStr">
        <is>
          <t>БТ5</t>
        </is>
      </c>
      <c r="D102" s="10" t="n">
        <v>15034</v>
      </c>
      <c r="E102" s="10" t="n"/>
      <c r="F102" s="27" t="inlineStr">
        <is>
          <t>0…+160°С</t>
        </is>
      </c>
      <c r="G102" s="10" t="n">
        <v>1.5</v>
      </c>
      <c r="H102" s="16" t="inlineStr">
        <is>
          <t>Т воды на выходе котла №2</t>
        </is>
      </c>
      <c r="I102" s="27" t="inlineStr">
        <is>
          <t>Котельная</t>
        </is>
      </c>
      <c r="J102" s="15" t="inlineStr">
        <is>
          <t>АСУ,А и ТМ (КЦ № 6)</t>
        </is>
      </c>
      <c r="K102" s="10" t="n"/>
      <c r="L102" s="10" t="n">
        <v>24</v>
      </c>
      <c r="M102" s="3" t="inlineStr">
        <is>
          <t>25ДЯУ</t>
        </is>
      </c>
      <c r="N102" s="70" t="inlineStr">
        <is>
          <t>П</t>
        </is>
      </c>
    </row>
    <row r="103">
      <c r="A103" s="15">
        <f>IF(B103&lt;&gt;"", COUNTA($B$2:B103), "")</f>
        <v/>
      </c>
      <c r="B103" s="14" t="inlineStr">
        <is>
          <t>Термометр биметаллический</t>
        </is>
      </c>
      <c r="C103" s="11" t="inlineStr">
        <is>
          <t>БТ5</t>
        </is>
      </c>
      <c r="D103" s="10" t="n">
        <v>15047</v>
      </c>
      <c r="E103" s="10" t="n"/>
      <c r="F103" s="27" t="inlineStr">
        <is>
          <t>0…+350°С</t>
        </is>
      </c>
      <c r="G103" s="10" t="n">
        <v>1.5</v>
      </c>
      <c r="H103" s="16" t="inlineStr">
        <is>
          <t>Т дымовых газов котла №2</t>
        </is>
      </c>
      <c r="I103" s="27" t="inlineStr">
        <is>
          <t>Котельная</t>
        </is>
      </c>
      <c r="J103" s="15" t="inlineStr">
        <is>
          <t>АСУ,А и ТМ (КЦ № 6)</t>
        </is>
      </c>
      <c r="K103" s="10" t="n"/>
      <c r="L103" s="10" t="n">
        <v>24</v>
      </c>
      <c r="M103" s="3" t="inlineStr">
        <is>
          <t>25ДЯУ</t>
        </is>
      </c>
      <c r="N103" s="70" t="inlineStr">
        <is>
          <t>П</t>
        </is>
      </c>
    </row>
    <row r="104">
      <c r="A104" s="15">
        <f>IF(B104&lt;&gt;"", COUNTA($B$2:B104), "")</f>
        <v/>
      </c>
      <c r="B104" s="14" t="inlineStr">
        <is>
          <t>Термометр биметаллический</t>
        </is>
      </c>
      <c r="C104" s="11" t="inlineStr">
        <is>
          <t>БТ5</t>
        </is>
      </c>
      <c r="D104" s="10" t="n">
        <v>15043</v>
      </c>
      <c r="E104" s="10" t="n"/>
      <c r="F104" s="27" t="inlineStr">
        <is>
          <t>0…+120°С</t>
        </is>
      </c>
      <c r="G104" s="10" t="n">
        <v>1.5</v>
      </c>
      <c r="H104" s="16" t="inlineStr">
        <is>
          <t>Т воды на входе котла №2</t>
        </is>
      </c>
      <c r="I104" s="27" t="inlineStr">
        <is>
          <t>Котельная</t>
        </is>
      </c>
      <c r="J104" s="15" t="inlineStr">
        <is>
          <t>АСУ,А и ТМ (КЦ № 6)</t>
        </is>
      </c>
      <c r="K104" s="10" t="n"/>
      <c r="L104" s="10" t="n">
        <v>24</v>
      </c>
      <c r="M104" s="3" t="inlineStr">
        <is>
          <t>25ДЯУ</t>
        </is>
      </c>
      <c r="N104" s="70" t="inlineStr">
        <is>
          <t>П</t>
        </is>
      </c>
    </row>
    <row r="105" ht="22.5" customHeight="1" s="151">
      <c r="A105" s="15">
        <f>IF(B105&lt;&gt;"", COUNTA($B$2:B105), "")</f>
        <v/>
      </c>
      <c r="B105" s="14" t="inlineStr">
        <is>
          <t>Термометр биметаллический</t>
        </is>
      </c>
      <c r="C105" s="11" t="inlineStr">
        <is>
          <t>БТ5</t>
        </is>
      </c>
      <c r="D105" s="10" t="n">
        <v>15038</v>
      </c>
      <c r="E105" s="33" t="n"/>
      <c r="F105" s="27" t="inlineStr">
        <is>
          <t>0…+100°С</t>
        </is>
      </c>
      <c r="G105" s="10" t="n">
        <v>1.5</v>
      </c>
      <c r="H105" s="16" t="inlineStr">
        <is>
          <t>Т жидкого топлива на входе в котел №3</t>
        </is>
      </c>
      <c r="I105" s="27" t="inlineStr">
        <is>
          <t>Котельная</t>
        </is>
      </c>
      <c r="J105" s="15" t="inlineStr">
        <is>
          <t>АСУ,А и ТМ (КЦ № 6)</t>
        </is>
      </c>
      <c r="K105" s="33" t="n"/>
      <c r="L105" s="10" t="n">
        <v>24</v>
      </c>
      <c r="M105" s="3" t="inlineStr">
        <is>
          <t>25ДЯУ</t>
        </is>
      </c>
      <c r="N105" s="70" t="inlineStr">
        <is>
          <t>К</t>
        </is>
      </c>
    </row>
    <row r="106" ht="22.5" customHeight="1" s="151">
      <c r="A106" s="15">
        <f>IF(B106&lt;&gt;"", COUNTA($B$2:B106), "")</f>
        <v/>
      </c>
      <c r="B106" s="14" t="inlineStr">
        <is>
          <t>Термометр биметаллический</t>
        </is>
      </c>
      <c r="C106" s="11" t="inlineStr">
        <is>
          <t>БТ5</t>
        </is>
      </c>
      <c r="D106" s="10" t="n">
        <v>15030</v>
      </c>
      <c r="E106" s="33" t="n"/>
      <c r="F106" s="27" t="inlineStr">
        <is>
          <t>0…+120°С</t>
        </is>
      </c>
      <c r="G106" s="10" t="n">
        <v>1.5</v>
      </c>
      <c r="H106" s="16" t="inlineStr">
        <is>
          <t>Т воды из теплосети собственных нужд</t>
        </is>
      </c>
      <c r="I106" s="27" t="inlineStr">
        <is>
          <t>Котельная</t>
        </is>
      </c>
      <c r="J106" s="15" t="inlineStr">
        <is>
          <t>АСУ,А и ТМ (КЦ № 6)</t>
        </is>
      </c>
      <c r="K106" s="33" t="n"/>
      <c r="L106" s="10" t="n">
        <v>24</v>
      </c>
      <c r="M106" s="3" t="inlineStr">
        <is>
          <t>25ДЯУ</t>
        </is>
      </c>
      <c r="N106" s="70" t="inlineStr">
        <is>
          <t>П</t>
        </is>
      </c>
    </row>
    <row r="107">
      <c r="A107" s="15">
        <f>IF(B107&lt;&gt;"", COUNTA($B$2:B107), "")</f>
        <v/>
      </c>
      <c r="B107" s="14" t="inlineStr">
        <is>
          <t>Термометр биметаллический</t>
        </is>
      </c>
      <c r="C107" s="11" t="inlineStr">
        <is>
          <t>БТ5</t>
        </is>
      </c>
      <c r="D107" s="10" t="n">
        <v>15037</v>
      </c>
      <c r="E107" s="33" t="n"/>
      <c r="F107" s="27" t="inlineStr">
        <is>
          <t>0…+120°С</t>
        </is>
      </c>
      <c r="G107" s="10" t="n">
        <v>1.5</v>
      </c>
      <c r="H107" s="16" t="inlineStr">
        <is>
          <t>Т воды в Т2</t>
        </is>
      </c>
      <c r="I107" s="27" t="inlineStr">
        <is>
          <t>Котельная</t>
        </is>
      </c>
      <c r="J107" s="15" t="inlineStr">
        <is>
          <t>АСУ,А и ТМ (КЦ № 6)</t>
        </is>
      </c>
      <c r="K107" s="33" t="n"/>
      <c r="L107" s="10" t="n">
        <v>24</v>
      </c>
      <c r="M107" s="3" t="inlineStr">
        <is>
          <t>25ДЯУ</t>
        </is>
      </c>
      <c r="N107" s="70" t="inlineStr">
        <is>
          <t>П</t>
        </is>
      </c>
    </row>
    <row r="108">
      <c r="A108" s="15">
        <f>IF(B108&lt;&gt;"", COUNTA($B$2:B108), "")</f>
        <v/>
      </c>
      <c r="B108" s="14" t="inlineStr">
        <is>
          <t>Термометр биметаллический</t>
        </is>
      </c>
      <c r="C108" s="11" t="inlineStr">
        <is>
          <t>БТ5</t>
        </is>
      </c>
      <c r="D108" s="10" t="n">
        <v>15032</v>
      </c>
      <c r="E108" s="33" t="n"/>
      <c r="F108" s="27" t="inlineStr">
        <is>
          <t>0…+160°С</t>
        </is>
      </c>
      <c r="G108" s="10" t="n">
        <v>1.5</v>
      </c>
      <c r="H108" s="16" t="inlineStr">
        <is>
          <t>Т перед смесителями</t>
        </is>
      </c>
      <c r="I108" s="27" t="inlineStr">
        <is>
          <t>Котельная</t>
        </is>
      </c>
      <c r="J108" s="15" t="inlineStr">
        <is>
          <t>АСУ,А и ТМ (КЦ № 6)</t>
        </is>
      </c>
      <c r="K108" s="33" t="n"/>
      <c r="L108" s="10" t="n">
        <v>24</v>
      </c>
      <c r="M108" s="3" t="inlineStr">
        <is>
          <t>25ДЯУ</t>
        </is>
      </c>
      <c r="N108" s="70" t="inlineStr">
        <is>
          <t>П</t>
        </is>
      </c>
    </row>
    <row r="109" ht="22.5" customHeight="1" s="151">
      <c r="A109" s="15">
        <f>IF(B109&lt;&gt;"", COUNTA($B$2:B109), "")</f>
        <v/>
      </c>
      <c r="B109" s="14" t="inlineStr">
        <is>
          <t>Термометр биметаллический</t>
        </is>
      </c>
      <c r="C109" s="11" t="inlineStr">
        <is>
          <t>БТ5</t>
        </is>
      </c>
      <c r="D109" s="10" t="n">
        <v>15039</v>
      </c>
      <c r="E109" s="33" t="n"/>
      <c r="F109" s="27" t="inlineStr">
        <is>
          <t>0…+160°С</t>
        </is>
      </c>
      <c r="G109" s="10" t="n">
        <v>1.5</v>
      </c>
      <c r="H109" s="16" t="inlineStr">
        <is>
          <t>Т воды после основного и резервного насоса</t>
        </is>
      </c>
      <c r="I109" s="27" t="inlineStr">
        <is>
          <t>Котельная</t>
        </is>
      </c>
      <c r="J109" s="15" t="inlineStr">
        <is>
          <t>АСУ,А и ТМ (КЦ № 6)</t>
        </is>
      </c>
      <c r="K109" s="33" t="n"/>
      <c r="L109" s="10" t="n">
        <v>24</v>
      </c>
      <c r="M109" s="3" t="inlineStr">
        <is>
          <t>25ДЯУ</t>
        </is>
      </c>
      <c r="N109" s="70" t="inlineStr">
        <is>
          <t>П</t>
        </is>
      </c>
    </row>
    <row r="110">
      <c r="A110" s="15">
        <f>IF(B110&lt;&gt;"", COUNTA($B$2:B110), "")</f>
        <v/>
      </c>
      <c r="B110" s="14" t="inlineStr">
        <is>
          <t>Термометр биметаллический</t>
        </is>
      </c>
      <c r="C110" s="11" t="inlineStr">
        <is>
          <t>БТ5</t>
        </is>
      </c>
      <c r="D110" s="10" t="n">
        <v>15031</v>
      </c>
      <c r="E110" s="33" t="n"/>
      <c r="F110" s="27" t="inlineStr">
        <is>
          <t>0…+350°С</t>
        </is>
      </c>
      <c r="G110" s="10" t="n">
        <v>1.5</v>
      </c>
      <c r="H110" s="16" t="inlineStr">
        <is>
          <t>Т дымовых газов котла №3</t>
        </is>
      </c>
      <c r="I110" s="27" t="inlineStr">
        <is>
          <t>Котельная</t>
        </is>
      </c>
      <c r="J110" s="15" t="inlineStr">
        <is>
          <t>АСУ,А и ТМ (КЦ № 6)</t>
        </is>
      </c>
      <c r="K110" s="33" t="n"/>
      <c r="L110" s="10" t="n">
        <v>24</v>
      </c>
      <c r="M110" s="3" t="inlineStr">
        <is>
          <t>25ДЯУ</t>
        </is>
      </c>
      <c r="N110" s="70" t="inlineStr">
        <is>
          <t>П</t>
        </is>
      </c>
    </row>
    <row r="111">
      <c r="A111" s="15">
        <f>IF(B111&lt;&gt;"", COUNTA($B$2:B111), "")</f>
        <v/>
      </c>
      <c r="B111" s="14" t="inlineStr">
        <is>
          <t>Термометр биметаллический</t>
        </is>
      </c>
      <c r="C111" s="11" t="inlineStr">
        <is>
          <t>БТ5</t>
        </is>
      </c>
      <c r="D111" s="10" t="n">
        <v>15041</v>
      </c>
      <c r="E111" s="10" t="n"/>
      <c r="F111" s="27" t="inlineStr">
        <is>
          <t>0…+120°С</t>
        </is>
      </c>
      <c r="G111" s="10" t="n">
        <v>1.5</v>
      </c>
      <c r="H111" s="10" t="inlineStr">
        <is>
          <t>Т воды на входе в котел №3</t>
        </is>
      </c>
      <c r="I111" s="27" t="inlineStr">
        <is>
          <t>Котельная</t>
        </is>
      </c>
      <c r="J111" s="15" t="inlineStr">
        <is>
          <t>АСУ,А и ТМ (КЦ № 6)</t>
        </is>
      </c>
      <c r="K111" s="10" t="n"/>
      <c r="L111" s="10" t="n">
        <v>24</v>
      </c>
      <c r="M111" s="3" t="inlineStr">
        <is>
          <t>25ДЯУ</t>
        </is>
      </c>
      <c r="N111" s="70" t="inlineStr">
        <is>
          <t>П</t>
        </is>
      </c>
    </row>
    <row r="112">
      <c r="A112" s="15">
        <f>IF(B112&lt;&gt;"", COUNTA($B$2:B112), "")</f>
        <v/>
      </c>
      <c r="B112" s="14" t="inlineStr">
        <is>
          <t>Термометр биметаллический</t>
        </is>
      </c>
      <c r="C112" s="11" t="inlineStr">
        <is>
          <t>БТ5</t>
        </is>
      </c>
      <c r="D112" s="10" t="n">
        <v>15029</v>
      </c>
      <c r="E112" s="10" t="n"/>
      <c r="F112" s="27" t="inlineStr">
        <is>
          <t>0…+160°С</t>
        </is>
      </c>
      <c r="G112" s="10" t="n">
        <v>1.5</v>
      </c>
      <c r="H112" s="10" t="inlineStr">
        <is>
          <t>Т воды на выходе котла №3</t>
        </is>
      </c>
      <c r="I112" s="27" t="inlineStr">
        <is>
          <t>Котельная</t>
        </is>
      </c>
      <c r="J112" s="15" t="inlineStr">
        <is>
          <t>АСУ,А и ТМ (КЦ № 6)</t>
        </is>
      </c>
      <c r="K112" s="10" t="n"/>
      <c r="L112" s="10" t="n">
        <v>24</v>
      </c>
      <c r="M112" s="3" t="inlineStr">
        <is>
          <t>25ДЯУ</t>
        </is>
      </c>
      <c r="N112" s="70" t="inlineStr">
        <is>
          <t>П</t>
        </is>
      </c>
    </row>
    <row r="113">
      <c r="A113" s="15">
        <f>IF(B113&lt;&gt;"", COUNTA($B$2:B113), "")</f>
        <v/>
      </c>
      <c r="B113" s="14" t="inlineStr">
        <is>
          <t>Термометр биметаллический</t>
        </is>
      </c>
      <c r="C113" s="11" t="inlineStr">
        <is>
          <t>БТ5</t>
        </is>
      </c>
      <c r="D113" s="10" t="n">
        <v>15033</v>
      </c>
      <c r="E113" s="10" t="n"/>
      <c r="F113" s="27" t="inlineStr">
        <is>
          <t>0…+160°С</t>
        </is>
      </c>
      <c r="G113" s="10" t="n">
        <v>1.5</v>
      </c>
      <c r="H113" s="10" t="inlineStr">
        <is>
          <t>Т воды в Т1</t>
        </is>
      </c>
      <c r="I113" s="27" t="inlineStr">
        <is>
          <t>Котельная</t>
        </is>
      </c>
      <c r="J113" s="15" t="inlineStr">
        <is>
          <t>АСУ,А и ТМ (КЦ № 6)</t>
        </is>
      </c>
      <c r="K113" s="10" t="n"/>
      <c r="L113" s="10" t="n">
        <v>24</v>
      </c>
      <c r="M113" s="3" t="inlineStr">
        <is>
          <t>25ДЯУ</t>
        </is>
      </c>
      <c r="N113" s="70" t="inlineStr">
        <is>
          <t>П</t>
        </is>
      </c>
    </row>
    <row r="114">
      <c r="A114" s="15">
        <f>IF(B114&lt;&gt;"", COUNTA($B$2:B114), "")</f>
        <v/>
      </c>
      <c r="B114" s="14" t="inlineStr">
        <is>
          <t>Термометр биметаллический</t>
        </is>
      </c>
      <c r="C114" s="11" t="inlineStr">
        <is>
          <t>БТ5</t>
        </is>
      </c>
      <c r="D114" s="10" t="n">
        <v>15044</v>
      </c>
      <c r="E114" s="10" t="n"/>
      <c r="F114" s="27" t="inlineStr">
        <is>
          <t>0…+120°С</t>
        </is>
      </c>
      <c r="G114" s="10" t="n">
        <v>1.5</v>
      </c>
      <c r="H114" s="10" t="inlineStr">
        <is>
          <t>Т воды в общем коллекторе Т2</t>
        </is>
      </c>
      <c r="I114" s="27" t="inlineStr">
        <is>
          <t>Котельная</t>
        </is>
      </c>
      <c r="J114" s="15" t="inlineStr">
        <is>
          <t>АСУ,А и ТМ (КЦ № 6)</t>
        </is>
      </c>
      <c r="K114" s="10" t="n"/>
      <c r="L114" s="10" t="n">
        <v>24</v>
      </c>
      <c r="M114" s="3" t="inlineStr">
        <is>
          <t>25ДЯУ</t>
        </is>
      </c>
      <c r="N114" s="70" t="inlineStr">
        <is>
          <t>П</t>
        </is>
      </c>
    </row>
    <row r="115">
      <c r="A115" s="15">
        <f>IF(B115&lt;&gt;"", COUNTA($B$2:B115), "")</f>
        <v/>
      </c>
      <c r="B115" s="14" t="inlineStr">
        <is>
          <t>Термометр биметаллический</t>
        </is>
      </c>
      <c r="C115" s="11" t="inlineStr">
        <is>
          <t>БТ5</t>
        </is>
      </c>
      <c r="D115" s="10" t="n">
        <v>15042</v>
      </c>
      <c r="E115" s="10" t="n"/>
      <c r="F115" s="27" t="inlineStr">
        <is>
          <t>0…+160°С</t>
        </is>
      </c>
      <c r="G115" s="10" t="n">
        <v>1.5</v>
      </c>
      <c r="H115" s="10" t="inlineStr">
        <is>
          <t>Т воды на выходе котельной</t>
        </is>
      </c>
      <c r="I115" s="27" t="inlineStr">
        <is>
          <t>Котельная</t>
        </is>
      </c>
      <c r="J115" s="15" t="inlineStr">
        <is>
          <t>АСУ,А и ТМ (КЦ № 6)</t>
        </is>
      </c>
      <c r="K115" s="10" t="n"/>
      <c r="L115" s="10" t="n">
        <v>24</v>
      </c>
      <c r="M115" s="3" t="inlineStr">
        <is>
          <t>25ДЯУ</t>
        </is>
      </c>
      <c r="N115" s="70" t="inlineStr">
        <is>
          <t>П</t>
        </is>
      </c>
    </row>
    <row r="116">
      <c r="A116" s="15">
        <f>IF(B116&lt;&gt;"", COUNTA($B$2:B116), "")</f>
        <v/>
      </c>
      <c r="B116" s="14" t="inlineStr">
        <is>
          <t>Термометр биметаллический</t>
        </is>
      </c>
      <c r="C116" s="11" t="inlineStr">
        <is>
          <t>БТ5</t>
        </is>
      </c>
      <c r="D116" s="10" t="n">
        <v>15036</v>
      </c>
      <c r="E116" s="10" t="n"/>
      <c r="F116" s="27" t="inlineStr">
        <is>
          <t>0…+120°С</t>
        </is>
      </c>
      <c r="G116" s="10" t="n">
        <v>1.5</v>
      </c>
      <c r="H116" s="10" t="inlineStr">
        <is>
          <t>Т воды на входе в котельную</t>
        </is>
      </c>
      <c r="I116" s="27" t="inlineStr">
        <is>
          <t>Котельная</t>
        </is>
      </c>
      <c r="J116" s="15" t="inlineStr">
        <is>
          <t>АСУ,А и ТМ (КЦ № 6)</t>
        </is>
      </c>
      <c r="K116" s="10" t="n"/>
      <c r="L116" s="10" t="n">
        <v>24</v>
      </c>
      <c r="M116" s="3" t="inlineStr">
        <is>
          <t>25ДЯУ</t>
        </is>
      </c>
      <c r="N116" s="70" t="inlineStr">
        <is>
          <t>П</t>
        </is>
      </c>
    </row>
    <row r="117">
      <c r="A117" s="15">
        <f>IF(B117&lt;&gt;"", COUNTA($B$2:B117), "")</f>
        <v/>
      </c>
      <c r="B117" s="14" t="inlineStr">
        <is>
          <t>Термометр биметаллический</t>
        </is>
      </c>
      <c r="C117" s="11" t="inlineStr">
        <is>
          <t>БТ5</t>
        </is>
      </c>
      <c r="D117" s="10" t="n">
        <v>15035</v>
      </c>
      <c r="E117" s="10" t="n"/>
      <c r="F117" s="27" t="inlineStr">
        <is>
          <t>0…+120°С</t>
        </is>
      </c>
      <c r="G117" s="10" t="n">
        <v>1.5</v>
      </c>
      <c r="H117" s="16" t="inlineStr">
        <is>
          <t>Т воды на входе котла №1</t>
        </is>
      </c>
      <c r="I117" s="27" t="inlineStr">
        <is>
          <t>Котельная</t>
        </is>
      </c>
      <c r="J117" s="15" t="inlineStr">
        <is>
          <t>АСУ,А и ТМ (КЦ № 6)</t>
        </is>
      </c>
      <c r="K117" s="10" t="n"/>
      <c r="L117" s="10" t="n">
        <v>24</v>
      </c>
      <c r="M117" s="3" t="inlineStr">
        <is>
          <t>25ДЯУ</t>
        </is>
      </c>
      <c r="N117" s="70" t="inlineStr">
        <is>
          <t>П</t>
        </is>
      </c>
    </row>
    <row r="118">
      <c r="A118" s="15">
        <f>IF(B118&lt;&gt;"", COUNTA($B$2:B118), "")</f>
        <v/>
      </c>
      <c r="B118" s="14" t="inlineStr">
        <is>
          <t>Термометр биметаллический</t>
        </is>
      </c>
      <c r="C118" s="11" t="inlineStr">
        <is>
          <t>БТ5</t>
        </is>
      </c>
      <c r="D118" s="10" t="n">
        <v>15071</v>
      </c>
      <c r="E118" s="10" t="n"/>
      <c r="F118" s="27" t="inlineStr">
        <is>
          <t>-40…+60°С</t>
        </is>
      </c>
      <c r="G118" s="10" t="n">
        <v>1.5</v>
      </c>
      <c r="H118" s="16" t="inlineStr">
        <is>
          <t>Т воды на ХВО перед фильтром</t>
        </is>
      </c>
      <c r="I118" s="27" t="inlineStr">
        <is>
          <t>Котельная</t>
        </is>
      </c>
      <c r="J118" s="15" t="inlineStr">
        <is>
          <t>АСУ,А и ТМ (КЦ № 6)</t>
        </is>
      </c>
      <c r="K118" s="10" t="n"/>
      <c r="L118" s="10" t="n">
        <v>24</v>
      </c>
      <c r="M118" s="3" t="inlineStr">
        <is>
          <t>25ДЯУ</t>
        </is>
      </c>
      <c r="N118" s="70" t="inlineStr">
        <is>
          <t>П</t>
        </is>
      </c>
    </row>
    <row r="119">
      <c r="A119" s="15">
        <f>IF(B119&lt;&gt;"", COUNTA($B$2:B119), "")</f>
        <v/>
      </c>
      <c r="B119" s="10" t="inlineStr">
        <is>
          <t>Счетчик газа</t>
        </is>
      </c>
      <c r="C119" s="10" t="inlineStr">
        <is>
          <t>G25</t>
        </is>
      </c>
      <c r="D119" s="10" t="n">
        <v>12031265</v>
      </c>
      <c r="E119" s="10" t="n">
        <v>2012</v>
      </c>
      <c r="F119" s="10" t="n"/>
      <c r="G119" s="10" t="n"/>
      <c r="H119" s="10" t="inlineStr">
        <is>
          <t>Счетчик газа на входе в котельную</t>
        </is>
      </c>
      <c r="I119" s="27" t="inlineStr">
        <is>
          <t>Котельная</t>
        </is>
      </c>
      <c r="J119" s="15" t="inlineStr">
        <is>
          <t>АСУ,А и ТМ (КЦ № 6)</t>
        </is>
      </c>
      <c r="K119" s="10" t="n"/>
      <c r="L119" s="10" t="n"/>
      <c r="M119" s="47" t="n"/>
      <c r="N119" s="10" t="n"/>
    </row>
    <row r="120">
      <c r="A120" s="15">
        <f>IF(B120&lt;&gt;"", COUNTA($B$2:B120), "")</f>
        <v/>
      </c>
      <c r="B120" s="10" t="inlineStr">
        <is>
          <t>Счетчик газа</t>
        </is>
      </c>
      <c r="C120" s="10" t="inlineStr">
        <is>
          <t>G40</t>
        </is>
      </c>
      <c r="D120" s="10" t="n">
        <v>12020926</v>
      </c>
      <c r="E120" s="10" t="n">
        <v>2012</v>
      </c>
      <c r="F120" s="10" t="n"/>
      <c r="G120" s="10" t="n"/>
      <c r="H120" s="10" t="inlineStr">
        <is>
          <t>Счетчик котла №1</t>
        </is>
      </c>
      <c r="I120" s="27" t="inlineStr">
        <is>
          <t>Котельная</t>
        </is>
      </c>
      <c r="J120" s="15" t="inlineStr">
        <is>
          <t>АСУ,А и ТМ (КЦ № 6)</t>
        </is>
      </c>
      <c r="K120" s="10" t="n"/>
      <c r="L120" s="10" t="n"/>
      <c r="M120" s="47" t="n"/>
      <c r="N120" s="10" t="n"/>
    </row>
    <row r="121">
      <c r="A121" s="15">
        <f>IF(B121&lt;&gt;"", COUNTA($B$2:B121), "")</f>
        <v/>
      </c>
      <c r="B121" s="10" t="inlineStr">
        <is>
          <t>Счетчик газа</t>
        </is>
      </c>
      <c r="C121" s="10" t="inlineStr">
        <is>
          <t>G40</t>
        </is>
      </c>
      <c r="D121" s="10" t="n">
        <v>12020705</v>
      </c>
      <c r="E121" s="10" t="n">
        <v>2012</v>
      </c>
      <c r="F121" s="10" t="n"/>
      <c r="G121" s="10" t="n"/>
      <c r="H121" s="10" t="inlineStr">
        <is>
          <t>Счетчик котла №2</t>
        </is>
      </c>
      <c r="I121" s="27" t="inlineStr">
        <is>
          <t>Котельная</t>
        </is>
      </c>
      <c r="J121" s="15" t="inlineStr">
        <is>
          <t>АСУ,А и ТМ (КЦ № 6)</t>
        </is>
      </c>
      <c r="K121" s="10" t="n"/>
      <c r="L121" s="10" t="n"/>
      <c r="M121" s="47" t="n"/>
      <c r="N121" s="10" t="n"/>
    </row>
    <row r="122">
      <c r="A122" s="15">
        <f>IF(B122&lt;&gt;"", COUNTA($B$2:B122), "")</f>
        <v/>
      </c>
      <c r="B122" s="10" t="inlineStr">
        <is>
          <t>Счетчик газа</t>
        </is>
      </c>
      <c r="C122" s="10" t="inlineStr">
        <is>
          <t>G40</t>
        </is>
      </c>
      <c r="D122" s="10" t="n">
        <v>12020928</v>
      </c>
      <c r="E122" s="10" t="n">
        <v>2012</v>
      </c>
      <c r="F122" s="10" t="n"/>
      <c r="G122" s="10" t="n"/>
      <c r="H122" s="10" t="inlineStr">
        <is>
          <t>Счетчик котла №3</t>
        </is>
      </c>
      <c r="I122" s="27" t="inlineStr">
        <is>
          <t>Котельная</t>
        </is>
      </c>
      <c r="J122" s="15" t="inlineStr">
        <is>
          <t>АСУ,А и ТМ (КЦ № 6)</t>
        </is>
      </c>
      <c r="K122" s="10" t="n"/>
      <c r="L122" s="10" t="n"/>
      <c r="M122" s="47" t="n"/>
      <c r="N122" s="10" t="n"/>
    </row>
    <row r="123" ht="22.5" customHeight="1" s="151">
      <c r="A123" s="15">
        <f>IF(B123&lt;&gt;"", COUNTA($B$2:B123), "")</f>
        <v/>
      </c>
      <c r="B123" s="73" t="inlineStr">
        <is>
          <t>Преобразователь избыточного давления</t>
        </is>
      </c>
      <c r="C123" s="10" t="inlineStr">
        <is>
          <t>В составе фильтра MADAS FGM DN50</t>
        </is>
      </c>
      <c r="D123" s="10" t="n">
        <v>2741</v>
      </c>
      <c r="E123" s="10" t="n"/>
      <c r="F123" s="10" t="inlineStr">
        <is>
          <t>0…20bar</t>
        </is>
      </c>
      <c r="G123" s="10" t="n">
        <v>1.5</v>
      </c>
      <c r="H123" s="10" t="inlineStr">
        <is>
          <t>Перепад давления на фильтре газа</t>
        </is>
      </c>
      <c r="I123" s="27" t="inlineStr">
        <is>
          <t>Котельная</t>
        </is>
      </c>
      <c r="J123" s="15" t="inlineStr">
        <is>
          <t>АСУ,А и ТМ (КЦ № 6)</t>
        </is>
      </c>
      <c r="K123" s="10" t="n"/>
      <c r="L123" s="10" t="n"/>
      <c r="M123" s="47" t="n"/>
      <c r="N123" s="47" t="n"/>
    </row>
    <row r="124">
      <c r="A124" s="15">
        <f>IF(B124&lt;&gt;"", COUNTA($B$2:B124), "")</f>
        <v/>
      </c>
      <c r="B124" s="28" t="inlineStr">
        <is>
          <t>Датчик температуры</t>
        </is>
      </c>
      <c r="C124" s="11" t="inlineStr">
        <is>
          <t>Элемер ТС-1088/6 Pt100</t>
        </is>
      </c>
      <c r="D124" s="10" t="n">
        <v>8190</v>
      </c>
      <c r="E124" s="10" t="n">
        <v>2012</v>
      </c>
      <c r="F124" s="27" t="inlineStr">
        <is>
          <t>­50…+200°С</t>
        </is>
      </c>
      <c r="G124" s="10" t="n"/>
      <c r="H124" s="10" t="inlineStr">
        <is>
          <t>Т воды в сливном колодце</t>
        </is>
      </c>
      <c r="I124" s="27" t="inlineStr">
        <is>
          <t>Котельная</t>
        </is>
      </c>
      <c r="J124" s="15" t="inlineStr">
        <is>
          <t>АСУ,А и ТМ (КЦ № 6)</t>
        </is>
      </c>
      <c r="K124" s="10" t="n"/>
      <c r="L124" s="10" t="n"/>
      <c r="M124" s="47" t="n"/>
      <c r="N124" s="47" t="n"/>
    </row>
    <row r="125">
      <c r="A125" s="15">
        <f>IF(B125&lt;&gt;"", COUNTA($B$2:B125), "")</f>
        <v/>
      </c>
      <c r="B125" s="28" t="inlineStr">
        <is>
          <t>Датчик температуры</t>
        </is>
      </c>
      <c r="C125" s="10" t="inlineStr">
        <is>
          <t>Взлет ТСПpt500</t>
        </is>
      </c>
      <c r="D125" s="10" t="n">
        <v>1142558</v>
      </c>
      <c r="E125" s="10" t="n"/>
      <c r="F125" s="11" t="inlineStr">
        <is>
          <t>0…+180°С</t>
        </is>
      </c>
      <c r="G125" s="10" t="n"/>
      <c r="H125" s="10" t="inlineStr">
        <is>
          <t>Т воды к потребителям теплосети</t>
        </is>
      </c>
      <c r="I125" s="27" t="inlineStr">
        <is>
          <t>Котельная</t>
        </is>
      </c>
      <c r="J125" s="15" t="inlineStr">
        <is>
          <t>АСУ,А и ТМ (КЦ № 6)</t>
        </is>
      </c>
      <c r="K125" s="111" t="n"/>
      <c r="L125" s="10" t="n"/>
      <c r="M125" s="47" t="n"/>
      <c r="N125" s="47" t="n"/>
    </row>
    <row r="126">
      <c r="A126" s="15">
        <f>IF(B126&lt;&gt;"", COUNTA($B$2:B126), "")</f>
        <v/>
      </c>
      <c r="B126" s="28" t="inlineStr">
        <is>
          <t>Датчик температуры</t>
        </is>
      </c>
      <c r="C126" s="10" t="inlineStr">
        <is>
          <t>Взлет ТСПpt500</t>
        </is>
      </c>
      <c r="D126" s="10" t="n">
        <v>1144959</v>
      </c>
      <c r="E126" s="10" t="n"/>
      <c r="F126" s="11" t="inlineStr">
        <is>
          <t>0…+180°С</t>
        </is>
      </c>
      <c r="G126" s="10" t="n"/>
      <c r="H126" s="10" t="inlineStr">
        <is>
          <t>Т воды от потребителям теплосети</t>
        </is>
      </c>
      <c r="I126" s="27" t="inlineStr">
        <is>
          <t>Котельная</t>
        </is>
      </c>
      <c r="J126" s="15" t="inlineStr">
        <is>
          <t>АСУ,А и ТМ (КЦ № 6)</t>
        </is>
      </c>
      <c r="K126" s="33" t="n"/>
      <c r="L126" s="33" t="n"/>
      <c r="M126" s="47" t="n"/>
      <c r="N126" s="10" t="n"/>
    </row>
    <row r="127">
      <c r="A127" s="15">
        <f>IF(B127&lt;&gt;"", COUNTA($B$2:B127), "")</f>
        <v/>
      </c>
      <c r="B127" s="28" t="inlineStr">
        <is>
          <t>Датчик температуры</t>
        </is>
      </c>
      <c r="C127" s="10" t="inlineStr">
        <is>
          <t>Взлет ТСПpt500</t>
        </is>
      </c>
      <c r="D127" s="10" t="n">
        <v>1206348</v>
      </c>
      <c r="E127" s="10" t="n"/>
      <c r="F127" s="11" t="inlineStr">
        <is>
          <t>0…+180°С</t>
        </is>
      </c>
      <c r="G127" s="10" t="n"/>
      <c r="H127" s="10" t="inlineStr">
        <is>
          <t>Т водопроводной воды</t>
        </is>
      </c>
      <c r="I127" s="27" t="inlineStr">
        <is>
          <t>Котельная</t>
        </is>
      </c>
      <c r="J127" s="15" t="inlineStr">
        <is>
          <t>АСУ,А и ТМ (КЦ № 6)</t>
        </is>
      </c>
      <c r="K127" s="33" t="n"/>
      <c r="L127" s="33" t="n"/>
      <c r="M127" s="47" t="n"/>
      <c r="N127" s="47" t="n"/>
    </row>
    <row r="128">
      <c r="A128" s="15">
        <f>IF(B128&lt;&gt;"", COUNTA($B$2:B128), "")</f>
        <v/>
      </c>
      <c r="B128" s="26" t="inlineStr">
        <is>
          <t>Расходомер электромагнитный</t>
        </is>
      </c>
      <c r="C128" s="10" t="inlineStr">
        <is>
          <t>Взлет ЭР ЭРСВ-420Ф</t>
        </is>
      </c>
      <c r="D128" s="10" t="n">
        <v>1150818</v>
      </c>
      <c r="E128" s="10" t="n"/>
      <c r="F128" s="11" t="n"/>
      <c r="G128" s="10" t="n"/>
      <c r="H128" s="10" t="inlineStr">
        <is>
          <t>Расход прямой воды</t>
        </is>
      </c>
      <c r="I128" s="27" t="inlineStr">
        <is>
          <t>Котельная</t>
        </is>
      </c>
      <c r="J128" s="15" t="inlineStr">
        <is>
          <t>АСУ,А и ТМ (КЦ № 6)</t>
        </is>
      </c>
      <c r="K128" s="47" t="n"/>
      <c r="L128" s="47" t="n"/>
      <c r="M128" s="47" t="n"/>
      <c r="N128" s="47" t="n"/>
    </row>
    <row r="129">
      <c r="A129" s="15">
        <f>IF(B129&lt;&gt;"", COUNTA($B$2:B129), "")</f>
        <v/>
      </c>
      <c r="B129" s="26" t="inlineStr">
        <is>
          <t>Расходомер электромагнитный</t>
        </is>
      </c>
      <c r="C129" s="10" t="inlineStr">
        <is>
          <t>Взлет ЭР ЭРСВ-420Ф</t>
        </is>
      </c>
      <c r="D129" s="10" t="n">
        <v>1151082</v>
      </c>
      <c r="E129" s="10" t="n"/>
      <c r="F129" s="11" t="n"/>
      <c r="G129" s="10" t="n"/>
      <c r="H129" s="10" t="inlineStr">
        <is>
          <t>Расход обратной воды</t>
        </is>
      </c>
      <c r="I129" s="27" t="inlineStr">
        <is>
          <t>Котельная</t>
        </is>
      </c>
      <c r="J129" s="15" t="inlineStr">
        <is>
          <t>АСУ,А и ТМ (КЦ № 6)</t>
        </is>
      </c>
      <c r="K129" s="47" t="n"/>
      <c r="L129" s="47" t="n"/>
      <c r="M129" s="47" t="n"/>
      <c r="N129" s="47" t="n"/>
    </row>
    <row r="130">
      <c r="A130" s="15">
        <f>IF(B130&lt;&gt;"", COUNTA($B$2:B130), "")</f>
        <v/>
      </c>
      <c r="B130" s="26" t="inlineStr">
        <is>
          <t>Расходомер электромагнитный</t>
        </is>
      </c>
      <c r="C130" s="10" t="inlineStr">
        <is>
          <t>Взлет ЭР ЭРСВ-420Ф</t>
        </is>
      </c>
      <c r="D130" s="10" t="n">
        <v>1101022</v>
      </c>
      <c r="E130" s="10" t="n"/>
      <c r="F130" s="11" t="n"/>
      <c r="G130" s="10" t="n"/>
      <c r="H130" s="10" t="inlineStr">
        <is>
          <t xml:space="preserve">Расход подпиточной воды </t>
        </is>
      </c>
      <c r="I130" s="27" t="inlineStr">
        <is>
          <t>Котельная</t>
        </is>
      </c>
      <c r="J130" s="15" t="inlineStr">
        <is>
          <t>АСУ,А и ТМ (КЦ № 6)</t>
        </is>
      </c>
      <c r="K130" s="47" t="n"/>
      <c r="L130" s="47" t="n"/>
      <c r="M130" s="47" t="n"/>
      <c r="N130" s="47" t="n"/>
    </row>
    <row r="131">
      <c r="A131" s="15">
        <f>IF(B131&lt;&gt;"", COUNTA($B$2:B131), "")</f>
        <v/>
      </c>
      <c r="B131" s="26" t="inlineStr">
        <is>
          <t>Тепловычислитель</t>
        </is>
      </c>
      <c r="C131" s="10" t="inlineStr">
        <is>
          <t>Взлет ТСРВ-027</t>
        </is>
      </c>
      <c r="D131" s="26" t="n">
        <v>1100137</v>
      </c>
      <c r="E131" s="10" t="n"/>
      <c r="F131" s="10" t="n"/>
      <c r="G131" s="10" t="n"/>
      <c r="H131" s="3" t="inlineStr">
        <is>
          <t>Расход воды в котельной</t>
        </is>
      </c>
      <c r="I131" s="27" t="inlineStr">
        <is>
          <t>Котельная</t>
        </is>
      </c>
      <c r="J131" s="15" t="inlineStr">
        <is>
          <t>АСУ,А и ТМ (КЦ № 6)</t>
        </is>
      </c>
      <c r="K131" s="15" t="n"/>
      <c r="L131" s="10" t="n"/>
      <c r="M131" s="47" t="n"/>
      <c r="N131" s="10" t="n"/>
    </row>
    <row r="132">
      <c r="A132" s="15">
        <f>IF(B132&lt;&gt;"", COUNTA($B$2:B132), "")</f>
        <v/>
      </c>
      <c r="B132" s="10" t="inlineStr">
        <is>
          <t>Счетчик воды</t>
        </is>
      </c>
      <c r="C132" s="10" t="inlineStr">
        <is>
          <t>itelma WFW2</t>
        </is>
      </c>
      <c r="D132" s="10" t="inlineStr">
        <is>
          <t>11-0978922</t>
        </is>
      </c>
      <c r="E132" s="10" t="n"/>
      <c r="F132" s="11" t="n"/>
      <c r="G132" s="10" t="n"/>
      <c r="H132" s="10" t="inlineStr">
        <is>
          <t>Расход воды на ХВО В5</t>
        </is>
      </c>
      <c r="I132" s="27" t="inlineStr">
        <is>
          <t>Котельная</t>
        </is>
      </c>
      <c r="J132" s="15" t="inlineStr">
        <is>
          <t>АСУ,А и ТМ (КЦ № 6)</t>
        </is>
      </c>
      <c r="K132" s="47" t="n"/>
      <c r="L132" s="47" t="n"/>
      <c r="M132" s="47" t="n"/>
      <c r="N132" s="47" t="n"/>
    </row>
    <row r="133">
      <c r="A133" s="107" t="n"/>
      <c r="B133" s="107" t="n"/>
      <c r="C133" s="107" t="n"/>
      <c r="D133" s="107" t="n"/>
      <c r="E133" s="107" t="n"/>
      <c r="F133" s="59" t="n"/>
      <c r="G133" s="107" t="n"/>
      <c r="H133" s="107" t="n"/>
      <c r="I133" s="107" t="n"/>
      <c r="J133" s="107" t="n"/>
    </row>
    <row r="134">
      <c r="A134" s="275" t="n"/>
      <c r="B134" s="275" t="n"/>
      <c r="C134" s="275" t="n"/>
      <c r="D134" s="275" t="n"/>
      <c r="E134" s="275" t="n"/>
      <c r="F134" s="113" t="n"/>
      <c r="G134" s="275" t="n"/>
      <c r="H134" s="275" t="n"/>
      <c r="I134" s="275" t="n"/>
      <c r="J134" s="275" t="n"/>
    </row>
    <row r="135">
      <c r="A135" s="275" t="n"/>
      <c r="B135" s="275" t="n"/>
      <c r="C135" s="275" t="n"/>
      <c r="D135" s="275" t="n"/>
      <c r="E135" s="275" t="n"/>
      <c r="F135" s="113" t="n"/>
      <c r="G135" s="275" t="n"/>
      <c r="H135" s="275" t="n"/>
      <c r="I135" s="275" t="n"/>
      <c r="J135" s="275" t="n"/>
    </row>
    <row r="136">
      <c r="A136" s="275" t="n"/>
      <c r="B136" s="275" t="n"/>
      <c r="C136" s="275" t="n"/>
      <c r="D136" s="275" t="n"/>
      <c r="E136" s="275" t="n"/>
      <c r="F136" s="113" t="n"/>
      <c r="G136" s="275" t="n"/>
      <c r="H136" s="275" t="n"/>
      <c r="I136" s="275" t="n"/>
      <c r="J136" s="275" t="n"/>
    </row>
    <row r="137">
      <c r="A137" s="275" t="n"/>
      <c r="B137" s="275" t="n"/>
      <c r="C137" s="275" t="n"/>
      <c r="D137" s="275" t="n"/>
      <c r="E137" s="275" t="n"/>
      <c r="F137" s="113" t="n"/>
      <c r="G137" s="275" t="n"/>
      <c r="H137" s="275" t="n"/>
      <c r="I137" s="275" t="n"/>
      <c r="J137" s="275" t="n"/>
    </row>
    <row r="138">
      <c r="A138" s="275" t="n"/>
      <c r="B138" s="275" t="n"/>
      <c r="C138" s="275" t="n"/>
      <c r="D138" s="275" t="n"/>
      <c r="E138" s="275" t="n"/>
      <c r="F138" s="113" t="n"/>
      <c r="G138" s="275" t="n"/>
      <c r="H138" s="275" t="n"/>
      <c r="I138" s="275" t="n"/>
      <c r="J138" s="275" t="n"/>
    </row>
    <row r="139">
      <c r="A139" s="275" t="n"/>
      <c r="B139" s="275" t="n"/>
      <c r="C139" s="275" t="n"/>
      <c r="D139" s="275" t="n"/>
      <c r="E139" s="275" t="n"/>
      <c r="F139" s="113" t="n"/>
      <c r="G139" s="275" t="n"/>
      <c r="H139" s="275" t="n"/>
      <c r="I139" s="275" t="n"/>
      <c r="J139" s="275" t="n"/>
    </row>
    <row r="140">
      <c r="A140" s="275" t="n"/>
      <c r="B140" s="275" t="n"/>
      <c r="C140" s="275" t="n"/>
      <c r="D140" s="275" t="n"/>
      <c r="E140" s="275" t="n"/>
      <c r="F140" s="113" t="n"/>
      <c r="G140" s="275" t="n"/>
      <c r="H140" s="275" t="n"/>
      <c r="I140" s="275" t="n"/>
      <c r="J140" s="275" t="n"/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5" right="0.25" top="0.75" bottom="0.75" header="0.3" footer="0.3"/>
  <pageSetup orientation="portrait" paperSize="9" scale="47"/>
</worksheet>
</file>

<file path=xl/worksheets/sheet11.xml><?xml version="1.0" encoding="utf-8"?>
<worksheet xmlns="http://schemas.openxmlformats.org/spreadsheetml/2006/main">
  <sheetPr codeName="Лист11">
    <outlinePr summaryBelow="1" summaryRight="1"/>
    <pageSetUpPr/>
  </sheetPr>
  <dimension ref="A1:N14"/>
  <sheetViews>
    <sheetView topLeftCell="D1" zoomScale="136" zoomScaleNormal="136" workbookViewId="0">
      <pane ySplit="1" topLeftCell="A20" activePane="bottomLeft" state="frozen"/>
      <selection pane="bottomLeft" activeCell="M2" sqref="M2"/>
    </sheetView>
  </sheetViews>
  <sheetFormatPr baseColWidth="8" defaultRowHeight="15"/>
  <cols>
    <col width="3.140625" bestFit="1" customWidth="1" style="151" min="1" max="1"/>
    <col width="19.85546875" bestFit="1" customWidth="1" style="151" min="2" max="2"/>
    <col width="17.5703125" customWidth="1" style="151" min="3" max="3"/>
    <col width="8" bestFit="1" customWidth="1" style="151" min="4" max="4"/>
    <col width="6.5703125" bestFit="1" customWidth="1" style="151" min="5" max="5"/>
    <col width="11.42578125" bestFit="1" customWidth="1" style="151" min="6" max="6"/>
    <col width="7.42578125" bestFit="1" customWidth="1" style="151" min="7" max="7"/>
    <col width="19.28515625" bestFit="1" customWidth="1" style="151" min="8" max="8"/>
    <col width="17.7109375" bestFit="1" customWidth="1" style="151" min="9" max="9"/>
    <col width="17.42578125" bestFit="1" customWidth="1" style="151" min="10" max="10"/>
    <col width="8" bestFit="1" customWidth="1" style="151" min="11" max="11"/>
    <col width="9" bestFit="1" customWidth="1" style="151" min="12" max="12"/>
    <col width="8.85546875" bestFit="1" customWidth="1" style="151" min="13" max="13"/>
    <col width="9" bestFit="1" customWidth="1" style="151" min="14" max="14"/>
    <col width="9.140625" customWidth="1" style="151" min="15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
номер</t>
        </is>
      </c>
      <c r="E1" s="3" t="inlineStr">
        <is>
          <t>Год
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>
      <c r="A2" s="15">
        <f>IF(B2&lt;&gt;"", COUNTA($B$2:B2), "")</f>
        <v/>
      </c>
      <c r="B2" s="280" t="inlineStr">
        <is>
          <t>Манометр технический</t>
        </is>
      </c>
      <c r="C2" s="15" t="inlineStr">
        <is>
          <t>ТМ5</t>
        </is>
      </c>
      <c r="D2" s="26" t="n">
        <v>13</v>
      </c>
      <c r="E2" s="10" t="n">
        <v>2010</v>
      </c>
      <c r="F2" s="26" t="inlineStr">
        <is>
          <t>0..1,6 MPa</t>
        </is>
      </c>
      <c r="G2" s="15" t="n">
        <v>1.5</v>
      </c>
      <c r="H2" s="3" t="inlineStr">
        <is>
          <t>Р на входе</t>
        </is>
      </c>
      <c r="I2" s="15" t="inlineStr">
        <is>
          <t>КОС, блок доп. очистки</t>
        </is>
      </c>
      <c r="J2" s="15" t="inlineStr">
        <is>
          <t>АСУ,А и ТМ (КЦ № 6)</t>
        </is>
      </c>
      <c r="K2" s="15" t="n">
        <v>2012</v>
      </c>
      <c r="L2" s="15" t="n">
        <v>12</v>
      </c>
      <c r="M2" s="3" t="inlineStr">
        <is>
          <t>3К2\6</t>
        </is>
      </c>
      <c r="N2" s="175" t="inlineStr">
        <is>
          <t>К</t>
        </is>
      </c>
    </row>
    <row r="3" ht="22.5" customHeight="1" s="151">
      <c r="A3" s="15">
        <f>IF(B3&lt;&gt;"", COUNTA($B$2:B3), "")</f>
        <v/>
      </c>
      <c r="B3" s="280" t="inlineStr">
        <is>
          <t>Манометр технический</t>
        </is>
      </c>
      <c r="C3" s="15" t="inlineStr">
        <is>
          <t>ТМ5</t>
        </is>
      </c>
      <c r="D3" s="26" t="n">
        <v>15486</v>
      </c>
      <c r="E3" s="10" t="n">
        <v>2010</v>
      </c>
      <c r="F3" s="26" t="inlineStr">
        <is>
          <t>0..1,6 MPa</t>
        </is>
      </c>
      <c r="G3" s="15" t="n">
        <v>1.5</v>
      </c>
      <c r="H3" s="3" t="inlineStr">
        <is>
          <t>Р после промывочного насоса</t>
        </is>
      </c>
      <c r="I3" s="15" t="inlineStr">
        <is>
          <t>КОС, блок доп. очистки</t>
        </is>
      </c>
      <c r="J3" s="15" t="inlineStr">
        <is>
          <t>АСУ,А и ТМ (КЦ № 6)</t>
        </is>
      </c>
      <c r="K3" s="15" t="n">
        <v>2012</v>
      </c>
      <c r="L3" s="15" t="n">
        <v>12</v>
      </c>
      <c r="M3" s="3" t="inlineStr">
        <is>
          <t>3К2\6</t>
        </is>
      </c>
      <c r="N3" s="175" t="inlineStr">
        <is>
          <t>К</t>
        </is>
      </c>
    </row>
    <row r="4">
      <c r="A4" s="15">
        <f>IF(B4&lt;&gt;"", COUNTA($B$2:B4), "")</f>
        <v/>
      </c>
      <c r="B4" s="280" t="inlineStr">
        <is>
          <t>Манометр технический</t>
        </is>
      </c>
      <c r="C4" s="15" t="inlineStr">
        <is>
          <t>ДМ02-100-1-G</t>
        </is>
      </c>
      <c r="D4" s="26" t="n">
        <v>15284</v>
      </c>
      <c r="E4" s="10" t="n">
        <v>2010</v>
      </c>
      <c r="F4" s="26" t="inlineStr">
        <is>
          <t>0..10 Bar</t>
        </is>
      </c>
      <c r="G4" s="15" t="n">
        <v>1.5</v>
      </c>
      <c r="H4" s="3" t="inlineStr">
        <is>
          <t>Р на выходе</t>
        </is>
      </c>
      <c r="I4" s="15" t="inlineStr">
        <is>
          <t>КОС, блок доп. очистки</t>
        </is>
      </c>
      <c r="J4" s="15" t="inlineStr">
        <is>
          <t>АСУ,А и ТМ (КЦ № 6)</t>
        </is>
      </c>
      <c r="K4" s="15" t="n">
        <v>2012</v>
      </c>
      <c r="L4" s="15" t="n">
        <v>12</v>
      </c>
      <c r="M4" s="3" t="inlineStr">
        <is>
          <t>3К2\6</t>
        </is>
      </c>
      <c r="N4" s="175" t="inlineStr">
        <is>
          <t>К</t>
        </is>
      </c>
    </row>
    <row r="5" ht="22.5" customHeight="1" s="151">
      <c r="A5" s="15">
        <f>IF(B5&lt;&gt;"", COUNTA($B$2:B5), "")</f>
        <v/>
      </c>
      <c r="B5" s="280" t="inlineStr">
        <is>
          <t>Манометр технический</t>
        </is>
      </c>
      <c r="C5" s="15" t="inlineStr">
        <is>
          <t>ТМ5</t>
        </is>
      </c>
      <c r="D5" s="26" t="n">
        <v>7095</v>
      </c>
      <c r="E5" s="10" t="n">
        <v>2010</v>
      </c>
      <c r="F5" s="26" t="inlineStr">
        <is>
          <t>0..1,6 MPa</t>
        </is>
      </c>
      <c r="G5" s="15" t="n">
        <v>1.5</v>
      </c>
      <c r="H5" s="3" t="inlineStr">
        <is>
          <t>Р воды на сорбционном фильтре 4 (на схеме 2.2)</t>
        </is>
      </c>
      <c r="I5" s="15" t="inlineStr">
        <is>
          <t>КОС, блок доп. очистки</t>
        </is>
      </c>
      <c r="J5" s="15" t="inlineStr">
        <is>
          <t>АСУ,А и ТМ (КЦ № 6)</t>
        </is>
      </c>
      <c r="K5" s="15" t="n">
        <v>2012</v>
      </c>
      <c r="L5" s="15" t="n">
        <v>12</v>
      </c>
      <c r="M5" s="3" t="inlineStr">
        <is>
          <t>3К2\6</t>
        </is>
      </c>
      <c r="N5" s="175" t="inlineStr">
        <is>
          <t>К</t>
        </is>
      </c>
    </row>
    <row r="6" ht="22.5" customHeight="1" s="151">
      <c r="A6" s="15">
        <f>IF(B6&lt;&gt;"", COUNTA($B$2:B6), "")</f>
        <v/>
      </c>
      <c r="B6" s="280" t="inlineStr">
        <is>
          <t>Манометр технический</t>
        </is>
      </c>
      <c r="C6" s="15" t="inlineStr">
        <is>
          <t>ТМ5</t>
        </is>
      </c>
      <c r="D6" s="26" t="n">
        <v>15427</v>
      </c>
      <c r="E6" s="10" t="n">
        <v>2010</v>
      </c>
      <c r="F6" s="26" t="inlineStr">
        <is>
          <t>0..16 кгс/см2</t>
        </is>
      </c>
      <c r="G6" s="15" t="n">
        <v>1.5</v>
      </c>
      <c r="H6" s="3" t="inlineStr">
        <is>
          <t>Р воды на осветлительном фильтре 2 (на схеме 2.1)</t>
        </is>
      </c>
      <c r="I6" s="15" t="inlineStr">
        <is>
          <t>КОС, блок доп. очистки</t>
        </is>
      </c>
      <c r="J6" s="15" t="inlineStr">
        <is>
          <t>АСУ,А и ТМ (КЦ № 6)</t>
        </is>
      </c>
      <c r="K6" s="15" t="n">
        <v>2012</v>
      </c>
      <c r="L6" s="15" t="n">
        <v>12</v>
      </c>
      <c r="M6" s="3" t="inlineStr">
        <is>
          <t>3К2\6</t>
        </is>
      </c>
      <c r="N6" s="175" t="inlineStr">
        <is>
          <t>К</t>
        </is>
      </c>
    </row>
    <row r="7" ht="22.5" customHeight="1" s="151">
      <c r="A7" s="15">
        <f>IF(B7&lt;&gt;"", COUNTA($B$2:B7), "")</f>
        <v/>
      </c>
      <c r="B7" s="280" t="inlineStr">
        <is>
          <t>Манометр технический</t>
        </is>
      </c>
      <c r="C7" s="15" t="inlineStr">
        <is>
          <t>ТМ5</t>
        </is>
      </c>
      <c r="D7" s="26" t="n">
        <v>7000202</v>
      </c>
      <c r="E7" s="10" t="n">
        <v>2010</v>
      </c>
      <c r="F7" s="26" t="inlineStr">
        <is>
          <t>0..1,6 MPa</t>
        </is>
      </c>
      <c r="G7" s="15" t="n">
        <v>1.5</v>
      </c>
      <c r="H7" s="3" t="inlineStr">
        <is>
          <t>Р воды на осветлительном фильтре 1 (на схеме 2.1)</t>
        </is>
      </c>
      <c r="I7" s="15" t="inlineStr">
        <is>
          <t>КОС, блок доп. очистки</t>
        </is>
      </c>
      <c r="J7" s="15" t="inlineStr">
        <is>
          <t>АСУ,А и ТМ (КЦ № 6)</t>
        </is>
      </c>
      <c r="K7" s="15" t="n">
        <v>2012</v>
      </c>
      <c r="L7" s="15" t="n">
        <v>12</v>
      </c>
      <c r="M7" s="3" t="inlineStr">
        <is>
          <t>3К2\6</t>
        </is>
      </c>
      <c r="N7" s="175" t="inlineStr">
        <is>
          <t>К</t>
        </is>
      </c>
    </row>
    <row r="8" ht="22.5" customHeight="1" s="151">
      <c r="A8" s="15">
        <f>IF(B8&lt;&gt;"", COUNTA($B$2:B8), "")</f>
        <v/>
      </c>
      <c r="B8" s="280" t="inlineStr">
        <is>
          <t>Манометр технический</t>
        </is>
      </c>
      <c r="C8" s="15" t="inlineStr">
        <is>
          <t>ТМ5</t>
        </is>
      </c>
      <c r="D8" s="26" t="n">
        <v>15428</v>
      </c>
      <c r="E8" s="10" t="n">
        <v>2010</v>
      </c>
      <c r="F8" s="26" t="inlineStr">
        <is>
          <t>0..16 кгс/см2</t>
        </is>
      </c>
      <c r="G8" s="15" t="n">
        <v>1.5</v>
      </c>
      <c r="H8" s="3" t="inlineStr">
        <is>
          <t>Р воды на сорбционном фильтре 3 (на схеме 2.2)</t>
        </is>
      </c>
      <c r="I8" s="15" t="inlineStr">
        <is>
          <t>КОС, блок доп. очистки</t>
        </is>
      </c>
      <c r="J8" s="15" t="inlineStr">
        <is>
          <t>АСУ,А и ТМ (КЦ № 6)</t>
        </is>
      </c>
      <c r="K8" s="15" t="n">
        <v>2012</v>
      </c>
      <c r="L8" s="15" t="n">
        <v>12</v>
      </c>
      <c r="M8" s="3" t="inlineStr">
        <is>
          <t>3К2\6</t>
        </is>
      </c>
      <c r="N8" s="175" t="inlineStr">
        <is>
          <t>К</t>
        </is>
      </c>
    </row>
    <row r="9" ht="22.5" customHeight="1" s="151">
      <c r="A9" s="15">
        <f>IF(B9&lt;&gt;"", COUNTA($B$2:B9), "")</f>
        <v/>
      </c>
      <c r="B9" s="280" t="inlineStr">
        <is>
          <t xml:space="preserve">Измеритель-регулятор </t>
        </is>
      </c>
      <c r="C9" s="15" t="inlineStr">
        <is>
          <t>Измеритель-регулятор ТРМ1</t>
        </is>
      </c>
      <c r="D9" s="15" t="inlineStr">
        <is>
          <t>б/н</t>
        </is>
      </c>
      <c r="E9" s="10" t="n">
        <v>2012</v>
      </c>
      <c r="F9" s="26" t="inlineStr">
        <is>
          <t>универсальный вход</t>
        </is>
      </c>
      <c r="G9" s="15" t="n"/>
      <c r="H9" s="15" t="n"/>
      <c r="I9" s="3" t="inlineStr">
        <is>
          <t>КОС</t>
        </is>
      </c>
      <c r="J9" s="15" t="inlineStr">
        <is>
          <t>АСУ,А и ТМ (КЦ № 6)</t>
        </is>
      </c>
      <c r="K9" s="15" t="n">
        <v>2012</v>
      </c>
      <c r="L9" s="15" t="n"/>
      <c r="M9" s="3" t="n"/>
      <c r="N9" s="15" t="n"/>
    </row>
    <row r="10">
      <c r="A10" s="15">
        <f>IF(B10&lt;&gt;"", COUNTA($B$2:B10), "")</f>
        <v/>
      </c>
      <c r="B10" s="280" t="inlineStr">
        <is>
          <t>Термометр сопротивления</t>
        </is>
      </c>
      <c r="C10" s="15" t="inlineStr">
        <is>
          <t>ТСМ МЕТРАН-203-04</t>
        </is>
      </c>
      <c r="D10" s="15" t="n">
        <v>2074421</v>
      </c>
      <c r="E10" s="10" t="n">
        <v>2012</v>
      </c>
      <c r="F10" s="26" t="n"/>
      <c r="G10" s="15" t="n"/>
      <c r="H10" s="3" t="inlineStr">
        <is>
          <t>Т воздуха в помещении</t>
        </is>
      </c>
      <c r="I10" s="15" t="inlineStr">
        <is>
          <t>КОС</t>
        </is>
      </c>
      <c r="J10" s="15" t="inlineStr">
        <is>
          <t>АСУ,А и ТМ (КЦ № 6)</t>
        </is>
      </c>
      <c r="K10" s="15" t="n">
        <v>2012</v>
      </c>
      <c r="L10" s="15" t="n"/>
      <c r="M10" s="3" t="n"/>
      <c r="N10" s="15" t="n"/>
    </row>
    <row r="11" ht="22.5" customHeight="1" s="151">
      <c r="A11" s="15">
        <f>IF(B11&lt;&gt;"", COUNTA($B$2:B11), "")</f>
        <v/>
      </c>
      <c r="B11" s="280" t="inlineStr">
        <is>
          <t>Расходомер электромагнитный</t>
        </is>
      </c>
      <c r="C11" s="15" t="inlineStr">
        <is>
          <t>Взлет ЭРСВ-420Ф</t>
        </is>
      </c>
      <c r="D11" s="15" t="n">
        <v>1320197</v>
      </c>
      <c r="E11" s="10" t="n">
        <v>2012</v>
      </c>
      <c r="F11" s="47" t="n"/>
      <c r="G11" s="47" t="n"/>
      <c r="H11" s="3" t="inlineStr">
        <is>
          <t>Расход сточных вод</t>
        </is>
      </c>
      <c r="I11" s="3" t="inlineStr">
        <is>
          <t>КОС</t>
        </is>
      </c>
      <c r="J11" s="15" t="inlineStr">
        <is>
          <t>АСУ,А и ТМ (КЦ № 6)</t>
        </is>
      </c>
      <c r="K11" s="15" t="n"/>
      <c r="L11" s="47" t="n"/>
      <c r="M11" s="3" t="n"/>
      <c r="N11" s="47" t="n"/>
    </row>
    <row r="12" ht="22.5" customHeight="1" s="151">
      <c r="A12" s="15">
        <f>IF(B12&lt;&gt;"", COUNTA($B$2:B12), "")</f>
        <v/>
      </c>
      <c r="B12" s="26" t="inlineStr">
        <is>
          <t>Расходомер счетчик ультразвуковой</t>
        </is>
      </c>
      <c r="C12" s="10" t="inlineStr">
        <is>
          <t>Взлет РСЛ</t>
        </is>
      </c>
      <c r="D12" s="26" t="n">
        <v>1200296</v>
      </c>
      <c r="E12" s="10" t="n">
        <v>2012</v>
      </c>
      <c r="F12" s="10" t="n"/>
      <c r="G12" s="10" t="n"/>
      <c r="H12" s="3" t="inlineStr">
        <is>
          <t>Расход очищенных сточных вод</t>
        </is>
      </c>
      <c r="I12" s="3" t="inlineStr">
        <is>
          <t>КОС</t>
        </is>
      </c>
      <c r="J12" s="15" t="inlineStr">
        <is>
          <t>АСУ,А и ТМ (КЦ № 6)</t>
        </is>
      </c>
      <c r="K12" s="15" t="n"/>
      <c r="L12" s="10" t="n"/>
      <c r="M12" s="3" t="n"/>
      <c r="N12" s="10" t="n"/>
    </row>
    <row r="13" ht="22.5" customHeight="1" s="151">
      <c r="A13" s="15">
        <f>IF(B13&lt;&gt;"", COUNTA($B$2:B13), "")</f>
        <v/>
      </c>
      <c r="B13" s="26" t="inlineStr">
        <is>
          <t>Тепловычислитель</t>
        </is>
      </c>
      <c r="C13" s="10" t="inlineStr">
        <is>
          <t>Взлет ТСРВ-034</t>
        </is>
      </c>
      <c r="D13" s="26" t="n">
        <v>1303083</v>
      </c>
      <c r="E13" s="10" t="n">
        <v>2012</v>
      </c>
      <c r="F13" s="10" t="n"/>
      <c r="G13" s="10" t="n"/>
      <c r="H13" s="3" t="inlineStr">
        <is>
          <t>Расход очищенных сточных вод</t>
        </is>
      </c>
      <c r="I13" s="3" t="inlineStr">
        <is>
          <t>КОС</t>
        </is>
      </c>
      <c r="J13" s="15" t="inlineStr">
        <is>
          <t>АСУ,А и ТМ (КЦ № 6)</t>
        </is>
      </c>
      <c r="K13" s="15" t="n"/>
      <c r="L13" s="10" t="n"/>
      <c r="M13" s="3" t="n"/>
      <c r="N13" s="10" t="n"/>
    </row>
    <row r="14" ht="22.5" customHeight="1" s="151">
      <c r="A14" s="15">
        <f>IF(B14&lt;&gt;"", COUNTA($B$2:B14), "")</f>
        <v/>
      </c>
      <c r="B14" s="280" t="inlineStr">
        <is>
          <t>Расходомер счетчик электромагнитный</t>
        </is>
      </c>
      <c r="C14" s="10" t="inlineStr">
        <is>
          <t>ТЭР ОФ-032</t>
        </is>
      </c>
      <c r="D14" s="26" t="n">
        <v>1200193</v>
      </c>
      <c r="E14" s="10" t="n">
        <v>2012</v>
      </c>
      <c r="F14" s="10" t="n"/>
      <c r="G14" s="10" t="n"/>
      <c r="H14" s="26" t="inlineStr">
        <is>
          <t>Расход бытовых сточных вод</t>
        </is>
      </c>
      <c r="I14" s="3" t="inlineStr">
        <is>
          <t>КОС</t>
        </is>
      </c>
      <c r="J14" s="15" t="inlineStr">
        <is>
          <t>АСУ,А и ТМ (КЦ № 6)</t>
        </is>
      </c>
      <c r="K14" s="15" t="n"/>
      <c r="L14" s="10" t="n"/>
      <c r="M14" s="3" t="n"/>
      <c r="N14" s="10" t="n"/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362204724409449" right="0.2362204724409449" top="0.2362204724409449" bottom="0.2362204724409449" header="0.3149606299212598" footer="0.3149606299212598"/>
  <pageSetup orientation="landscape" paperSize="9" fitToHeight="0"/>
</worksheet>
</file>

<file path=xl/worksheets/sheet12.xml><?xml version="1.0" encoding="utf-8"?>
<worksheet xmlns="http://schemas.openxmlformats.org/spreadsheetml/2006/main">
  <sheetPr codeName="Лист12">
    <outlinePr summaryBelow="1" summaryRight="1"/>
    <pageSetUpPr fitToPage="1"/>
  </sheetPr>
  <dimension ref="A1:O20"/>
  <sheetViews>
    <sheetView topLeftCell="B1" zoomScaleNormal="100" workbookViewId="0">
      <pane ySplit="1" topLeftCell="A2" activePane="bottomLeft" state="frozen"/>
      <selection pane="bottomLeft" activeCell="D7" sqref="D7"/>
    </sheetView>
  </sheetViews>
  <sheetFormatPr baseColWidth="8" defaultRowHeight="15"/>
  <cols>
    <col width="3.140625" bestFit="1" customWidth="1" style="151" min="1" max="1"/>
    <col width="18.42578125" bestFit="1" customWidth="1" style="151" min="2" max="2"/>
    <col width="12.28515625" bestFit="1" customWidth="1" style="151" min="3" max="3"/>
    <col width="8.42578125" bestFit="1" customWidth="1" style="151" min="4" max="4"/>
    <col width="6.5703125" bestFit="1" customWidth="1" style="151" min="5" max="5"/>
    <col width="8.28515625" bestFit="1" customWidth="1" style="151" min="6" max="6"/>
    <col width="7.42578125" bestFit="1" customWidth="1" style="151" min="7" max="7"/>
    <col width="25" bestFit="1" customWidth="1" style="151" min="8" max="8"/>
    <col width="8" bestFit="1" customWidth="1" style="151" min="9" max="9"/>
    <col width="17.42578125" bestFit="1" customWidth="1" style="151" min="10" max="10"/>
    <col width="8" bestFit="1" customWidth="1" style="151" min="11" max="11"/>
    <col width="9" bestFit="1" customWidth="1" style="151" min="12" max="12"/>
    <col width="8.85546875" bestFit="1" customWidth="1" style="151" min="13" max="13"/>
    <col width="9" bestFit="1" customWidth="1" style="151" min="14" max="1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
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 s="151">
      <c r="A2" s="242">
        <f>IF(B2&lt;&gt;"", COUNTA($B$2:B2), "")</f>
        <v/>
      </c>
      <c r="B2" s="23" t="inlineStr">
        <is>
          <t>Манометр технический</t>
        </is>
      </c>
      <c r="C2" s="24" t="inlineStr">
        <is>
          <t>ДМ02-100-1-G</t>
        </is>
      </c>
      <c r="D2" s="24" t="n">
        <v>15416</v>
      </c>
      <c r="E2" s="24" t="n">
        <v>2010</v>
      </c>
      <c r="F2" s="24" t="inlineStr">
        <is>
          <t>0..6 Bar</t>
        </is>
      </c>
      <c r="G2" s="24" t="n">
        <v>1.5</v>
      </c>
      <c r="H2" s="242" t="inlineStr">
        <is>
          <t>Р воды после Ф на входе НСХПВ</t>
        </is>
      </c>
      <c r="I2" s="62" t="inlineStr">
        <is>
          <t>НСХПВ</t>
        </is>
      </c>
      <c r="J2" s="242" t="inlineStr">
        <is>
          <t>АСУ,А и ТМ (КЦ № 6)</t>
        </is>
      </c>
      <c r="K2" s="242" t="n">
        <v>2012</v>
      </c>
      <c r="L2" s="242" t="n">
        <v>12</v>
      </c>
      <c r="M2" s="22" t="inlineStr">
        <is>
          <t>1К26</t>
        </is>
      </c>
      <c r="N2" s="51" t="inlineStr">
        <is>
          <t>К</t>
        </is>
      </c>
    </row>
    <row r="3" s="151">
      <c r="A3" s="242">
        <f>IF(B3&lt;&gt;"", COUNTA($B$2:B3), "")</f>
        <v/>
      </c>
      <c r="B3" s="23" t="inlineStr">
        <is>
          <t>Манометр технический</t>
        </is>
      </c>
      <c r="C3" s="24" t="inlineStr">
        <is>
          <t>ДМ02-100-1-G</t>
        </is>
      </c>
      <c r="D3" s="64" t="inlineStr">
        <is>
          <t>15154</t>
        </is>
      </c>
      <c r="E3" s="24" t="n">
        <v>2010</v>
      </c>
      <c r="F3" s="24" t="inlineStr">
        <is>
          <t>0..6 Bar</t>
        </is>
      </c>
      <c r="G3" s="24" t="n">
        <v>1.5</v>
      </c>
      <c r="H3" s="242" t="inlineStr">
        <is>
          <t>Р воды до Ф на входе НСХПВ</t>
        </is>
      </c>
      <c r="I3" s="62" t="inlineStr">
        <is>
          <t>НСХПВ</t>
        </is>
      </c>
      <c r="J3" s="242" t="inlineStr">
        <is>
          <t>АСУ,А и ТМ (КЦ № 6)</t>
        </is>
      </c>
      <c r="K3" s="242" t="n">
        <v>2012</v>
      </c>
      <c r="L3" s="242" t="n">
        <v>12</v>
      </c>
      <c r="M3" s="22" t="inlineStr">
        <is>
          <t>1К26</t>
        </is>
      </c>
      <c r="N3" s="51" t="inlineStr">
        <is>
          <t>К</t>
        </is>
      </c>
    </row>
    <row r="4" s="151">
      <c r="A4" s="242">
        <f>IF(B4&lt;&gt;"", COUNTA($B$2:B4), "")</f>
        <v/>
      </c>
      <c r="B4" s="23" t="inlineStr">
        <is>
          <t>Манометр технический</t>
        </is>
      </c>
      <c r="C4" s="24" t="inlineStr">
        <is>
          <t>ДМ02-100-1-G</t>
        </is>
      </c>
      <c r="D4" s="64" t="inlineStr">
        <is>
          <t>15205</t>
        </is>
      </c>
      <c r="E4" s="24" t="n">
        <v>2010</v>
      </c>
      <c r="F4" s="24" t="inlineStr">
        <is>
          <t>0..6 Bar</t>
        </is>
      </c>
      <c r="G4" s="24" t="n">
        <v>1.5</v>
      </c>
      <c r="H4" s="242" t="inlineStr">
        <is>
          <t>Р воды после Ф на входе НСХПВ</t>
        </is>
      </c>
      <c r="I4" s="62" t="inlineStr">
        <is>
          <t>НСХПВ</t>
        </is>
      </c>
      <c r="J4" s="242" t="inlineStr">
        <is>
          <t>АСУ,А и ТМ (КЦ № 6)</t>
        </is>
      </c>
      <c r="K4" s="242" t="n">
        <v>2012</v>
      </c>
      <c r="L4" s="242" t="n">
        <v>12</v>
      </c>
      <c r="M4" s="22" t="inlineStr">
        <is>
          <t>1К26</t>
        </is>
      </c>
      <c r="N4" s="51" t="inlineStr">
        <is>
          <t>К</t>
        </is>
      </c>
    </row>
    <row r="5" s="151">
      <c r="A5" s="242">
        <f>IF(B5&lt;&gt;"", COUNTA($B$2:B5), "")</f>
        <v/>
      </c>
      <c r="B5" s="23" t="inlineStr">
        <is>
          <t>Манометр технический</t>
        </is>
      </c>
      <c r="C5" s="24" t="inlineStr">
        <is>
          <t>ДМ8008-ВУ-У2</t>
        </is>
      </c>
      <c r="D5" s="64" t="inlineStr">
        <is>
          <t>15584</t>
        </is>
      </c>
      <c r="E5" s="24" t="n">
        <v>2010</v>
      </c>
      <c r="F5" s="24" t="inlineStr">
        <is>
          <t>0..6 Bar</t>
        </is>
      </c>
      <c r="G5" s="24" t="n">
        <v>1.5</v>
      </c>
      <c r="H5" s="242" t="inlineStr">
        <is>
          <t>Р воды  до Ф на входе НСХПВ</t>
        </is>
      </c>
      <c r="I5" s="62" t="inlineStr">
        <is>
          <t>НСХПВ</t>
        </is>
      </c>
      <c r="J5" s="242" t="inlineStr">
        <is>
          <t>АСУ,А и ТМ (КЦ № 6)</t>
        </is>
      </c>
      <c r="K5" s="242" t="n">
        <v>2012</v>
      </c>
      <c r="L5" s="242" t="n">
        <v>12</v>
      </c>
      <c r="M5" s="22" t="inlineStr">
        <is>
          <t>1К26</t>
        </is>
      </c>
      <c r="N5" s="51" t="inlineStr">
        <is>
          <t>К</t>
        </is>
      </c>
    </row>
    <row r="6" ht="22.5" customHeight="1" s="151">
      <c r="A6" s="242">
        <f>IF(B6&lt;&gt;"", COUNTA($B$2:B6), "")</f>
        <v/>
      </c>
      <c r="B6" s="23" t="inlineStr">
        <is>
          <t>Манометр технический</t>
        </is>
      </c>
      <c r="C6" s="24" t="inlineStr">
        <is>
          <t>ДМ02-100-1-G</t>
        </is>
      </c>
      <c r="D6" s="64" t="inlineStr">
        <is>
          <t>15585</t>
        </is>
      </c>
      <c r="E6" s="24" t="n">
        <v>2010</v>
      </c>
      <c r="F6" s="50" t="inlineStr">
        <is>
          <t>-1..24 Bar</t>
        </is>
      </c>
      <c r="G6" s="65" t="n">
        <v>1.5</v>
      </c>
      <c r="H6" s="242" t="inlineStr">
        <is>
          <t>Р воды перед насосной станцией подачи исходной воды</t>
        </is>
      </c>
      <c r="I6" s="62" t="inlineStr">
        <is>
          <t>НСХПВ</t>
        </is>
      </c>
      <c r="J6" s="242" t="inlineStr">
        <is>
          <t>АСУ,А и ТМ (КЦ № 6)</t>
        </is>
      </c>
      <c r="K6" s="242" t="n">
        <v>2012</v>
      </c>
      <c r="L6" s="242" t="n">
        <v>12</v>
      </c>
      <c r="M6" s="22" t="inlineStr">
        <is>
          <t>1К26</t>
        </is>
      </c>
      <c r="N6" s="51" t="inlineStr">
        <is>
          <t>К</t>
        </is>
      </c>
    </row>
    <row r="7" ht="22.5" customHeight="1" s="151">
      <c r="A7" s="242">
        <f>IF(B7&lt;&gt;"", COUNTA($B$2:B7), "")</f>
        <v/>
      </c>
      <c r="B7" s="23" t="inlineStr">
        <is>
          <t>Манометр технический</t>
        </is>
      </c>
      <c r="C7" s="24" t="inlineStr">
        <is>
          <t>ДМ8008-ВУ-У2</t>
        </is>
      </c>
      <c r="D7" s="64" t="inlineStr">
        <is>
          <t>50291</t>
        </is>
      </c>
      <c r="E7" s="24" t="n">
        <v>2012</v>
      </c>
      <c r="F7" s="24" t="inlineStr">
        <is>
          <t>0..6 Bar</t>
        </is>
      </c>
      <c r="G7" s="65" t="n">
        <v>1.5</v>
      </c>
      <c r="H7" s="242" t="inlineStr">
        <is>
          <t>Р воды после насосной станции подачи исходной воды</t>
        </is>
      </c>
      <c r="I7" s="62" t="inlineStr">
        <is>
          <t>НСХПВ</t>
        </is>
      </c>
      <c r="J7" s="242" t="inlineStr">
        <is>
          <t>АСУ,А и ТМ (КЦ № 6)</t>
        </is>
      </c>
      <c r="K7" s="242" t="n">
        <v>2012</v>
      </c>
      <c r="L7" s="242" t="n">
        <v>12</v>
      </c>
      <c r="M7" s="22" t="inlineStr">
        <is>
          <t>1К26</t>
        </is>
      </c>
      <c r="N7" s="51" t="inlineStr">
        <is>
          <t>К</t>
        </is>
      </c>
    </row>
    <row r="8" ht="22.5" customHeight="1" s="151">
      <c r="A8" s="242">
        <f>IF(B8&lt;&gt;"", COUNTA($B$2:B8), "")</f>
        <v/>
      </c>
      <c r="B8" s="23" t="inlineStr">
        <is>
          <t>Манометр технический</t>
        </is>
      </c>
      <c r="C8" s="24" t="inlineStr">
        <is>
          <t>ДМ02-100-1-G</t>
        </is>
      </c>
      <c r="D8" s="64" t="inlineStr">
        <is>
          <t>15206</t>
        </is>
      </c>
      <c r="E8" s="24" t="n">
        <v>2010</v>
      </c>
      <c r="F8" s="24" t="inlineStr">
        <is>
          <t>0..6 Bar</t>
        </is>
      </c>
      <c r="G8" s="65" t="n">
        <v>1.5</v>
      </c>
      <c r="H8" s="242" t="inlineStr">
        <is>
          <t>Р воды перед фильтром грубой очистки № 1</t>
        </is>
      </c>
      <c r="I8" s="62" t="inlineStr">
        <is>
          <t>НСХПВ</t>
        </is>
      </c>
      <c r="J8" s="242" t="inlineStr">
        <is>
          <t>АСУ,А и ТМ (КЦ № 6)</t>
        </is>
      </c>
      <c r="K8" s="242" t="n">
        <v>2012</v>
      </c>
      <c r="L8" s="242" t="n">
        <v>12</v>
      </c>
      <c r="M8" s="22" t="inlineStr">
        <is>
          <t>1К26</t>
        </is>
      </c>
      <c r="N8" s="51" t="inlineStr">
        <is>
          <t>К</t>
        </is>
      </c>
    </row>
    <row r="9" ht="22.5" customHeight="1" s="151">
      <c r="A9" s="242">
        <f>IF(B9&lt;&gt;"", COUNTA($B$2:B9), "")</f>
        <v/>
      </c>
      <c r="B9" s="23" t="inlineStr">
        <is>
          <t>Манометр технический</t>
        </is>
      </c>
      <c r="C9" s="24" t="inlineStr">
        <is>
          <t>ДМ02-100-1-G</t>
        </is>
      </c>
      <c r="D9" s="64" t="inlineStr">
        <is>
          <t>15152</t>
        </is>
      </c>
      <c r="E9" s="24" t="n">
        <v>2010</v>
      </c>
      <c r="F9" s="24" t="inlineStr">
        <is>
          <t>0..6 Bar</t>
        </is>
      </c>
      <c r="G9" s="65" t="n">
        <v>1.5</v>
      </c>
      <c r="H9" s="242" t="inlineStr">
        <is>
          <t>Р воды после фильтра грубой очистки № 1</t>
        </is>
      </c>
      <c r="I9" s="62" t="inlineStr">
        <is>
          <t>НСХПВ</t>
        </is>
      </c>
      <c r="J9" s="242" t="inlineStr">
        <is>
          <t>АСУ,А и ТМ (КЦ № 6)</t>
        </is>
      </c>
      <c r="K9" s="242" t="n">
        <v>2012</v>
      </c>
      <c r="L9" s="242" t="n">
        <v>12</v>
      </c>
      <c r="M9" s="22" t="inlineStr">
        <is>
          <t>1К26</t>
        </is>
      </c>
      <c r="N9" s="51" t="inlineStr">
        <is>
          <t>К</t>
        </is>
      </c>
    </row>
    <row r="10" ht="22.5" customHeight="1" s="151">
      <c r="A10" s="242">
        <f>IF(B10&lt;&gt;"", COUNTA($B$2:B10), "")</f>
        <v/>
      </c>
      <c r="B10" s="23" t="inlineStr">
        <is>
          <t>Манометр технический</t>
        </is>
      </c>
      <c r="C10" s="24" t="inlineStr">
        <is>
          <t>ДМ02-100-1-G</t>
        </is>
      </c>
      <c r="D10" s="64" t="inlineStr">
        <is>
          <t>15187</t>
        </is>
      </c>
      <c r="E10" s="24" t="n">
        <v>2010</v>
      </c>
      <c r="F10" s="24" t="inlineStr">
        <is>
          <t>0..6 Bar</t>
        </is>
      </c>
      <c r="G10" s="65" t="n">
        <v>1.5</v>
      </c>
      <c r="H10" s="242" t="inlineStr">
        <is>
          <t>Р воды перед фильтром грубой очистки № 2</t>
        </is>
      </c>
      <c r="I10" s="62" t="inlineStr">
        <is>
          <t>НСХПВ</t>
        </is>
      </c>
      <c r="J10" s="242" t="inlineStr">
        <is>
          <t>АСУ,А и ТМ (КЦ № 6)</t>
        </is>
      </c>
      <c r="K10" s="242" t="n">
        <v>2012</v>
      </c>
      <c r="L10" s="242" t="n">
        <v>12</v>
      </c>
      <c r="M10" s="22" t="inlineStr">
        <is>
          <t>1К26</t>
        </is>
      </c>
      <c r="N10" s="51" t="inlineStr">
        <is>
          <t>К</t>
        </is>
      </c>
    </row>
    <row r="11" ht="22.5" customHeight="1" s="151">
      <c r="A11" s="242">
        <f>IF(B11&lt;&gt;"", COUNTA($B$2:B11), "")</f>
        <v/>
      </c>
      <c r="B11" s="23" t="inlineStr">
        <is>
          <t>Манометр технический</t>
        </is>
      </c>
      <c r="C11" s="24" t="inlineStr">
        <is>
          <t>ДМ02-100-1-G</t>
        </is>
      </c>
      <c r="D11" s="64" t="inlineStr">
        <is>
          <t>15185</t>
        </is>
      </c>
      <c r="E11" s="24" t="n">
        <v>2010</v>
      </c>
      <c r="F11" s="24" t="inlineStr">
        <is>
          <t>0..6 Bar</t>
        </is>
      </c>
      <c r="G11" s="65" t="n">
        <v>1.5</v>
      </c>
      <c r="H11" s="242" t="inlineStr">
        <is>
          <t>Р воды после фильтра грубой очистки № 2</t>
        </is>
      </c>
      <c r="I11" s="62" t="inlineStr">
        <is>
          <t>НСХПВ</t>
        </is>
      </c>
      <c r="J11" s="242" t="inlineStr">
        <is>
          <t>АСУ,А и ТМ (КЦ № 6)</t>
        </is>
      </c>
      <c r="K11" s="242" t="n">
        <v>2012</v>
      </c>
      <c r="L11" s="242" t="n">
        <v>12</v>
      </c>
      <c r="M11" s="22" t="inlineStr">
        <is>
          <t>1К26</t>
        </is>
      </c>
      <c r="N11" s="51" t="inlineStr">
        <is>
          <t>К</t>
        </is>
      </c>
    </row>
    <row r="12" ht="22.5" customHeight="1" s="151">
      <c r="A12" s="242">
        <f>IF(B12&lt;&gt;"", COUNTA($B$2:B12), "")</f>
        <v/>
      </c>
      <c r="B12" s="23" t="inlineStr">
        <is>
          <t>Манометр технический</t>
        </is>
      </c>
      <c r="C12" s="24" t="inlineStr">
        <is>
          <t>ДМ02-100-1-G</t>
        </is>
      </c>
      <c r="D12" s="64" t="inlineStr">
        <is>
          <t>15156</t>
        </is>
      </c>
      <c r="E12" s="24" t="n">
        <v>2010</v>
      </c>
      <c r="F12" s="24" t="inlineStr">
        <is>
          <t>0..6 Bar</t>
        </is>
      </c>
      <c r="G12" s="65" t="n">
        <v>1.5</v>
      </c>
      <c r="H12" s="242" t="inlineStr">
        <is>
          <t>Р воды перед фильтром сорбционным</t>
        </is>
      </c>
      <c r="I12" s="62" t="inlineStr">
        <is>
          <t>НСХПВ</t>
        </is>
      </c>
      <c r="J12" s="242" t="inlineStr">
        <is>
          <t>АСУ,А и ТМ (КЦ № 6)</t>
        </is>
      </c>
      <c r="K12" s="242" t="n">
        <v>2012</v>
      </c>
      <c r="L12" s="242" t="n">
        <v>12</v>
      </c>
      <c r="M12" s="22" t="inlineStr">
        <is>
          <t>1К26</t>
        </is>
      </c>
      <c r="N12" s="51" t="inlineStr">
        <is>
          <t>К</t>
        </is>
      </c>
    </row>
    <row r="13" ht="22.5" customHeight="1" s="151">
      <c r="A13" s="242">
        <f>IF(B13&lt;&gt;"", COUNTA($B$2:B13), "")</f>
        <v/>
      </c>
      <c r="B13" s="23" t="inlineStr">
        <is>
          <t>Манометр технический</t>
        </is>
      </c>
      <c r="C13" s="24" t="inlineStr">
        <is>
          <t>ДМ02-100-1-G</t>
        </is>
      </c>
      <c r="D13" s="64" t="inlineStr">
        <is>
          <t>15437</t>
        </is>
      </c>
      <c r="E13" s="24" t="n">
        <v>2010</v>
      </c>
      <c r="F13" s="24" t="inlineStr">
        <is>
          <t>0..6 Bar</t>
        </is>
      </c>
      <c r="G13" s="65" t="n">
        <v>1.5</v>
      </c>
      <c r="H13" s="242" t="inlineStr">
        <is>
          <t>Р воды после фильтра сорбционного</t>
        </is>
      </c>
      <c r="I13" s="62" t="inlineStr">
        <is>
          <t>НСХПВ</t>
        </is>
      </c>
      <c r="J13" s="242" t="inlineStr">
        <is>
          <t>АСУ,А и ТМ (КЦ № 6)</t>
        </is>
      </c>
      <c r="K13" s="242" t="n">
        <v>2012</v>
      </c>
      <c r="L13" s="242" t="n">
        <v>12</v>
      </c>
      <c r="M13" s="22" t="inlineStr">
        <is>
          <t>1К26</t>
        </is>
      </c>
      <c r="N13" s="51" t="inlineStr">
        <is>
          <t>К</t>
        </is>
      </c>
    </row>
    <row r="14" ht="22.5" customHeight="1" s="151">
      <c r="A14" s="242">
        <f>IF(B14&lt;&gt;"", COUNTA($B$2:B14), "")</f>
        <v/>
      </c>
      <c r="B14" s="23" t="inlineStr">
        <is>
          <t>Манометр технический</t>
        </is>
      </c>
      <c r="C14" s="24" t="inlineStr">
        <is>
          <t>ДМ02-100-1-G</t>
        </is>
      </c>
      <c r="D14" s="64" t="inlineStr">
        <is>
          <t>15153</t>
        </is>
      </c>
      <c r="E14" s="24" t="n">
        <v>2010</v>
      </c>
      <c r="F14" s="24" t="inlineStr">
        <is>
          <t>0..6 Bar</t>
        </is>
      </c>
      <c r="G14" s="65" t="n">
        <v>1.5</v>
      </c>
      <c r="H14" s="242" t="inlineStr">
        <is>
          <t>Р воды после промывочных насосов</t>
        </is>
      </c>
      <c r="I14" s="62" t="inlineStr">
        <is>
          <t>НСХПВ</t>
        </is>
      </c>
      <c r="J14" s="242" t="inlineStr">
        <is>
          <t>АСУ,А и ТМ (КЦ № 6)</t>
        </is>
      </c>
      <c r="K14" s="242" t="n">
        <v>2012</v>
      </c>
      <c r="L14" s="242" t="n">
        <v>12</v>
      </c>
      <c r="M14" s="22" t="inlineStr">
        <is>
          <t>1К26</t>
        </is>
      </c>
      <c r="N14" s="51" t="inlineStr">
        <is>
          <t>К</t>
        </is>
      </c>
    </row>
    <row r="15" s="151">
      <c r="A15" s="242">
        <f>IF(B15&lt;&gt;"", COUNTA($B$2:B15), "")</f>
        <v/>
      </c>
      <c r="B15" s="23" t="inlineStr">
        <is>
          <t>Манометр технический</t>
        </is>
      </c>
      <c r="C15" s="24" t="inlineStr">
        <is>
          <t>ДМ02-100-1-G</t>
        </is>
      </c>
      <c r="D15" s="64" t="inlineStr">
        <is>
          <t>15155</t>
        </is>
      </c>
      <c r="E15" s="24" t="n">
        <v>2010</v>
      </c>
      <c r="F15" s="24" t="inlineStr">
        <is>
          <t>0..6 Bar</t>
        </is>
      </c>
      <c r="G15" s="65" t="n">
        <v>1.5</v>
      </c>
      <c r="H15" s="242" t="inlineStr">
        <is>
          <t>Р воды перед ОСМОСом</t>
        </is>
      </c>
      <c r="I15" s="62" t="inlineStr">
        <is>
          <t>НСХПВ</t>
        </is>
      </c>
      <c r="J15" s="242" t="inlineStr">
        <is>
          <t>АСУ,А и ТМ (КЦ № 6)</t>
        </is>
      </c>
      <c r="K15" s="242" t="n">
        <v>2012</v>
      </c>
      <c r="L15" s="242" t="n">
        <v>12</v>
      </c>
      <c r="M15" s="22" t="inlineStr">
        <is>
          <t>1К26</t>
        </is>
      </c>
      <c r="N15" s="51" t="inlineStr">
        <is>
          <t>К</t>
        </is>
      </c>
    </row>
    <row r="16" s="151">
      <c r="A16" s="242">
        <f>IF(B16&lt;&gt;"", COUNTA($B$2:B16), "")</f>
        <v/>
      </c>
      <c r="B16" s="23" t="inlineStr">
        <is>
          <t>Манометр технический</t>
        </is>
      </c>
      <c r="C16" s="24" t="inlineStr">
        <is>
          <t>ДМ02-100-1-G</t>
        </is>
      </c>
      <c r="D16" s="64" t="inlineStr">
        <is>
          <t>15418</t>
        </is>
      </c>
      <c r="E16" s="24" t="n">
        <v>2010</v>
      </c>
      <c r="F16" s="24" t="inlineStr">
        <is>
          <t>0..6 Bar</t>
        </is>
      </c>
      <c r="G16" s="65" t="n">
        <v>1.5</v>
      </c>
      <c r="H16" s="242" t="inlineStr">
        <is>
          <t>Р воды на выходе НСХПВ</t>
        </is>
      </c>
      <c r="I16" s="62" t="inlineStr">
        <is>
          <t>НСХПВ</t>
        </is>
      </c>
      <c r="J16" s="242" t="inlineStr">
        <is>
          <t>АСУ,А и ТМ (КЦ № 6)</t>
        </is>
      </c>
      <c r="K16" s="242" t="n">
        <v>2012</v>
      </c>
      <c r="L16" s="242" t="n">
        <v>12</v>
      </c>
      <c r="M16" s="22" t="inlineStr">
        <is>
          <t>1К26</t>
        </is>
      </c>
      <c r="N16" s="51" t="inlineStr">
        <is>
          <t>К</t>
        </is>
      </c>
    </row>
    <row r="17" ht="22.5" customHeight="1" s="151">
      <c r="A17" s="242">
        <f>IF(B17&lt;&gt;"", COUNTA($B$2:B17), "")</f>
        <v/>
      </c>
      <c r="B17" s="23" t="inlineStr">
        <is>
          <t>Манометр технический</t>
        </is>
      </c>
      <c r="C17" s="24" t="inlineStr">
        <is>
          <t>ДМ02-100-1-G</t>
        </is>
      </c>
      <c r="D17" s="64" t="inlineStr">
        <is>
          <t>15510</t>
        </is>
      </c>
      <c r="E17" s="24" t="n">
        <v>2010</v>
      </c>
      <c r="F17" s="50" t="inlineStr">
        <is>
          <t>-1..24 Bar</t>
        </is>
      </c>
      <c r="G17" s="65" t="n">
        <v>1.5</v>
      </c>
      <c r="H17" s="242" t="inlineStr">
        <is>
          <t>Р воды на входе в насосную станцию III подъема</t>
        </is>
      </c>
      <c r="I17" s="62" t="inlineStr">
        <is>
          <t>НСХПВ</t>
        </is>
      </c>
      <c r="J17" s="242" t="inlineStr">
        <is>
          <t>АСУ,А и ТМ (КЦ № 6)</t>
        </is>
      </c>
      <c r="K17" s="242" t="n">
        <v>2012</v>
      </c>
      <c r="L17" s="242" t="n">
        <v>12</v>
      </c>
      <c r="M17" s="22" t="inlineStr">
        <is>
          <t>1К26</t>
        </is>
      </c>
      <c r="N17" s="51" t="inlineStr">
        <is>
          <t>К</t>
        </is>
      </c>
      <c r="O17" s="63" t="n"/>
    </row>
    <row r="18" ht="22.5" customHeight="1" s="151">
      <c r="A18" s="242">
        <f>IF(B18&lt;&gt;"", COUNTA($B$2:B18), "")</f>
        <v/>
      </c>
      <c r="B18" s="280" t="inlineStr">
        <is>
          <t>Расходомер импульсный</t>
        </is>
      </c>
      <c r="C18" s="10" t="n"/>
      <c r="D18" s="29" t="inlineStr">
        <is>
          <t>12-004371</t>
        </is>
      </c>
      <c r="E18" s="10" t="n"/>
      <c r="F18" s="11" t="n"/>
      <c r="G18" s="71" t="n">
        <v>0.25</v>
      </c>
      <c r="H18" s="15" t="inlineStr">
        <is>
          <t>Расходомер импульсный на схеме 2</t>
        </is>
      </c>
      <c r="I18" s="8" t="inlineStr">
        <is>
          <t>НСХПВ</t>
        </is>
      </c>
      <c r="J18" s="15" t="inlineStr">
        <is>
          <t>АСУ,А и ТМ (КЦ № 6)</t>
        </is>
      </c>
      <c r="K18" s="15" t="n"/>
      <c r="L18" s="15" t="n"/>
      <c r="M18" s="3" t="n"/>
      <c r="N18" s="70" t="n"/>
      <c r="O18" s="63" t="n"/>
    </row>
    <row r="19" s="151">
      <c r="A19" s="242">
        <f>IF(B19&lt;&gt;"", COUNTA($B$2:B19), "")</f>
        <v/>
      </c>
      <c r="B19" s="280" t="inlineStr">
        <is>
          <t>Расходомер импульсный</t>
        </is>
      </c>
      <c r="C19" s="10" t="n"/>
      <c r="D19" s="29" t="inlineStr">
        <is>
          <t>12-005803</t>
        </is>
      </c>
      <c r="E19" s="10" t="n"/>
      <c r="F19" s="11" t="n"/>
      <c r="G19" s="71" t="n"/>
      <c r="H19" s="15" t="inlineStr">
        <is>
          <t>Расход очищенной воды</t>
        </is>
      </c>
      <c r="I19" s="8" t="inlineStr">
        <is>
          <t>НСХПВ</t>
        </is>
      </c>
      <c r="J19" s="15" t="inlineStr">
        <is>
          <t>АСУ,А и ТМ (КЦ № 6)</t>
        </is>
      </c>
      <c r="K19" s="15" t="n"/>
      <c r="L19" s="15" t="n"/>
      <c r="M19" s="3" t="n"/>
      <c r="N19" s="70" t="n"/>
      <c r="O19" s="63" t="n"/>
    </row>
    <row r="20" ht="22.5" customHeight="1" s="151">
      <c r="A20" s="242">
        <f>IF(B20&lt;&gt;"", COUNTA($B$2:B20), "")</f>
        <v/>
      </c>
      <c r="B20" s="280" t="inlineStr">
        <is>
          <t>Расходомер импульсный</t>
        </is>
      </c>
      <c r="C20" s="10" t="inlineStr">
        <is>
          <t>Zenner</t>
        </is>
      </c>
      <c r="D20" s="29" t="inlineStr">
        <is>
          <t>6035807</t>
        </is>
      </c>
      <c r="E20" s="10" t="n">
        <v>2011</v>
      </c>
      <c r="F20" s="11" t="n"/>
      <c r="G20" s="71" t="n"/>
      <c r="H20" s="15" t="inlineStr">
        <is>
          <t>Расходомер импульсный на схеме 12</t>
        </is>
      </c>
      <c r="I20" s="8" t="inlineStr">
        <is>
          <t>НСХПВ</t>
        </is>
      </c>
      <c r="J20" s="15" t="inlineStr">
        <is>
          <t>АСУ,А и ТМ (КЦ № 6)</t>
        </is>
      </c>
      <c r="K20" s="15" t="n"/>
      <c r="L20" s="15" t="n"/>
      <c r="M20" s="3" t="n"/>
      <c r="N20" s="70" t="n"/>
      <c r="O20" s="63" t="n"/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5" right="0.25" top="0.75" bottom="0.75" header="0.3" footer="0.3"/>
  <pageSetup orientation="landscape" paperSize="9" scale="81"/>
</worksheet>
</file>

<file path=xl/worksheets/sheet13.xml><?xml version="1.0" encoding="utf-8"?>
<worksheet xmlns="http://schemas.openxmlformats.org/spreadsheetml/2006/main">
  <sheetPr codeName="Лист13"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M8" sqref="M8"/>
    </sheetView>
  </sheetViews>
  <sheetFormatPr baseColWidth="8" defaultRowHeight="15"/>
  <cols>
    <col width="3.140625" bestFit="1" customWidth="1" style="151" min="1" max="1"/>
    <col width="17.5703125" bestFit="1" customWidth="1" style="151" min="2" max="2"/>
    <col width="15.85546875" bestFit="1" customWidth="1" style="151" min="3" max="3"/>
    <col width="8" bestFit="1" customWidth="1" style="151" min="4" max="4"/>
    <col width="6.5703125" bestFit="1" customWidth="1" style="151" min="5" max="5"/>
    <col width="10.42578125" bestFit="1" customWidth="1" style="151" min="6" max="6"/>
    <col width="8.140625" bestFit="1" customWidth="1" style="151" min="7" max="7"/>
    <col width="22.5703125" bestFit="1" customWidth="1" style="151" min="8" max="8"/>
    <col width="8" bestFit="1" customWidth="1" style="151" min="9" max="9"/>
    <col width="17.42578125" bestFit="1" customWidth="1" style="151" min="10" max="10"/>
    <col width="8" bestFit="1" customWidth="1" style="151" min="11" max="11"/>
    <col width="9" bestFit="1" customWidth="1" style="151" min="12" max="12"/>
    <col width="8.85546875" bestFit="1" customWidth="1" style="151" min="13" max="13"/>
    <col width="9.140625" customWidth="1" style="151" min="14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>
      <c r="A2" s="15">
        <f>IF(B2&lt;&gt;"", COUNTA($B$2:B2), "")</f>
        <v/>
      </c>
      <c r="B2" s="280" t="inlineStr">
        <is>
          <t>Манометр технический</t>
        </is>
      </c>
      <c r="C2" s="14" t="inlineStr">
        <is>
          <t>ДМ02-100-1-М</t>
        </is>
      </c>
      <c r="D2" s="29" t="inlineStr">
        <is>
          <t>11016</t>
        </is>
      </c>
      <c r="E2" s="10" t="n">
        <v>2010</v>
      </c>
      <c r="F2" s="10" t="inlineStr">
        <is>
          <t>0..16 кгс/см2</t>
        </is>
      </c>
      <c r="G2" s="71" t="n">
        <v>1.5</v>
      </c>
      <c r="H2" s="8" t="inlineStr">
        <is>
          <t>Р воды  в Т1 перед Ф</t>
        </is>
      </c>
      <c r="I2" s="8" t="inlineStr">
        <is>
          <t>НППВ</t>
        </is>
      </c>
      <c r="J2" s="15" t="inlineStr">
        <is>
          <t>АСУ,А и ТМ (КЦ № 6)</t>
        </is>
      </c>
      <c r="K2" s="15" t="n">
        <v>2012</v>
      </c>
      <c r="L2" s="15" t="n">
        <v>12</v>
      </c>
      <c r="M2" s="22" t="inlineStr">
        <is>
          <t>26ДЯУ</t>
        </is>
      </c>
      <c r="N2" s="70" t="inlineStr">
        <is>
          <t>П</t>
        </is>
      </c>
    </row>
    <row r="3">
      <c r="A3" s="15">
        <f>IF(B3&lt;&gt;"", COUNTA($B$2:B3), "")</f>
        <v/>
      </c>
      <c r="B3" s="280" t="inlineStr">
        <is>
          <t>Манометр технический</t>
        </is>
      </c>
      <c r="C3" s="14" t="inlineStr">
        <is>
          <t>МП3-УУ2</t>
        </is>
      </c>
      <c r="D3" s="29" t="inlineStr">
        <is>
          <t>15608</t>
        </is>
      </c>
      <c r="E3" s="10" t="n">
        <v>2010</v>
      </c>
      <c r="F3" s="10" t="inlineStr">
        <is>
          <t>0..16 кгс/см2</t>
        </is>
      </c>
      <c r="G3" s="71" t="n">
        <v>1.5</v>
      </c>
      <c r="H3" s="8" t="inlineStr">
        <is>
          <t>Р воды в Т1 после Ф</t>
        </is>
      </c>
      <c r="I3" s="8" t="inlineStr">
        <is>
          <t>НППВ</t>
        </is>
      </c>
      <c r="J3" s="15" t="inlineStr">
        <is>
          <t>АСУ,А и ТМ (КЦ № 6)</t>
        </is>
      </c>
      <c r="K3" s="15" t="n">
        <v>2012</v>
      </c>
      <c r="L3" s="15" t="n">
        <v>12</v>
      </c>
      <c r="M3" s="22" t="inlineStr">
        <is>
          <t>26ДЯУ</t>
        </is>
      </c>
      <c r="N3" s="70" t="inlineStr">
        <is>
          <t>П</t>
        </is>
      </c>
    </row>
    <row r="4">
      <c r="A4" s="15">
        <f>IF(B4&lt;&gt;"", COUNTA($B$2:B4), "")</f>
        <v/>
      </c>
      <c r="B4" s="280" t="inlineStr">
        <is>
          <t>Манометр технический</t>
        </is>
      </c>
      <c r="C4" s="14" t="inlineStr">
        <is>
          <t>МП4-У</t>
        </is>
      </c>
      <c r="D4" s="29" t="inlineStr">
        <is>
          <t>2290</t>
        </is>
      </c>
      <c r="E4" s="10" t="n">
        <v>2010</v>
      </c>
      <c r="F4" s="10" t="inlineStr">
        <is>
          <t>0..6 кгс/см2</t>
        </is>
      </c>
      <c r="G4" s="71" t="n">
        <v>1</v>
      </c>
      <c r="H4" s="8" t="inlineStr">
        <is>
          <t>Р воды  в Т2 перед Ф</t>
        </is>
      </c>
      <c r="I4" s="8" t="inlineStr">
        <is>
          <t>НППВ</t>
        </is>
      </c>
      <c r="J4" s="15" t="inlineStr">
        <is>
          <t>АСУ,А и ТМ (КЦ № 6)</t>
        </is>
      </c>
      <c r="K4" s="15" t="n">
        <v>2012</v>
      </c>
      <c r="L4" s="15" t="n">
        <v>12</v>
      </c>
      <c r="M4" s="22" t="inlineStr">
        <is>
          <t>26ДЯУ</t>
        </is>
      </c>
      <c r="N4" s="70" t="inlineStr">
        <is>
          <t>П</t>
        </is>
      </c>
    </row>
    <row r="5">
      <c r="A5" s="15">
        <f>IF(B5&lt;&gt;"", COUNTA($B$2:B5), "")</f>
        <v/>
      </c>
      <c r="B5" s="280" t="inlineStr">
        <is>
          <t>Манометр технический</t>
        </is>
      </c>
      <c r="C5" s="14" t="inlineStr">
        <is>
          <t>МП3-УТ2</t>
        </is>
      </c>
      <c r="D5" s="29" t="inlineStr">
        <is>
          <t>1321992</t>
        </is>
      </c>
      <c r="E5" s="10" t="n">
        <v>2010</v>
      </c>
      <c r="F5" s="10" t="inlineStr">
        <is>
          <t>0..6 кгс/см2</t>
        </is>
      </c>
      <c r="G5" s="71" t="n">
        <v>1.5</v>
      </c>
      <c r="H5" s="8" t="inlineStr">
        <is>
          <t>Р воды в Т2 после Ф</t>
        </is>
      </c>
      <c r="I5" s="8" t="inlineStr">
        <is>
          <t>НППВ</t>
        </is>
      </c>
      <c r="J5" s="15" t="inlineStr">
        <is>
          <t>АСУ,А и ТМ (КЦ № 6)</t>
        </is>
      </c>
      <c r="K5" s="15" t="n">
        <v>2012</v>
      </c>
      <c r="L5" s="15" t="n">
        <v>12</v>
      </c>
      <c r="M5" s="22" t="inlineStr">
        <is>
          <t>26ДЯУ</t>
        </is>
      </c>
      <c r="N5" s="70" t="inlineStr">
        <is>
          <t>П</t>
        </is>
      </c>
    </row>
    <row r="6" ht="22.5" customHeight="1" s="151">
      <c r="A6" s="15">
        <f>IF(B6&lt;&gt;"", COUNTA($B$2:B6), "")</f>
        <v/>
      </c>
      <c r="B6" s="280" t="inlineStr">
        <is>
          <t>Манометр технический</t>
        </is>
      </c>
      <c r="C6" s="14" t="inlineStr">
        <is>
          <t>МП4-УУ2</t>
        </is>
      </c>
      <c r="D6" s="29" t="inlineStr">
        <is>
          <t>33</t>
        </is>
      </c>
      <c r="E6" s="10" t="n">
        <v>2010</v>
      </c>
      <c r="F6" s="10" t="inlineStr">
        <is>
          <t>0..10 кгс/см2</t>
        </is>
      </c>
      <c r="G6" s="71" t="n">
        <v>1</v>
      </c>
      <c r="H6" s="15" t="inlineStr">
        <is>
          <t>Р воды в Т2 после клапана регулятора перепада давления</t>
        </is>
      </c>
      <c r="I6" s="8" t="inlineStr">
        <is>
          <t>НППВ</t>
        </is>
      </c>
      <c r="J6" s="15" t="inlineStr">
        <is>
          <t>АСУ,А и ТМ (КЦ № 6)</t>
        </is>
      </c>
      <c r="K6" s="15" t="n">
        <v>2012</v>
      </c>
      <c r="L6" s="15" t="n">
        <v>12</v>
      </c>
      <c r="M6" s="22" t="inlineStr">
        <is>
          <t>26ДЯУ</t>
        </is>
      </c>
      <c r="N6" s="70" t="inlineStr">
        <is>
          <t>П</t>
        </is>
      </c>
    </row>
    <row r="7" ht="22.5" customHeight="1" s="151">
      <c r="A7" s="15">
        <f>IF(B7&lt;&gt;"", COUNTA($B$2:B7), "")</f>
        <v/>
      </c>
      <c r="B7" s="280" t="inlineStr">
        <is>
          <t>Манометр технический</t>
        </is>
      </c>
      <c r="C7" s="14" t="inlineStr">
        <is>
          <t>МП4-У</t>
        </is>
      </c>
      <c r="D7" s="29" t="inlineStr">
        <is>
          <t>13778</t>
        </is>
      </c>
      <c r="E7" s="10" t="n">
        <v>2010</v>
      </c>
      <c r="F7" s="10" t="inlineStr">
        <is>
          <t>0..6 кгс/см2</t>
        </is>
      </c>
      <c r="G7" s="71" t="n">
        <v>1.5</v>
      </c>
      <c r="H7" s="15" t="inlineStr">
        <is>
          <t>Р воды после счетчика воды из водопровода</t>
        </is>
      </c>
      <c r="I7" s="8" t="inlineStr">
        <is>
          <t>НППВ</t>
        </is>
      </c>
      <c r="J7" s="15" t="inlineStr">
        <is>
          <t>АСУ,А и ТМ (КЦ № 6)</t>
        </is>
      </c>
      <c r="K7" s="15" t="n">
        <v>2012</v>
      </c>
      <c r="L7" s="15" t="n">
        <v>12</v>
      </c>
      <c r="M7" s="22" t="inlineStr">
        <is>
          <t>26ДЯУ</t>
        </is>
      </c>
      <c r="N7" s="70" t="inlineStr">
        <is>
          <t>П</t>
        </is>
      </c>
    </row>
    <row r="8" ht="22.5" customHeight="1" s="151">
      <c r="A8" s="15">
        <f>IF(B8&lt;&gt;"", COUNTA($B$2:B8), "")</f>
        <v/>
      </c>
      <c r="B8" s="280" t="inlineStr">
        <is>
          <t>Термометр биметаллический</t>
        </is>
      </c>
      <c r="C8" s="14" t="inlineStr">
        <is>
          <t>ТБ-2Р УХЛ2</t>
        </is>
      </c>
      <c r="D8" s="29" t="inlineStr">
        <is>
          <t>5079</t>
        </is>
      </c>
      <c r="E8" s="10" t="n">
        <v>2010</v>
      </c>
      <c r="F8" s="10" t="inlineStr">
        <is>
          <t>0  ..  150°С</t>
        </is>
      </c>
      <c r="G8" s="71" t="n">
        <v>1</v>
      </c>
      <c r="H8" s="15" t="inlineStr">
        <is>
          <t>Температура в Т1</t>
        </is>
      </c>
      <c r="I8" s="8" t="inlineStr">
        <is>
          <t>НППВ</t>
        </is>
      </c>
      <c r="J8" s="15" t="inlineStr">
        <is>
          <t>АСУ,А и ТМ (КЦ № 6)</t>
        </is>
      </c>
      <c r="K8" s="15" t="n">
        <v>2012</v>
      </c>
      <c r="L8" s="15" t="n">
        <v>24</v>
      </c>
      <c r="M8" s="3" t="inlineStr">
        <is>
          <t>25ДЯУ</t>
        </is>
      </c>
      <c r="N8" s="70" t="inlineStr">
        <is>
          <t>П</t>
        </is>
      </c>
    </row>
    <row r="9" ht="22.5" customHeight="1" s="151">
      <c r="A9" s="15">
        <f>IF(B9&lt;&gt;"", COUNTA($B$2:B9), "")</f>
        <v/>
      </c>
      <c r="B9" s="280" t="inlineStr">
        <is>
          <t>Термометр биметаллический</t>
        </is>
      </c>
      <c r="C9" s="14" t="inlineStr">
        <is>
          <t>ТБ-2</t>
        </is>
      </c>
      <c r="D9" s="29" t="inlineStr">
        <is>
          <t>5075</t>
        </is>
      </c>
      <c r="E9" s="10" t="n">
        <v>2010</v>
      </c>
      <c r="F9" s="10" t="inlineStr">
        <is>
          <t>0  ..  100°С</t>
        </is>
      </c>
      <c r="G9" s="71" t="n">
        <v>1.5</v>
      </c>
      <c r="H9" s="15" t="inlineStr">
        <is>
          <t>Температура в Т2</t>
        </is>
      </c>
      <c r="I9" s="8" t="inlineStr">
        <is>
          <t>НППВ</t>
        </is>
      </c>
      <c r="J9" s="15" t="inlineStr">
        <is>
          <t>АСУ,А и ТМ (КЦ № 6)</t>
        </is>
      </c>
      <c r="K9" s="15" t="n">
        <v>2012</v>
      </c>
      <c r="L9" s="15" t="n">
        <v>24</v>
      </c>
      <c r="M9" s="3" t="inlineStr">
        <is>
          <t>25ДЯУ</t>
        </is>
      </c>
      <c r="N9" s="70" t="inlineStr">
        <is>
          <t>П</t>
        </is>
      </c>
    </row>
    <row r="10" ht="22.5" customHeight="1" s="151">
      <c r="A10" s="15">
        <f>IF(B10&lt;&gt;"", COUNTA($B$2:B10), "")</f>
        <v/>
      </c>
      <c r="B10" s="280" t="inlineStr">
        <is>
          <t>Датчик абсолютного давления</t>
        </is>
      </c>
      <c r="C10" s="14" t="inlineStr">
        <is>
          <t>Метран 100-Вн-ДА</t>
        </is>
      </c>
      <c r="D10" s="29" t="inlineStr">
        <is>
          <t>395270</t>
        </is>
      </c>
      <c r="E10" s="10" t="n">
        <v>2007</v>
      </c>
      <c r="F10" s="10" t="inlineStr">
        <is>
          <t>250..25 kPa</t>
        </is>
      </c>
      <c r="G10" s="71" t="n"/>
      <c r="H10" s="15" t="inlineStr">
        <is>
          <t>L воды в резервуаре 1</t>
        </is>
      </c>
      <c r="I10" s="8" t="inlineStr">
        <is>
          <t>НППВ</t>
        </is>
      </c>
      <c r="J10" s="15" t="inlineStr">
        <is>
          <t>АСУ,А и ТМ (КЦ № 6)</t>
        </is>
      </c>
      <c r="K10" s="15" t="n">
        <v>2012</v>
      </c>
      <c r="L10" s="15" t="n"/>
      <c r="M10" s="3" t="n"/>
      <c r="N10" s="70" t="n"/>
    </row>
    <row r="11" ht="22.5" customHeight="1" s="151">
      <c r="A11" s="15">
        <f>IF(B11&lt;&gt;"", COUNTA($B$2:B11), "")</f>
        <v/>
      </c>
      <c r="B11" s="280" t="inlineStr">
        <is>
          <t>Датчик абсолютного давления</t>
        </is>
      </c>
      <c r="C11" s="14" t="inlineStr">
        <is>
          <t>Метран 100-Вн-ДА</t>
        </is>
      </c>
      <c r="D11" s="29" t="inlineStr">
        <is>
          <t>376431</t>
        </is>
      </c>
      <c r="E11" s="10" t="n">
        <v>2007</v>
      </c>
      <c r="F11" s="10" t="inlineStr">
        <is>
          <t>250..25 kPa</t>
        </is>
      </c>
      <c r="G11" s="71" t="n"/>
      <c r="H11" s="15" t="inlineStr">
        <is>
          <t>L воды в резервуаре 2</t>
        </is>
      </c>
      <c r="I11" s="8" t="inlineStr">
        <is>
          <t>НППВ</t>
        </is>
      </c>
      <c r="J11" s="15" t="inlineStr">
        <is>
          <t>АСУ,А и ТМ (КЦ № 6)</t>
        </is>
      </c>
      <c r="K11" s="15" t="n">
        <v>2012</v>
      </c>
      <c r="L11" s="15" t="n"/>
      <c r="M11" s="3" t="n"/>
      <c r="N11" s="70" t="n"/>
    </row>
    <row r="12" ht="22.5" customHeight="1" s="151">
      <c r="A12" s="15">
        <f>IF(B12&lt;&gt;"", COUNTA($B$2:B12), "")</f>
        <v/>
      </c>
      <c r="B12" s="31" t="inlineStr">
        <is>
          <t>Термометр сопротивления</t>
        </is>
      </c>
      <c r="C12" s="28" t="inlineStr">
        <is>
          <t>ТСМ Метран-203-04 (50М)</t>
        </is>
      </c>
      <c r="D12" s="29" t="inlineStr">
        <is>
          <t>2074421</t>
        </is>
      </c>
      <c r="E12" s="11" t="n">
        <v>2012</v>
      </c>
      <c r="F12" s="11" t="inlineStr">
        <is>
          <t>-50  ..  150° С</t>
        </is>
      </c>
      <c r="G12" s="29" t="inlineStr">
        <is>
          <t>В</t>
        </is>
      </c>
      <c r="H12" s="3" t="inlineStr">
        <is>
          <t>Т воздуха в помещении</t>
        </is>
      </c>
      <c r="I12" s="8" t="inlineStr">
        <is>
          <t>НППВ</t>
        </is>
      </c>
      <c r="J12" s="15" t="inlineStr">
        <is>
          <t>АСУ,А и ТМ (КЦ № 6)</t>
        </is>
      </c>
      <c r="K12" s="15" t="n">
        <v>2012</v>
      </c>
      <c r="L12" s="3" t="n"/>
      <c r="M12" s="3" t="n"/>
      <c r="N12" s="32" t="n"/>
    </row>
    <row r="13" ht="22.5" customHeight="1" s="151">
      <c r="A13" s="15">
        <f>IF(B13&lt;&gt;"", COUNTA($B$2:B13), "")</f>
        <v/>
      </c>
      <c r="B13" s="28" t="inlineStr">
        <is>
          <t>Термометр сопротивления</t>
        </is>
      </c>
      <c r="C13" s="17" t="inlineStr">
        <is>
          <t>ТСМУ 014.51.ИНД</t>
        </is>
      </c>
      <c r="D13" s="29" t="inlineStr">
        <is>
          <t>405</t>
        </is>
      </c>
      <c r="E13" s="11" t="n">
        <v>2012</v>
      </c>
      <c r="F13" s="11" t="inlineStr">
        <is>
          <t>-50  ..  100° С</t>
        </is>
      </c>
      <c r="G13" s="29" t="inlineStr">
        <is>
          <t>(0,5/0,6)%</t>
        </is>
      </c>
      <c r="H13" s="3" t="inlineStr">
        <is>
          <t>Т воздуха в помещении</t>
        </is>
      </c>
      <c r="I13" s="8" t="inlineStr">
        <is>
          <t>НППВ</t>
        </is>
      </c>
      <c r="J13" s="15" t="inlineStr">
        <is>
          <t>АСУ,А и ТМ (КЦ № 6)</t>
        </is>
      </c>
      <c r="K13" s="15" t="n">
        <v>2012</v>
      </c>
      <c r="L13" s="3" t="n"/>
      <c r="M13" s="3" t="n"/>
      <c r="N13" s="32" t="n"/>
    </row>
    <row r="14">
      <c r="A14" s="15">
        <f>IF(B14&lt;&gt;"", COUNTA($B$2:B14), "")</f>
        <v/>
      </c>
      <c r="B14" s="28" t="inlineStr">
        <is>
          <t>Счетчик импульсный</t>
        </is>
      </c>
      <c r="C14" s="17" t="inlineStr">
        <is>
          <t>ВСХ-15</t>
        </is>
      </c>
      <c r="D14" s="29" t="inlineStr">
        <is>
          <t>002199</t>
        </is>
      </c>
      <c r="E14" s="11" t="inlineStr">
        <is>
          <t>2012</t>
        </is>
      </c>
      <c r="F14" s="11" t="n"/>
      <c r="G14" s="29" t="n"/>
      <c r="H14" s="3" t="inlineStr">
        <is>
          <t>Учет холодной воды</t>
        </is>
      </c>
      <c r="I14" s="8" t="inlineStr">
        <is>
          <t>НППВ</t>
        </is>
      </c>
      <c r="J14" s="15" t="inlineStr">
        <is>
          <t>АСУ,А и ТМ (КЦ № 6)</t>
        </is>
      </c>
      <c r="K14" s="15" t="n">
        <v>2012</v>
      </c>
      <c r="L14" s="3" t="n"/>
      <c r="M14" s="3" t="n"/>
      <c r="N14" s="32" t="n"/>
    </row>
    <row r="15">
      <c r="A15" s="15">
        <f>IF(B15&lt;&gt;"", COUNTA($B$2:B15), "")</f>
        <v/>
      </c>
      <c r="B15" s="28" t="inlineStr">
        <is>
          <t>Счетчик импульсный</t>
        </is>
      </c>
      <c r="C15" s="17" t="inlineStr">
        <is>
          <t>ВСГ-15</t>
        </is>
      </c>
      <c r="D15" s="29" t="inlineStr">
        <is>
          <t>141778</t>
        </is>
      </c>
      <c r="E15" s="11" t="inlineStr">
        <is>
          <t>2012</t>
        </is>
      </c>
      <c r="F15" s="11" t="n"/>
      <c r="G15" s="29" t="n"/>
      <c r="H15" s="3" t="inlineStr">
        <is>
          <t>Учет горячей воды</t>
        </is>
      </c>
      <c r="I15" s="8" t="inlineStr">
        <is>
          <t>НППВ</t>
        </is>
      </c>
      <c r="J15" s="15" t="inlineStr">
        <is>
          <t>АСУ,А и ТМ (КЦ № 6)</t>
        </is>
      </c>
      <c r="K15" s="15" t="n">
        <v>2012</v>
      </c>
      <c r="L15" s="3" t="n"/>
      <c r="M15" s="3" t="n"/>
      <c r="N15" s="32" t="n"/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5" right="0.25" top="0.75" bottom="0.75" header="0.3" footer="0.3"/>
  <pageSetup orientation="landscape" paperSize="9"/>
</worksheet>
</file>

<file path=xl/worksheets/sheet14.xml><?xml version="1.0" encoding="utf-8"?>
<worksheet xmlns="http://schemas.openxmlformats.org/spreadsheetml/2006/main">
  <sheetPr codeName="Лист14"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M11" sqref="M11"/>
    </sheetView>
  </sheetViews>
  <sheetFormatPr baseColWidth="8" defaultRowHeight="15"/>
  <cols>
    <col width="3.140625" bestFit="1" customWidth="1" style="151" min="1" max="1"/>
    <col width="17.5703125" bestFit="1" customWidth="1" style="151" min="2" max="2"/>
    <col width="11.42578125" bestFit="1" customWidth="1" style="151" min="3" max="3"/>
    <col width="8" bestFit="1" customWidth="1" style="151" min="4" max="4"/>
    <col width="6.5703125" bestFit="1" customWidth="1" style="151" min="5" max="5"/>
    <col width="9.7109375" bestFit="1" customWidth="1" style="151" min="6" max="6"/>
    <col width="7.42578125" bestFit="1" customWidth="1" style="151" min="7" max="7"/>
    <col width="22.7109375" bestFit="1" customWidth="1" style="151" min="8" max="8"/>
    <col width="21.5703125" bestFit="1" customWidth="1" style="151" min="9" max="9"/>
    <col width="17.42578125" bestFit="1" customWidth="1" style="151" min="10" max="10"/>
    <col width="8" bestFit="1" customWidth="1" style="151" min="11" max="11"/>
    <col width="9" bestFit="1" customWidth="1" style="151" min="12" max="12"/>
    <col width="8.85546875" bestFit="1" customWidth="1" style="151" min="13" max="13"/>
    <col width="9" bestFit="1" customWidth="1" style="151" min="14" max="14"/>
    <col width="9.140625" customWidth="1" style="151" min="15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>
      <c r="A2" s="15">
        <f>IF(B2&lt;&gt;"", COUNTA($B$2:B2), "")</f>
        <v/>
      </c>
      <c r="B2" s="280" t="inlineStr">
        <is>
          <t>Манометр технический</t>
        </is>
      </c>
      <c r="C2" s="14" t="inlineStr">
        <is>
          <t>МП4-У</t>
        </is>
      </c>
      <c r="D2" s="29" t="inlineStr">
        <is>
          <t>684382</t>
        </is>
      </c>
      <c r="E2" s="10" t="n">
        <v>2012</v>
      </c>
      <c r="F2" s="10" t="inlineStr">
        <is>
          <t>0...6 кгс/см2</t>
        </is>
      </c>
      <c r="G2" s="71" t="n">
        <v>1.5</v>
      </c>
      <c r="H2" s="15" t="inlineStr">
        <is>
          <t>Р воды после счетчика</t>
        </is>
      </c>
      <c r="I2" s="15" t="inlineStr">
        <is>
          <t>РММ, водомерный узел</t>
        </is>
      </c>
      <c r="J2" s="15" t="inlineStr">
        <is>
          <t>АСУ,А и ТМ (КЦ № 6)</t>
        </is>
      </c>
      <c r="K2" s="15" t="n">
        <v>2012</v>
      </c>
      <c r="L2" s="15" t="n">
        <v>12</v>
      </c>
      <c r="M2" s="3" t="inlineStr">
        <is>
          <t>3К26</t>
        </is>
      </c>
      <c r="N2" s="70" t="inlineStr">
        <is>
          <t>К</t>
        </is>
      </c>
    </row>
    <row r="3">
      <c r="A3" s="15">
        <f>IF(B3&lt;&gt;"", COUNTA($B$2:B3), "")</f>
        <v/>
      </c>
      <c r="B3" s="280" t="inlineStr">
        <is>
          <t>Счетчик воды</t>
        </is>
      </c>
      <c r="C3" s="14" t="inlineStr">
        <is>
          <t>ВСХ 32</t>
        </is>
      </c>
      <c r="D3" s="29" t="inlineStr">
        <is>
          <t>12521533</t>
        </is>
      </c>
      <c r="E3" s="10" t="n">
        <v>2012</v>
      </c>
      <c r="F3" s="10" t="n"/>
      <c r="G3" s="71" t="n"/>
      <c r="H3" s="15" t="inlineStr">
        <is>
          <t>Расход воды</t>
        </is>
      </c>
      <c r="I3" s="15" t="inlineStr">
        <is>
          <t>РММ, водомерный узел</t>
        </is>
      </c>
      <c r="J3" s="15" t="inlineStr">
        <is>
          <t>АСУ,А и ТМ (КЦ № 6)</t>
        </is>
      </c>
      <c r="K3" s="15" t="n"/>
      <c r="L3" s="15" t="n"/>
      <c r="M3" s="3" t="n"/>
      <c r="N3" s="70" t="n"/>
    </row>
    <row r="4">
      <c r="A4" s="15">
        <f>IF(B4&lt;&gt;"", COUNTA($B$2:B4), "")</f>
        <v/>
      </c>
      <c r="B4" s="280" t="inlineStr">
        <is>
          <t>Манометр технический</t>
        </is>
      </c>
      <c r="C4" s="14" t="inlineStr">
        <is>
          <t>МП4-УУ2</t>
        </is>
      </c>
      <c r="D4" s="29" t="inlineStr">
        <is>
          <t>15570</t>
        </is>
      </c>
      <c r="E4" s="10" t="n">
        <v>2010</v>
      </c>
      <c r="F4" s="10" t="inlineStr">
        <is>
          <t>0..6 кгс/см2</t>
        </is>
      </c>
      <c r="G4" s="71" t="n">
        <v>1</v>
      </c>
      <c r="H4" s="15" t="inlineStr">
        <is>
          <t>Р воды после счетчика воды</t>
        </is>
      </c>
      <c r="I4" s="15" t="inlineStr">
        <is>
          <t>ПЭБ, МОП</t>
        </is>
      </c>
      <c r="J4" s="15" t="inlineStr">
        <is>
          <t>АСУ,А и ТМ (КЦ № 6)</t>
        </is>
      </c>
      <c r="K4" s="15" t="n">
        <v>2012</v>
      </c>
      <c r="L4" s="15" t="n">
        <v>12</v>
      </c>
      <c r="M4" s="3" t="inlineStr">
        <is>
          <t>3К26</t>
        </is>
      </c>
      <c r="N4" s="70" t="inlineStr">
        <is>
          <t>К</t>
        </is>
      </c>
    </row>
    <row r="5">
      <c r="A5" s="15">
        <f>IF(B5&lt;&gt;"", COUNTA($B$2:B5), "")</f>
        <v/>
      </c>
      <c r="B5" s="280" t="inlineStr">
        <is>
          <t>Манометр технический</t>
        </is>
      </c>
      <c r="C5" s="14" t="inlineStr">
        <is>
          <t>ТМ5</t>
        </is>
      </c>
      <c r="D5" s="29" t="inlineStr">
        <is>
          <t>15422</t>
        </is>
      </c>
      <c r="E5" s="10" t="n">
        <v>2010</v>
      </c>
      <c r="F5" s="10" t="inlineStr">
        <is>
          <t>0..10 кгс/см2</t>
        </is>
      </c>
      <c r="G5" s="71" t="n">
        <v>1.5</v>
      </c>
      <c r="H5" s="15" t="inlineStr">
        <is>
          <t>Р воды в пожарном коллекторе</t>
        </is>
      </c>
      <c r="I5" s="15" t="inlineStr">
        <is>
          <t>ПЭБ, МОП</t>
        </is>
      </c>
      <c r="J5" s="15" t="inlineStr">
        <is>
          <t>АСУ,А и ТМ (КЦ № 6)</t>
        </is>
      </c>
      <c r="K5" s="15" t="n">
        <v>2012</v>
      </c>
      <c r="L5" s="15" t="n">
        <v>12</v>
      </c>
      <c r="M5" s="3" t="inlineStr">
        <is>
          <t>3К26</t>
        </is>
      </c>
      <c r="N5" s="70" t="inlineStr">
        <is>
          <t>К</t>
        </is>
      </c>
    </row>
    <row r="6">
      <c r="A6" s="15">
        <f>IF(B6&lt;&gt;"", COUNTA($B$2:B6), "")</f>
        <v/>
      </c>
      <c r="B6" s="280" t="inlineStr">
        <is>
          <t>Счетчик воды</t>
        </is>
      </c>
      <c r="C6" s="15" t="inlineStr">
        <is>
          <t>ВСХ-15</t>
        </is>
      </c>
      <c r="D6" s="49" t="inlineStr">
        <is>
          <t>096492</t>
        </is>
      </c>
      <c r="E6" s="10" t="n">
        <v>2012</v>
      </c>
      <c r="F6" s="26" t="n"/>
      <c r="G6" s="15" t="n"/>
      <c r="H6" s="15" t="inlineStr">
        <is>
          <t>Учет холодной воды</t>
        </is>
      </c>
      <c r="I6" s="15" t="inlineStr">
        <is>
          <t>ПЭБ, МОП</t>
        </is>
      </c>
      <c r="J6" s="15" t="inlineStr">
        <is>
          <t>АСУ,А и ТМ (КЦ № 6)</t>
        </is>
      </c>
      <c r="K6" s="15" t="n"/>
      <c r="L6" s="15" t="n"/>
      <c r="M6" s="3" t="n"/>
      <c r="N6" s="175" t="n"/>
    </row>
    <row r="7">
      <c r="A7" s="15">
        <f>IF(B7&lt;&gt;"", COUNTA($B$2:B7), "")</f>
        <v/>
      </c>
      <c r="B7" s="280" t="inlineStr">
        <is>
          <t>Манометр технический</t>
        </is>
      </c>
      <c r="C7" s="14" t="inlineStr">
        <is>
          <t>Росма ТМ5</t>
        </is>
      </c>
      <c r="D7" s="30" t="n">
        <v>15581</v>
      </c>
      <c r="E7" s="10" t="n">
        <v>2012</v>
      </c>
      <c r="F7" s="26" t="inlineStr">
        <is>
          <t>0..6 кгс/см3</t>
        </is>
      </c>
      <c r="G7" s="15" t="n">
        <v>1.5</v>
      </c>
      <c r="H7" s="15" t="inlineStr">
        <is>
          <t>Р воды после счетчика воды</t>
        </is>
      </c>
      <c r="I7" s="15" t="inlineStr">
        <is>
          <t>Склад масел в таре</t>
        </is>
      </c>
      <c r="J7" s="15" t="inlineStr">
        <is>
          <t>АСУ,А и ТМ (КЦ № 6)</t>
        </is>
      </c>
      <c r="K7" s="15" t="n"/>
      <c r="L7" s="15" t="n">
        <v>12</v>
      </c>
      <c r="M7" s="3" t="inlineStr">
        <is>
          <t>3К26</t>
        </is>
      </c>
      <c r="N7" s="175" t="inlineStr">
        <is>
          <t>К</t>
        </is>
      </c>
    </row>
    <row r="8">
      <c r="A8" s="15">
        <f>IF(B8&lt;&gt;"", COUNTA($B$2:B8), "")</f>
        <v/>
      </c>
      <c r="B8" s="280" t="inlineStr">
        <is>
          <t>Счетчик воды</t>
        </is>
      </c>
      <c r="C8" s="15" t="inlineStr">
        <is>
          <t>ВСХ-15</t>
        </is>
      </c>
      <c r="D8" s="30" t="n">
        <v>2185</v>
      </c>
      <c r="E8" s="10" t="n">
        <v>2012</v>
      </c>
      <c r="F8" s="26" t="n"/>
      <c r="G8" s="15" t="n"/>
      <c r="H8" s="15" t="inlineStr">
        <is>
          <t>Учет холодной воды</t>
        </is>
      </c>
      <c r="I8" s="15" t="inlineStr">
        <is>
          <t>Склад масел в таре</t>
        </is>
      </c>
      <c r="J8" s="15" t="inlineStr">
        <is>
          <t>АСУ,А и ТМ (КЦ № 6)</t>
        </is>
      </c>
      <c r="K8" s="15" t="n"/>
      <c r="L8" s="15" t="n"/>
      <c r="M8" s="3" t="n"/>
      <c r="N8" s="175" t="n"/>
    </row>
    <row r="9">
      <c r="A9" s="15">
        <f>IF(B9&lt;&gt;"", COUNTA($B$2:B9), "")</f>
        <v/>
      </c>
      <c r="B9" s="280" t="inlineStr">
        <is>
          <t>Манометр технический</t>
        </is>
      </c>
      <c r="C9" s="10" t="inlineStr">
        <is>
          <t>МП4-УУ2</t>
        </is>
      </c>
      <c r="D9" s="10" t="n">
        <v>15434</v>
      </c>
      <c r="E9" s="10" t="n">
        <v>2010</v>
      </c>
      <c r="F9" s="26" t="inlineStr">
        <is>
          <t>0..6 кгс/см2</t>
        </is>
      </c>
      <c r="G9" s="10" t="n">
        <v>1.5</v>
      </c>
      <c r="H9" s="26" t="inlineStr">
        <is>
          <t>Р воды перед кр. 2</t>
        </is>
      </c>
      <c r="I9" s="3" t="inlineStr">
        <is>
          <t>Проходная, водомерный узел</t>
        </is>
      </c>
      <c r="J9" s="15" t="inlineStr">
        <is>
          <t>АСУ,А и ТМ (КЦ № 6)</t>
        </is>
      </c>
      <c r="K9" s="15" t="n">
        <v>2012</v>
      </c>
      <c r="L9" s="15" t="n">
        <v>12</v>
      </c>
      <c r="M9" s="3" t="inlineStr">
        <is>
          <t>26ДЯУ</t>
        </is>
      </c>
      <c r="N9" s="70" t="inlineStr">
        <is>
          <t>К</t>
        </is>
      </c>
    </row>
    <row r="10">
      <c r="A10" s="15">
        <f>IF(B10&lt;&gt;"", COUNTA($B$2:B10), "")</f>
        <v/>
      </c>
      <c r="B10" s="280" t="inlineStr">
        <is>
          <t>Манометр технический</t>
        </is>
      </c>
      <c r="C10" s="15" t="inlineStr">
        <is>
          <t>ДМ02-100-1-G</t>
        </is>
      </c>
      <c r="D10" s="30" t="n">
        <v>15417</v>
      </c>
      <c r="E10" s="10" t="n">
        <v>2010</v>
      </c>
      <c r="F10" s="26" t="inlineStr">
        <is>
          <t>0..6 кгс/см2</t>
        </is>
      </c>
      <c r="G10" s="15" t="n">
        <v>1.5</v>
      </c>
      <c r="H10" s="15" t="inlineStr">
        <is>
          <t xml:space="preserve">Р воды после счетчика </t>
        </is>
      </c>
      <c r="I10" s="15" t="inlineStr">
        <is>
          <t>КОС, водомерный узел</t>
        </is>
      </c>
      <c r="J10" s="15" t="inlineStr">
        <is>
          <t>АСУ,А и ТМ (КЦ № 6)</t>
        </is>
      </c>
      <c r="K10" s="15" t="n">
        <v>2012</v>
      </c>
      <c r="L10" s="15" t="n">
        <v>12</v>
      </c>
      <c r="M10" s="3" t="inlineStr">
        <is>
          <t>26ДЯУ</t>
        </is>
      </c>
      <c r="N10" s="175" t="inlineStr">
        <is>
          <t>К</t>
        </is>
      </c>
    </row>
  </sheetData>
  <conditionalFormatting sqref="D7:D8 D10">
    <cfRule type="duplicateValues" priority="6" dxfId="25"/>
  </conditionalFormatting>
  <conditionalFormatting sqref="D6">
    <cfRule type="duplicateValues" priority="5" dxfId="25"/>
  </conditionalFormatting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 codeName="Лист15">
    <outlinePr summaryBelow="1" summaryRight="1"/>
    <pageSetUpPr fitToPage="1"/>
  </sheetPr>
  <dimension ref="A1:P105"/>
  <sheetViews>
    <sheetView zoomScale="118" zoomScaleNormal="118" workbookViewId="0">
      <pane ySplit="1" topLeftCell="A94" activePane="bottomLeft" state="frozen"/>
      <selection pane="bottomLeft" activeCell="M104" sqref="M104"/>
    </sheetView>
  </sheetViews>
  <sheetFormatPr baseColWidth="8" defaultRowHeight="15"/>
  <cols>
    <col width="3.5703125" bestFit="1" customWidth="1" style="151" min="1" max="1"/>
    <col width="21.5703125" bestFit="1" customWidth="1" style="151" min="2" max="2"/>
    <col width="12.7109375" customWidth="1" style="151" min="3" max="3"/>
    <col width="8" bestFit="1" customWidth="1" style="151" min="4" max="4"/>
    <col width="6.5703125" bestFit="1" customWidth="1" style="151" min="5" max="5"/>
    <col width="9.7109375" bestFit="1" customWidth="1" style="151" min="6" max="6"/>
    <col width="7.42578125" bestFit="1" customWidth="1" style="151" min="7" max="7"/>
    <col width="17.7109375" customWidth="1" style="151" min="8" max="8"/>
    <col width="16.5703125" bestFit="1" customWidth="1" style="151" min="9" max="9"/>
    <col width="17.42578125" bestFit="1" customWidth="1" style="151" min="10" max="10"/>
    <col width="8" bestFit="1" customWidth="1" style="151" min="11" max="11"/>
    <col width="9" bestFit="1" customWidth="1" style="151" min="12" max="12"/>
    <col width="8.85546875" bestFit="1" customWidth="1" style="151" min="13" max="13"/>
    <col width="9" bestFit="1" customWidth="1" style="151" min="14" max="14"/>
    <col width="9.140625" customWidth="1" style="151" min="15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 ht="22.5" customHeight="1" s="151">
      <c r="A2" s="15">
        <f>IF(B2&lt;&gt;"", COUNTA($B$2:B2), "")</f>
        <v/>
      </c>
      <c r="B2" s="15" t="inlineStr">
        <is>
          <t>Манометр технический</t>
        </is>
      </c>
      <c r="C2" s="15" t="inlineStr">
        <is>
          <t>МП4-УУ2</t>
        </is>
      </c>
      <c r="D2" s="242" t="n">
        <v>700310</v>
      </c>
      <c r="E2" s="15" t="n">
        <v>2010</v>
      </c>
      <c r="F2" s="15" t="inlineStr">
        <is>
          <t>0…..600 кПа</t>
        </is>
      </c>
      <c r="G2" s="15" t="n">
        <v>1.5</v>
      </c>
      <c r="H2" s="15" t="inlineStr">
        <is>
          <t>Р воды после расходомера</t>
        </is>
      </c>
      <c r="I2" s="15" t="inlineStr">
        <is>
          <t>КОС</t>
        </is>
      </c>
      <c r="J2" s="15" t="inlineStr">
        <is>
          <t>АСУ,А и ТМ (КЦ № 6)</t>
        </is>
      </c>
      <c r="K2" s="15" t="n">
        <v>2012</v>
      </c>
      <c r="L2" s="15" t="n">
        <v>12</v>
      </c>
      <c r="M2" s="115" t="inlineStr">
        <is>
          <t>26ДЯУ</t>
        </is>
      </c>
      <c r="N2" s="15" t="inlineStr">
        <is>
          <t>П</t>
        </is>
      </c>
    </row>
    <row r="3">
      <c r="A3" s="15">
        <f>IF(B3&lt;&gt;"", COUNTA($B$2:B3), "")</f>
        <v/>
      </c>
      <c r="B3" s="15" t="inlineStr">
        <is>
          <t>Манометр технический</t>
        </is>
      </c>
      <c r="C3" s="15" t="inlineStr">
        <is>
          <t>МП4-УУ2</t>
        </is>
      </c>
      <c r="D3" s="15" t="inlineStr">
        <is>
          <t>35</t>
        </is>
      </c>
      <c r="E3" s="15" t="n">
        <v>2010</v>
      </c>
      <c r="F3" s="15" t="inlineStr">
        <is>
          <t>0..10 кгс/см2</t>
        </is>
      </c>
      <c r="G3" s="15" t="n">
        <v>1</v>
      </c>
      <c r="H3" s="15" t="inlineStr">
        <is>
          <t>Р воды после кр. 3</t>
        </is>
      </c>
      <c r="I3" s="15" t="inlineStr">
        <is>
          <t>КОС</t>
        </is>
      </c>
      <c r="J3" s="15" t="inlineStr">
        <is>
          <t>АСУ,А и ТМ (КЦ № 6)</t>
        </is>
      </c>
      <c r="K3" s="15" t="n">
        <v>2012</v>
      </c>
      <c r="L3" s="15" t="n">
        <v>12</v>
      </c>
      <c r="M3" s="115" t="inlineStr">
        <is>
          <t>26ДЯУ</t>
        </is>
      </c>
      <c r="N3" s="15" t="inlineStr">
        <is>
          <t>П</t>
        </is>
      </c>
    </row>
    <row r="4">
      <c r="A4" s="15">
        <f>IF(B4&lt;&gt;"", COUNTA($B$2:B4), "")</f>
        <v/>
      </c>
      <c r="B4" s="15" t="inlineStr">
        <is>
          <t>Манометр технический</t>
        </is>
      </c>
      <c r="C4" s="15" t="inlineStr">
        <is>
          <t>МП4-УУ2</t>
        </is>
      </c>
      <c r="D4" s="15" t="inlineStr">
        <is>
          <t>37</t>
        </is>
      </c>
      <c r="E4" s="15" t="n">
        <v>2010</v>
      </c>
      <c r="F4" s="15" t="inlineStr">
        <is>
          <t>0..10 кгс/см2</t>
        </is>
      </c>
      <c r="G4" s="15" t="n">
        <v>1</v>
      </c>
      <c r="H4" s="15" t="inlineStr">
        <is>
          <t>Р воды после кр. 5</t>
        </is>
      </c>
      <c r="I4" s="15" t="inlineStr">
        <is>
          <t>КОС</t>
        </is>
      </c>
      <c r="J4" s="15" t="inlineStr">
        <is>
          <t>АСУ,А и ТМ (КЦ № 6)</t>
        </is>
      </c>
      <c r="K4" s="15" t="n">
        <v>2012</v>
      </c>
      <c r="L4" s="15" t="n">
        <v>12</v>
      </c>
      <c r="M4" s="115" t="inlineStr">
        <is>
          <t>26ДЯУ</t>
        </is>
      </c>
      <c r="N4" s="15" t="inlineStr">
        <is>
          <t>П</t>
        </is>
      </c>
    </row>
    <row r="5">
      <c r="A5" s="15">
        <f>IF(B5&lt;&gt;"", COUNTA($B$2:B5), "")</f>
        <v/>
      </c>
      <c r="B5" s="15" t="inlineStr">
        <is>
          <t>Манометр технический</t>
        </is>
      </c>
      <c r="C5" s="15" t="inlineStr">
        <is>
          <t>МП4-УУ2</t>
        </is>
      </c>
      <c r="D5" s="15" t="n">
        <v>41</v>
      </c>
      <c r="E5" s="15" t="n">
        <v>2010</v>
      </c>
      <c r="F5" s="15" t="inlineStr">
        <is>
          <t>0..10 кгс/см2</t>
        </is>
      </c>
      <c r="G5" s="15" t="n">
        <v>1</v>
      </c>
      <c r="H5" s="15" t="inlineStr">
        <is>
          <t>Р воды после кр. 7</t>
        </is>
      </c>
      <c r="I5" s="15" t="inlineStr">
        <is>
          <t>КОС</t>
        </is>
      </c>
      <c r="J5" s="15" t="inlineStr">
        <is>
          <t>АСУ,А и ТМ (КЦ № 6)</t>
        </is>
      </c>
      <c r="K5" s="15" t="n">
        <v>2012</v>
      </c>
      <c r="L5" s="15" t="n">
        <v>12</v>
      </c>
      <c r="M5" s="115" t="inlineStr">
        <is>
          <t>26ДЯУ</t>
        </is>
      </c>
      <c r="N5" s="15" t="inlineStr">
        <is>
          <t>П</t>
        </is>
      </c>
    </row>
    <row r="6">
      <c r="A6" s="15">
        <f>IF(B6&lt;&gt;"", COUNTA($B$2:B6), "")</f>
        <v/>
      </c>
      <c r="B6" s="15" t="inlineStr">
        <is>
          <t>Манометр технический</t>
        </is>
      </c>
      <c r="C6" s="15" t="inlineStr">
        <is>
          <t>МП4-УУ2</t>
        </is>
      </c>
      <c r="D6" s="15" t="inlineStr">
        <is>
          <t>11</t>
        </is>
      </c>
      <c r="E6" s="15" t="n">
        <v>2010</v>
      </c>
      <c r="F6" s="15" t="inlineStr">
        <is>
          <t>0..10 кгс/см2</t>
        </is>
      </c>
      <c r="G6" s="15" t="n">
        <v>1</v>
      </c>
      <c r="H6" s="15" t="inlineStr">
        <is>
          <t>Р воды перед кр. 6</t>
        </is>
      </c>
      <c r="I6" s="15" t="inlineStr">
        <is>
          <t>КОС</t>
        </is>
      </c>
      <c r="J6" s="15" t="inlineStr">
        <is>
          <t>АСУ,А и ТМ (КЦ № 6)</t>
        </is>
      </c>
      <c r="K6" s="15" t="n">
        <v>2012</v>
      </c>
      <c r="L6" s="15" t="n">
        <v>12</v>
      </c>
      <c r="M6" s="115" t="inlineStr">
        <is>
          <t>26ДЯУ</t>
        </is>
      </c>
      <c r="N6" s="15" t="inlineStr">
        <is>
          <t>П</t>
        </is>
      </c>
    </row>
    <row r="7">
      <c r="A7" s="15">
        <f>IF(B7&lt;&gt;"", COUNTA($B$2:B7), "")</f>
        <v/>
      </c>
      <c r="B7" s="15" t="inlineStr">
        <is>
          <t>Манометр технический</t>
        </is>
      </c>
      <c r="C7" s="15" t="inlineStr">
        <is>
          <t>МП4-УУ2</t>
        </is>
      </c>
      <c r="D7" s="15" t="inlineStr">
        <is>
          <t>10</t>
        </is>
      </c>
      <c r="E7" s="15" t="n">
        <v>2010</v>
      </c>
      <c r="F7" s="15" t="inlineStr">
        <is>
          <t>0..10 кгс/см2</t>
        </is>
      </c>
      <c r="G7" s="15" t="n">
        <v>1</v>
      </c>
      <c r="H7" s="15" t="inlineStr">
        <is>
          <t>Р воды перед кр. 8</t>
        </is>
      </c>
      <c r="I7" s="15" t="inlineStr">
        <is>
          <t>КОС</t>
        </is>
      </c>
      <c r="J7" s="15" t="inlineStr">
        <is>
          <t>АСУ,А и ТМ (КЦ № 6)</t>
        </is>
      </c>
      <c r="K7" s="15" t="n">
        <v>2012</v>
      </c>
      <c r="L7" s="15" t="n">
        <v>12</v>
      </c>
      <c r="M7" s="115" t="inlineStr">
        <is>
          <t>26ДЯУ</t>
        </is>
      </c>
      <c r="N7" s="15" t="inlineStr">
        <is>
          <t>П</t>
        </is>
      </c>
    </row>
    <row r="8">
      <c r="A8" s="15">
        <f>IF(B8&lt;&gt;"", COUNTA($B$2:B8), "")</f>
        <v/>
      </c>
      <c r="B8" s="15" t="inlineStr">
        <is>
          <t>Манометр технический</t>
        </is>
      </c>
      <c r="C8" s="15" t="inlineStr">
        <is>
          <t>МП4-УУ2</t>
        </is>
      </c>
      <c r="D8" s="15" t="n">
        <v>43</v>
      </c>
      <c r="E8" s="15" t="n">
        <v>2010</v>
      </c>
      <c r="F8" s="15" t="inlineStr">
        <is>
          <t>0..10 кгс/см2</t>
        </is>
      </c>
      <c r="G8" s="15" t="n">
        <v>1</v>
      </c>
      <c r="H8" s="15" t="inlineStr">
        <is>
          <t>Р воды перед кр. 1</t>
        </is>
      </c>
      <c r="I8" s="15" t="inlineStr">
        <is>
          <t>КОС</t>
        </is>
      </c>
      <c r="J8" s="15" t="inlineStr">
        <is>
          <t>АСУ,А и ТМ (КЦ № 6)</t>
        </is>
      </c>
      <c r="K8" s="15" t="n">
        <v>2012</v>
      </c>
      <c r="L8" s="15" t="n">
        <v>12</v>
      </c>
      <c r="M8" s="115" t="inlineStr">
        <is>
          <t>26ДЯУ</t>
        </is>
      </c>
      <c r="N8" s="15" t="inlineStr">
        <is>
          <t>П</t>
        </is>
      </c>
    </row>
    <row r="9">
      <c r="A9" s="15">
        <f>IF(B9&lt;&gt;"", COUNTA($B$2:B9), "")</f>
        <v/>
      </c>
      <c r="B9" s="15" t="inlineStr">
        <is>
          <t>Манометр технический</t>
        </is>
      </c>
      <c r="C9" s="15" t="inlineStr">
        <is>
          <t>МП4-УУ2</t>
        </is>
      </c>
      <c r="D9" s="15" t="n">
        <v>4</v>
      </c>
      <c r="E9" s="15" t="n">
        <v>2010</v>
      </c>
      <c r="F9" s="15" t="inlineStr">
        <is>
          <t>0..10 кгс/см2</t>
        </is>
      </c>
      <c r="G9" s="15" t="n">
        <v>1</v>
      </c>
      <c r="H9" s="15" t="inlineStr">
        <is>
          <t>Р воды перед кр. 4</t>
        </is>
      </c>
      <c r="I9" s="15" t="inlineStr">
        <is>
          <t>КОС</t>
        </is>
      </c>
      <c r="J9" s="15" t="inlineStr">
        <is>
          <t>АСУ,А и ТМ (КЦ № 6)</t>
        </is>
      </c>
      <c r="K9" s="15" t="n">
        <v>2012</v>
      </c>
      <c r="L9" s="15" t="n">
        <v>12</v>
      </c>
      <c r="M9" s="115" t="inlineStr">
        <is>
          <t>26ДЯУ</t>
        </is>
      </c>
      <c r="N9" s="15" t="inlineStr">
        <is>
          <t>П</t>
        </is>
      </c>
    </row>
    <row r="10">
      <c r="A10" s="15">
        <f>IF(B10&lt;&gt;"", COUNTA($B$2:B10), "")</f>
        <v/>
      </c>
      <c r="B10" s="15" t="inlineStr">
        <is>
          <t>Манометр технический</t>
        </is>
      </c>
      <c r="C10" s="15" t="inlineStr">
        <is>
          <t>ДМ02-160-1-М</t>
        </is>
      </c>
      <c r="D10" s="15" t="n">
        <v>7098</v>
      </c>
      <c r="E10" s="15" t="n">
        <v>2010</v>
      </c>
      <c r="F10" s="15" t="inlineStr">
        <is>
          <t>0..6 кгс/см2</t>
        </is>
      </c>
      <c r="G10" s="15" t="n">
        <v>1.5</v>
      </c>
      <c r="H10" s="15" t="inlineStr">
        <is>
          <t>Р воды после кр. 2</t>
        </is>
      </c>
      <c r="I10" s="15" t="inlineStr">
        <is>
          <t>КОС</t>
        </is>
      </c>
      <c r="J10" s="15" t="inlineStr">
        <is>
          <t>АСУ,А и ТМ (КЦ № 6)</t>
        </is>
      </c>
      <c r="K10" s="15" t="n">
        <v>2012</v>
      </c>
      <c r="L10" s="15" t="n">
        <v>12</v>
      </c>
      <c r="M10" s="115" t="inlineStr">
        <is>
          <t>26ДЯУ</t>
        </is>
      </c>
      <c r="N10" s="15" t="inlineStr">
        <is>
          <t>П</t>
        </is>
      </c>
    </row>
    <row r="11">
      <c r="A11" s="15">
        <f>IF(B11&lt;&gt;"", COUNTA($B$2:B11), "")</f>
        <v/>
      </c>
      <c r="B11" s="15" t="inlineStr">
        <is>
          <t>Термометр биметаллический</t>
        </is>
      </c>
      <c r="C11" s="15" t="inlineStr">
        <is>
          <t>ТБ-2</t>
        </is>
      </c>
      <c r="D11" s="15" t="n">
        <v>6930</v>
      </c>
      <c r="E11" s="15" t="n">
        <v>2010</v>
      </c>
      <c r="F11" s="15" t="inlineStr">
        <is>
          <t>0  ..  120°С</t>
        </is>
      </c>
      <c r="G11" s="15" t="n">
        <v>1</v>
      </c>
      <c r="H11" s="15" t="inlineStr">
        <is>
          <t>Т воды после кр. 1</t>
        </is>
      </c>
      <c r="I11" s="15" t="inlineStr">
        <is>
          <t>КОС</t>
        </is>
      </c>
      <c r="J11" s="15" t="inlineStr">
        <is>
          <t>АСУ,А и ТМ (КЦ № 6)</t>
        </is>
      </c>
      <c r="K11" s="15" t="n">
        <v>2012</v>
      </c>
      <c r="L11" s="15" t="n">
        <v>12</v>
      </c>
      <c r="M11" s="115" t="inlineStr">
        <is>
          <t>25ДЯУ</t>
        </is>
      </c>
      <c r="N11" s="15" t="inlineStr">
        <is>
          <t>П</t>
        </is>
      </c>
    </row>
    <row r="12">
      <c r="A12" s="15">
        <f>IF(B12&lt;&gt;"", COUNTA($B$2:B12), "")</f>
        <v/>
      </c>
      <c r="B12" s="15" t="inlineStr">
        <is>
          <t>Термометр биметаллический</t>
        </is>
      </c>
      <c r="C12" s="15" t="inlineStr">
        <is>
          <t>ТБ-2</t>
        </is>
      </c>
      <c r="D12" s="15" t="n">
        <v>2965</v>
      </c>
      <c r="E12" s="15" t="n">
        <v>2010</v>
      </c>
      <c r="F12" s="15" t="inlineStr">
        <is>
          <t>0  ..  120°С</t>
        </is>
      </c>
      <c r="G12" s="15" t="n">
        <v>1</v>
      </c>
      <c r="H12" s="15" t="inlineStr">
        <is>
          <t>Т воды перед кр. 6</t>
        </is>
      </c>
      <c r="I12" s="15" t="inlineStr">
        <is>
          <t>КОС</t>
        </is>
      </c>
      <c r="J12" s="15" t="inlineStr">
        <is>
          <t>АСУ,А и ТМ (КЦ № 6)</t>
        </is>
      </c>
      <c r="K12" s="15" t="n">
        <v>2012</v>
      </c>
      <c r="L12" s="15" t="n">
        <v>12</v>
      </c>
      <c r="M12" s="115" t="inlineStr">
        <is>
          <t>25ДЯУ</t>
        </is>
      </c>
      <c r="N12" s="15" t="inlineStr">
        <is>
          <t>П</t>
        </is>
      </c>
    </row>
    <row r="13">
      <c r="A13" s="15">
        <f>IF(B13&lt;&gt;"", COUNTA($B$2:B13), "")</f>
        <v/>
      </c>
      <c r="B13" s="15" t="inlineStr">
        <is>
          <t>Термометр биметаллический</t>
        </is>
      </c>
      <c r="C13" s="15" t="inlineStr">
        <is>
          <t>ТБ-2</t>
        </is>
      </c>
      <c r="D13" s="15" t="n">
        <v>6694</v>
      </c>
      <c r="E13" s="15" t="n">
        <v>2010</v>
      </c>
      <c r="F13" s="15" t="inlineStr">
        <is>
          <t>0  ..  120°С</t>
        </is>
      </c>
      <c r="G13" s="15" t="n">
        <v>1</v>
      </c>
      <c r="H13" s="15" t="inlineStr">
        <is>
          <t>Т воды перед кр. 8</t>
        </is>
      </c>
      <c r="I13" s="15" t="inlineStr">
        <is>
          <t>КОС</t>
        </is>
      </c>
      <c r="J13" s="15" t="inlineStr">
        <is>
          <t>АСУ,А и ТМ (КЦ № 6)</t>
        </is>
      </c>
      <c r="K13" s="15" t="n">
        <v>2012</v>
      </c>
      <c r="L13" s="15" t="n">
        <v>12</v>
      </c>
      <c r="M13" s="115" t="inlineStr">
        <is>
          <t>25ДЯУ</t>
        </is>
      </c>
      <c r="N13" s="15" t="inlineStr">
        <is>
          <t>П</t>
        </is>
      </c>
    </row>
    <row r="14">
      <c r="A14" s="15">
        <f>IF(B14&lt;&gt;"", COUNTA($B$2:B14), "")</f>
        <v/>
      </c>
      <c r="B14" s="15" t="inlineStr">
        <is>
          <t>Термометр биметаллический</t>
        </is>
      </c>
      <c r="C14" s="15" t="inlineStr">
        <is>
          <t>ТБ-2</t>
        </is>
      </c>
      <c r="D14" s="15" t="n">
        <v>8986</v>
      </c>
      <c r="E14" s="15" t="n">
        <v>2010</v>
      </c>
      <c r="F14" s="15" t="inlineStr">
        <is>
          <t>0  ..  100°С</t>
        </is>
      </c>
      <c r="G14" s="15" t="n">
        <v>1.5</v>
      </c>
      <c r="H14" s="15" t="inlineStr">
        <is>
          <t>Т воды после кр. 3</t>
        </is>
      </c>
      <c r="I14" s="15" t="inlineStr">
        <is>
          <t>КОС</t>
        </is>
      </c>
      <c r="J14" s="15" t="inlineStr">
        <is>
          <t>АСУ,А и ТМ (КЦ № 6)</t>
        </is>
      </c>
      <c r="K14" s="15" t="n">
        <v>2012</v>
      </c>
      <c r="L14" s="15" t="n">
        <v>12</v>
      </c>
      <c r="M14" s="115" t="inlineStr">
        <is>
          <t>25ДЯУ</t>
        </is>
      </c>
      <c r="N14" s="15" t="inlineStr">
        <is>
          <t>П</t>
        </is>
      </c>
    </row>
    <row r="15" ht="22.5" customHeight="1" s="151">
      <c r="A15" s="15">
        <f>IF(B15&lt;&gt;"", COUNTA($B$2:B15), "")</f>
        <v/>
      </c>
      <c r="B15" s="280" t="inlineStr">
        <is>
          <t>Датчик давления избыточного</t>
        </is>
      </c>
      <c r="C15" s="15" t="inlineStr">
        <is>
          <t>СДВ-И-2,5-1,6</t>
        </is>
      </c>
      <c r="D15" s="15" t="n">
        <v>79756</v>
      </c>
      <c r="E15" s="10" t="n">
        <v>2012</v>
      </c>
      <c r="F15" s="26" t="inlineStr">
        <is>
          <t>0..2,5 MPa</t>
        </is>
      </c>
      <c r="G15" s="15" t="n">
        <v>1</v>
      </c>
      <c r="H15" s="3" t="inlineStr">
        <is>
          <t>Р прямой воды</t>
        </is>
      </c>
      <c r="I15" s="15" t="inlineStr">
        <is>
          <t>КОС</t>
        </is>
      </c>
      <c r="J15" s="15" t="inlineStr">
        <is>
          <t>АСУ,А и ТМ (КЦ № 6)</t>
        </is>
      </c>
      <c r="K15" s="15" t="n">
        <v>2012</v>
      </c>
      <c r="L15" s="15" t="n">
        <v>60</v>
      </c>
      <c r="M15" s="15" t="n"/>
      <c r="N15" s="15" t="n"/>
    </row>
    <row r="16" ht="22.5" customHeight="1" s="151">
      <c r="A16" s="15">
        <f>IF(B16&lt;&gt;"", COUNTA($B$2:B16), "")</f>
        <v/>
      </c>
      <c r="B16" s="280" t="inlineStr">
        <is>
          <t>Датчик давления избыточного</t>
        </is>
      </c>
      <c r="C16" s="15" t="inlineStr">
        <is>
          <t>СДВ-И-2,5-1,6</t>
        </is>
      </c>
      <c r="D16" s="15" t="n">
        <v>79757</v>
      </c>
      <c r="E16" s="10" t="n">
        <v>2012</v>
      </c>
      <c r="F16" s="26" t="inlineStr">
        <is>
          <t>0..2,5 MPa</t>
        </is>
      </c>
      <c r="G16" s="15" t="n">
        <v>1</v>
      </c>
      <c r="H16" s="3" t="inlineStr">
        <is>
          <t>Р прямой воды</t>
        </is>
      </c>
      <c r="I16" s="15" t="inlineStr">
        <is>
          <t>КОС</t>
        </is>
      </c>
      <c r="J16" s="15" t="inlineStr">
        <is>
          <t>АСУ,А и ТМ (КЦ № 6)</t>
        </is>
      </c>
      <c r="K16" s="15" t="n">
        <v>2012</v>
      </c>
      <c r="L16" s="15" t="n">
        <v>60</v>
      </c>
      <c r="M16" s="15" t="n"/>
      <c r="N16" s="15" t="n"/>
    </row>
    <row r="17">
      <c r="A17" s="15">
        <f>IF(B17&lt;&gt;"", COUNTA($B$2:B17), "")</f>
        <v/>
      </c>
      <c r="B17" s="280" t="inlineStr">
        <is>
          <t>Термометр сопротивления</t>
        </is>
      </c>
      <c r="C17" s="15" t="inlineStr">
        <is>
          <t>Взлет ТПС</t>
        </is>
      </c>
      <c r="D17" s="15" t="n">
        <v>1217486</v>
      </c>
      <c r="E17" s="10" t="n"/>
      <c r="F17" s="26" t="inlineStr">
        <is>
          <t>0…180 С</t>
        </is>
      </c>
      <c r="G17" s="15" t="n"/>
      <c r="H17" s="3" t="inlineStr">
        <is>
          <t>Т прямой воды</t>
        </is>
      </c>
      <c r="I17" s="15" t="inlineStr">
        <is>
          <t>КОС</t>
        </is>
      </c>
      <c r="J17" s="15" t="inlineStr">
        <is>
          <t>АСУ,А и ТМ (КЦ № 6)</t>
        </is>
      </c>
      <c r="K17" s="15" t="n"/>
      <c r="L17" s="15" t="n"/>
      <c r="M17" s="15" t="n"/>
      <c r="N17" s="15" t="n"/>
    </row>
    <row r="18">
      <c r="A18" s="15">
        <f>IF(B18&lt;&gt;"", COUNTA($B$2:B18), "")</f>
        <v/>
      </c>
      <c r="B18" s="280" t="inlineStr">
        <is>
          <t>Термометр сопротивления</t>
        </is>
      </c>
      <c r="C18" s="15" t="inlineStr">
        <is>
          <t>Взлет ТПС</t>
        </is>
      </c>
      <c r="D18" s="15" t="n">
        <v>1213116</v>
      </c>
      <c r="E18" s="10" t="n"/>
      <c r="F18" s="26" t="inlineStr">
        <is>
          <t>0…180 С</t>
        </is>
      </c>
      <c r="G18" s="15" t="n"/>
      <c r="H18" s="3" t="inlineStr">
        <is>
          <t>Т обратной воды</t>
        </is>
      </c>
      <c r="I18" s="15" t="inlineStr">
        <is>
          <t>КОС</t>
        </is>
      </c>
      <c r="J18" s="15" t="inlineStr">
        <is>
          <t>АСУ,А и ТМ (КЦ № 6)</t>
        </is>
      </c>
      <c r="K18" s="15" t="n"/>
      <c r="L18" s="15" t="n"/>
      <c r="M18" s="15" t="n"/>
      <c r="N18" s="15" t="n"/>
    </row>
    <row r="19" ht="22.5" customHeight="1" s="151">
      <c r="A19" s="15">
        <f>IF(B19&lt;&gt;"", COUNTA($B$2:B19), "")</f>
        <v/>
      </c>
      <c r="B19" s="280" t="inlineStr">
        <is>
          <t>Расходомер электромагнитный</t>
        </is>
      </c>
      <c r="C19" s="15" t="inlineStr">
        <is>
          <t>Взлет ЭРСВ-420Ф</t>
        </is>
      </c>
      <c r="D19" s="15" t="n">
        <v>1252779</v>
      </c>
      <c r="E19" s="47" t="n"/>
      <c r="F19" s="47" t="n"/>
      <c r="G19" s="47" t="n"/>
      <c r="H19" s="3" t="inlineStr">
        <is>
          <t>Расход сетевой воды</t>
        </is>
      </c>
      <c r="I19" s="3" t="inlineStr">
        <is>
          <t>КОС</t>
        </is>
      </c>
      <c r="J19" s="15" t="inlineStr">
        <is>
          <t>АСУ,А и ТМ (КЦ № 6)</t>
        </is>
      </c>
      <c r="K19" s="15" t="n"/>
      <c r="L19" s="47" t="n"/>
      <c r="M19" s="47" t="n"/>
      <c r="N19" s="47" t="n"/>
    </row>
    <row r="20">
      <c r="A20" s="15">
        <f>IF(B20&lt;&gt;"", COUNTA($B$2:B20), "")</f>
        <v/>
      </c>
      <c r="B20" s="280" t="inlineStr">
        <is>
          <t>Тепловычислитель</t>
        </is>
      </c>
      <c r="C20" s="15" t="inlineStr">
        <is>
          <t>Взлет ТСРВ-027</t>
        </is>
      </c>
      <c r="D20" s="15" t="n">
        <v>1200586</v>
      </c>
      <c r="E20" s="47" t="n"/>
      <c r="F20" s="47" t="n"/>
      <c r="G20" s="47" t="n"/>
      <c r="H20" s="3" t="inlineStr">
        <is>
          <t>Учет тепловой энергии</t>
        </is>
      </c>
      <c r="I20" s="3" t="inlineStr">
        <is>
          <t>КОС</t>
        </is>
      </c>
      <c r="J20" s="15" t="inlineStr">
        <is>
          <t>АСУ,А и ТМ (КЦ № 6)</t>
        </is>
      </c>
      <c r="K20" s="15" t="n"/>
      <c r="L20" s="47" t="n"/>
      <c r="M20" s="47" t="n"/>
      <c r="N20" s="47" t="n"/>
    </row>
    <row r="21">
      <c r="A21" s="15">
        <f>IF(B21&lt;&gt;"", COUNTA($B$2:B21), "")</f>
        <v/>
      </c>
      <c r="B21" s="15" t="inlineStr">
        <is>
          <t>Манометр технический</t>
        </is>
      </c>
      <c r="C21" s="15" t="inlineStr">
        <is>
          <t>МП4-УУ2</t>
        </is>
      </c>
      <c r="D21" s="15" t="inlineStr">
        <is>
          <t>5</t>
        </is>
      </c>
      <c r="E21" s="15" t="n">
        <v>2010</v>
      </c>
      <c r="F21" s="15" t="inlineStr">
        <is>
          <t>0..10 кгс/см2</t>
        </is>
      </c>
      <c r="G21" s="15" t="n">
        <v>1</v>
      </c>
      <c r="H21" s="15" t="inlineStr">
        <is>
          <t xml:space="preserve">Р прямой воды </t>
        </is>
      </c>
      <c r="I21" s="15" t="inlineStr">
        <is>
          <t>ПЭБ, тепловой пукт</t>
        </is>
      </c>
      <c r="J21" s="15" t="inlineStr">
        <is>
          <t>АСУ,А и ТМ (КЦ № 6)</t>
        </is>
      </c>
      <c r="K21" s="15" t="n">
        <v>2012</v>
      </c>
      <c r="L21" s="15" t="n">
        <v>12</v>
      </c>
      <c r="M21" s="244" t="inlineStr">
        <is>
          <t>26ДЯУ</t>
        </is>
      </c>
      <c r="N21" s="15" t="inlineStr">
        <is>
          <t>П</t>
        </is>
      </c>
    </row>
    <row r="22">
      <c r="A22" s="15">
        <f>IF(B22&lt;&gt;"", COUNTA($B$2:B22), "")</f>
        <v/>
      </c>
      <c r="B22" s="15" t="inlineStr">
        <is>
          <t>Манометр технический</t>
        </is>
      </c>
      <c r="C22" s="15" t="inlineStr">
        <is>
          <t>МП4-УУ2</t>
        </is>
      </c>
      <c r="D22" s="15" t="inlineStr">
        <is>
          <t>15524</t>
        </is>
      </c>
      <c r="E22" s="15" t="n">
        <v>2010</v>
      </c>
      <c r="F22" s="15" t="inlineStr">
        <is>
          <t>0..10 кгс/см2</t>
        </is>
      </c>
      <c r="G22" s="15" t="n">
        <v>1</v>
      </c>
      <c r="H22" s="15" t="inlineStr">
        <is>
          <t>Р воды в В1 после Ф</t>
        </is>
      </c>
      <c r="I22" s="15" t="inlineStr">
        <is>
          <t>ПЭБ, тепловой пукт</t>
        </is>
      </c>
      <c r="J22" s="15" t="inlineStr">
        <is>
          <t>АСУ,А и ТМ (КЦ № 6)</t>
        </is>
      </c>
      <c r="K22" s="15" t="n">
        <v>2012</v>
      </c>
      <c r="L22" s="15" t="n">
        <v>12</v>
      </c>
      <c r="M22" s="244" t="inlineStr">
        <is>
          <t>26ДЯУ</t>
        </is>
      </c>
      <c r="N22" s="15" t="inlineStr">
        <is>
          <t>П</t>
        </is>
      </c>
    </row>
    <row r="23">
      <c r="A23" s="15">
        <f>IF(B23&lt;&gt;"", COUNTA($B$2:B23), "")</f>
        <v/>
      </c>
      <c r="B23" s="15" t="inlineStr">
        <is>
          <t>Манометр технический</t>
        </is>
      </c>
      <c r="C23" s="15" t="inlineStr">
        <is>
          <t>МП4-УУ2</t>
        </is>
      </c>
      <c r="D23" s="15" t="inlineStr">
        <is>
          <t>29</t>
        </is>
      </c>
      <c r="E23" s="15" t="n">
        <v>2010</v>
      </c>
      <c r="F23" s="15" t="inlineStr">
        <is>
          <t>0..10 кгс/см2</t>
        </is>
      </c>
      <c r="G23" s="15" t="n">
        <v>1</v>
      </c>
      <c r="H23" s="15" t="inlineStr">
        <is>
          <t>Р воды перед кр. 8</t>
        </is>
      </c>
      <c r="I23" s="15" t="inlineStr">
        <is>
          <t>ПЭБ, тепловой пукт</t>
        </is>
      </c>
      <c r="J23" s="15" t="inlineStr">
        <is>
          <t>АСУ,А и ТМ (КЦ № 6)</t>
        </is>
      </c>
      <c r="K23" s="15" t="n">
        <v>2012</v>
      </c>
      <c r="L23" s="15" t="n">
        <v>12</v>
      </c>
      <c r="M23" s="244" t="inlineStr">
        <is>
          <t>26ДЯУ</t>
        </is>
      </c>
      <c r="N23" s="15" t="inlineStr">
        <is>
          <t>П</t>
        </is>
      </c>
    </row>
    <row r="24">
      <c r="A24" s="15">
        <f>IF(B24&lt;&gt;"", COUNTA($B$2:B24), "")</f>
        <v/>
      </c>
      <c r="B24" s="15" t="inlineStr">
        <is>
          <t>Манометр технический</t>
        </is>
      </c>
      <c r="C24" s="15" t="inlineStr">
        <is>
          <t>МП4-УУ2</t>
        </is>
      </c>
      <c r="D24" s="15" t="inlineStr">
        <is>
          <t>28</t>
        </is>
      </c>
      <c r="E24" s="15" t="n">
        <v>2010</v>
      </c>
      <c r="F24" s="15" t="inlineStr">
        <is>
          <t>0..10 кгс/см2</t>
        </is>
      </c>
      <c r="G24" s="15" t="n">
        <v>1</v>
      </c>
      <c r="H24" s="15" t="inlineStr">
        <is>
          <t>Р воды перед кр. 6</t>
        </is>
      </c>
      <c r="I24" s="15" t="inlineStr">
        <is>
          <t>ПЭБ, тепловой пукт</t>
        </is>
      </c>
      <c r="J24" s="15" t="inlineStr">
        <is>
          <t>АСУ,А и ТМ (КЦ № 6)</t>
        </is>
      </c>
      <c r="K24" s="15" t="n">
        <v>2012</v>
      </c>
      <c r="L24" s="15" t="n">
        <v>12</v>
      </c>
      <c r="M24" s="244" t="inlineStr">
        <is>
          <t>26ДЯУ</t>
        </is>
      </c>
      <c r="N24" s="15" t="inlineStr">
        <is>
          <t>П</t>
        </is>
      </c>
    </row>
    <row r="25">
      <c r="A25" s="15">
        <f>IF(B25&lt;&gt;"", COUNTA($B$2:B25), "")</f>
        <v/>
      </c>
      <c r="B25" s="15" t="inlineStr">
        <is>
          <t>Манометр технический</t>
        </is>
      </c>
      <c r="C25" s="15" t="inlineStr">
        <is>
          <t>МП4-УУ2</t>
        </is>
      </c>
      <c r="D25" s="15" t="n">
        <v>15277</v>
      </c>
      <c r="E25" s="15" t="n">
        <v>2010</v>
      </c>
      <c r="F25" s="15" t="inlineStr">
        <is>
          <t>0..10 кгс/см2</t>
        </is>
      </c>
      <c r="G25" s="15" t="n">
        <v>1.5</v>
      </c>
      <c r="H25" s="15" t="inlineStr">
        <is>
          <t>Р воды перед кр. 4</t>
        </is>
      </c>
      <c r="I25" s="15" t="inlineStr">
        <is>
          <t>ПЭБ, тепловой пукт</t>
        </is>
      </c>
      <c r="J25" s="15" t="inlineStr">
        <is>
          <t>АСУ,А и ТМ (КЦ № 6)</t>
        </is>
      </c>
      <c r="K25" s="15" t="n">
        <v>2012</v>
      </c>
      <c r="L25" s="15" t="n">
        <v>12</v>
      </c>
      <c r="M25" s="244" t="inlineStr">
        <is>
          <t>26ДЯУ</t>
        </is>
      </c>
      <c r="N25" s="15" t="inlineStr">
        <is>
          <t>П</t>
        </is>
      </c>
    </row>
    <row r="26">
      <c r="A26" s="15">
        <f>IF(B26&lt;&gt;"", COUNTA($B$2:B26), "")</f>
        <v/>
      </c>
      <c r="B26" s="15" t="inlineStr">
        <is>
          <t>Манометр технический</t>
        </is>
      </c>
      <c r="C26" s="15" t="inlineStr">
        <is>
          <t>МП4-УУ2</t>
        </is>
      </c>
      <c r="D26" s="15" t="inlineStr">
        <is>
          <t>7094</t>
        </is>
      </c>
      <c r="E26" s="15" t="n">
        <v>2010</v>
      </c>
      <c r="F26" s="15" t="inlineStr">
        <is>
          <t>0..10 кгс/см2</t>
        </is>
      </c>
      <c r="G26" s="15" t="n">
        <v>1</v>
      </c>
      <c r="H26" s="15" t="inlineStr">
        <is>
          <t>Р воды после кр. 12</t>
        </is>
      </c>
      <c r="I26" s="15" t="inlineStr">
        <is>
          <t>ПЭБ, тепловой пукт</t>
        </is>
      </c>
      <c r="J26" s="15" t="inlineStr">
        <is>
          <t>АСУ,А и ТМ (КЦ № 6)</t>
        </is>
      </c>
      <c r="K26" s="15" t="n">
        <v>2012</v>
      </c>
      <c r="L26" s="15" t="n">
        <v>12</v>
      </c>
      <c r="M26" s="244" t="inlineStr">
        <is>
          <t>26ДЯУ</t>
        </is>
      </c>
      <c r="N26" s="15" t="inlineStr">
        <is>
          <t>П</t>
        </is>
      </c>
    </row>
    <row r="27" ht="33.75" customHeight="1" s="151">
      <c r="A27" s="15">
        <f>IF(B27&lt;&gt;"", COUNTA($B$2:B27), "")</f>
        <v/>
      </c>
      <c r="B27" s="15" t="inlineStr">
        <is>
          <t>Манометр технический</t>
        </is>
      </c>
      <c r="C27" s="15" t="inlineStr">
        <is>
          <t>МП3-УТ2</t>
        </is>
      </c>
      <c r="D27" s="15" t="inlineStr">
        <is>
          <t>1426120</t>
        </is>
      </c>
      <c r="E27" s="15" t="n">
        <v>2010</v>
      </c>
      <c r="F27" s="15" t="inlineStr">
        <is>
          <t>0..6 кгс/см2</t>
        </is>
      </c>
      <c r="G27" s="15" t="n">
        <v>1</v>
      </c>
      <c r="H27" s="15" t="inlineStr">
        <is>
          <t>Р воды перед клапаном-регулятором перепада давления</t>
        </is>
      </c>
      <c r="I27" s="15" t="inlineStr">
        <is>
          <t>ПЭБ, тепловой пукт</t>
        </is>
      </c>
      <c r="J27" s="15" t="inlineStr">
        <is>
          <t>АСУ,А и ТМ (КЦ № 6)</t>
        </is>
      </c>
      <c r="K27" s="15" t="n">
        <v>2012</v>
      </c>
      <c r="L27" s="15" t="n">
        <v>12</v>
      </c>
      <c r="M27" s="244" t="inlineStr">
        <is>
          <t>26ДЯУ</t>
        </is>
      </c>
      <c r="N27" s="15" t="inlineStr">
        <is>
          <t>П</t>
        </is>
      </c>
    </row>
    <row r="28" ht="33.75" customHeight="1" s="151">
      <c r="A28" s="15">
        <f>IF(B28&lt;&gt;"", COUNTA($B$2:B28), "")</f>
        <v/>
      </c>
      <c r="B28" s="15" t="inlineStr">
        <is>
          <t>Манометр технический</t>
        </is>
      </c>
      <c r="C28" s="15" t="inlineStr">
        <is>
          <t>МП4-УУ2</t>
        </is>
      </c>
      <c r="D28" s="15" t="n">
        <v>15254</v>
      </c>
      <c r="E28" s="15" t="n">
        <v>2014</v>
      </c>
      <c r="F28" s="15" t="inlineStr">
        <is>
          <t>0..10 кгс/см2</t>
        </is>
      </c>
      <c r="G28" s="15" t="n">
        <v>1.5</v>
      </c>
      <c r="H28" s="15" t="inlineStr">
        <is>
          <t>Р воды после клапана-регулятора перепада давления</t>
        </is>
      </c>
      <c r="I28" s="15" t="inlineStr">
        <is>
          <t>ПЭБ, тепловой пукт</t>
        </is>
      </c>
      <c r="J28" s="15" t="inlineStr">
        <is>
          <t>АСУ,А и ТМ (КЦ № 6)</t>
        </is>
      </c>
      <c r="K28" s="15" t="n">
        <v>2012</v>
      </c>
      <c r="L28" s="15" t="n">
        <v>12</v>
      </c>
      <c r="M28" s="244" t="inlineStr">
        <is>
          <t>26ДЯУ</t>
        </is>
      </c>
      <c r="N28" s="15" t="inlineStr">
        <is>
          <t>П</t>
        </is>
      </c>
    </row>
    <row r="29">
      <c r="A29" s="15">
        <f>IF(B29&lt;&gt;"", COUNTA($B$2:B29), "")</f>
        <v/>
      </c>
      <c r="B29" s="15" t="inlineStr">
        <is>
          <t>Манометр технический</t>
        </is>
      </c>
      <c r="C29" s="15" t="inlineStr">
        <is>
          <t>МП4-УУ2</t>
        </is>
      </c>
      <c r="D29" s="15" t="inlineStr">
        <is>
          <t>7090</t>
        </is>
      </c>
      <c r="E29" s="15" t="n">
        <v>2010</v>
      </c>
      <c r="F29" s="15" t="inlineStr">
        <is>
          <t>0..10 кгс/см2</t>
        </is>
      </c>
      <c r="G29" s="15" t="n">
        <v>1</v>
      </c>
      <c r="H29" s="15" t="inlineStr">
        <is>
          <t>Р воды после кр. 7</t>
        </is>
      </c>
      <c r="I29" s="15" t="inlineStr">
        <is>
          <t>ПЭБ, тепловой пукт</t>
        </is>
      </c>
      <c r="J29" s="15" t="inlineStr">
        <is>
          <t>АСУ,А и ТМ (КЦ № 6)</t>
        </is>
      </c>
      <c r="K29" s="15" t="n">
        <v>2012</v>
      </c>
      <c r="L29" s="15" t="n">
        <v>12</v>
      </c>
      <c r="M29" s="244" t="inlineStr">
        <is>
          <t>26ДЯУ</t>
        </is>
      </c>
      <c r="N29" s="15" t="inlineStr">
        <is>
          <t>П</t>
        </is>
      </c>
    </row>
    <row r="30">
      <c r="A30" s="15">
        <f>IF(B30&lt;&gt;"", COUNTA($B$2:B30), "")</f>
        <v/>
      </c>
      <c r="B30" s="15" t="inlineStr">
        <is>
          <t>Манометр технический</t>
        </is>
      </c>
      <c r="C30" s="15" t="inlineStr">
        <is>
          <t>МП4-УУ2</t>
        </is>
      </c>
      <c r="D30" s="15" t="inlineStr">
        <is>
          <t>15528</t>
        </is>
      </c>
      <c r="E30" s="15" t="n">
        <v>2010</v>
      </c>
      <c r="F30" s="15" t="inlineStr">
        <is>
          <t>0..10 кгс/см2</t>
        </is>
      </c>
      <c r="G30" s="15" t="n">
        <v>1</v>
      </c>
      <c r="H30" s="15" t="inlineStr">
        <is>
          <t>Р воды после кр. 5</t>
        </is>
      </c>
      <c r="I30" s="15" t="inlineStr">
        <is>
          <t>ПЭБ, тепловой пукт</t>
        </is>
      </c>
      <c r="J30" s="15" t="inlineStr">
        <is>
          <t>АСУ,А и ТМ (КЦ № 6)</t>
        </is>
      </c>
      <c r="K30" s="15" t="n">
        <v>2012</v>
      </c>
      <c r="L30" s="15" t="n">
        <v>12</v>
      </c>
      <c r="M30" s="244" t="inlineStr">
        <is>
          <t>26ДЯУ</t>
        </is>
      </c>
      <c r="N30" s="15" t="inlineStr">
        <is>
          <t>П</t>
        </is>
      </c>
    </row>
    <row r="31">
      <c r="A31" s="15">
        <f>IF(B31&lt;&gt;"", COUNTA($B$2:B31), "")</f>
        <v/>
      </c>
      <c r="B31" s="15" t="inlineStr">
        <is>
          <t>Термометр биметаллический</t>
        </is>
      </c>
      <c r="C31" s="15" t="inlineStr">
        <is>
          <t>ТБ-2Р</t>
        </is>
      </c>
      <c r="D31" s="15" t="inlineStr">
        <is>
          <t>5858</t>
        </is>
      </c>
      <c r="E31" s="15" t="n">
        <v>2010</v>
      </c>
      <c r="F31" s="15" t="inlineStr">
        <is>
          <t>0  ..  120°С</t>
        </is>
      </c>
      <c r="G31" s="15" t="n">
        <v>1</v>
      </c>
      <c r="H31" s="15" t="inlineStr">
        <is>
          <t xml:space="preserve">Т воды в Т1 перед Ф </t>
        </is>
      </c>
      <c r="I31" s="15" t="inlineStr">
        <is>
          <t>ПЭБ, тепловой пукт</t>
        </is>
      </c>
      <c r="J31" s="15" t="inlineStr">
        <is>
          <t>АСУ,А и ТМ (КЦ № 6)</t>
        </is>
      </c>
      <c r="K31" s="15" t="n">
        <v>2012</v>
      </c>
      <c r="L31" s="15" t="n">
        <v>24</v>
      </c>
      <c r="M31" s="115" t="inlineStr">
        <is>
          <t>25ДЯУ</t>
        </is>
      </c>
      <c r="N31" s="15" t="inlineStr">
        <is>
          <t>П</t>
        </is>
      </c>
    </row>
    <row r="32">
      <c r="A32" s="15">
        <f>IF(B32&lt;&gt;"", COUNTA($B$2:B32), "")</f>
        <v/>
      </c>
      <c r="B32" s="15" t="inlineStr">
        <is>
          <t>Термометр биметаллический</t>
        </is>
      </c>
      <c r="C32" s="15" t="inlineStr">
        <is>
          <t>ТБ-2</t>
        </is>
      </c>
      <c r="D32" s="15" t="n">
        <v>6922</v>
      </c>
      <c r="E32" s="15" t="n">
        <v>2010</v>
      </c>
      <c r="F32" s="15" t="inlineStr">
        <is>
          <t>0  ..  120°С</t>
        </is>
      </c>
      <c r="G32" s="15" t="n">
        <v>1.5</v>
      </c>
      <c r="H32" s="15" t="inlineStr">
        <is>
          <t xml:space="preserve">Т воды в Т1 после Ф </t>
        </is>
      </c>
      <c r="I32" s="15" t="inlineStr">
        <is>
          <t>ПЭБ, тепловой пукт</t>
        </is>
      </c>
      <c r="J32" s="15" t="inlineStr">
        <is>
          <t>АСУ,А и ТМ (КЦ № 6)</t>
        </is>
      </c>
      <c r="K32" s="15" t="n">
        <v>2012</v>
      </c>
      <c r="L32" s="15" t="n">
        <v>24</v>
      </c>
      <c r="M32" s="115" t="inlineStr">
        <is>
          <t>25ДЯУ</t>
        </is>
      </c>
      <c r="N32" s="15" t="inlineStr">
        <is>
          <t>П</t>
        </is>
      </c>
    </row>
    <row r="33">
      <c r="A33" s="15">
        <f>IF(B33&lt;&gt;"", COUNTA($B$2:B33), "")</f>
        <v/>
      </c>
      <c r="B33" s="15" t="inlineStr">
        <is>
          <t>Термометр биметаллический</t>
        </is>
      </c>
      <c r="C33" s="15" t="inlineStr">
        <is>
          <t>ТБ-2</t>
        </is>
      </c>
      <c r="D33" s="15" t="n">
        <v>7510</v>
      </c>
      <c r="E33" s="15" t="n">
        <v>2010</v>
      </c>
      <c r="F33" s="15" t="inlineStr">
        <is>
          <t>0  ..  120°С</t>
        </is>
      </c>
      <c r="G33" s="15" t="n">
        <v>1.5</v>
      </c>
      <c r="H33" s="15" t="inlineStr">
        <is>
          <t xml:space="preserve">Т воды перед кр. 8 </t>
        </is>
      </c>
      <c r="I33" s="15" t="inlineStr">
        <is>
          <t>ПЭБ, тепловой пукт</t>
        </is>
      </c>
      <c r="J33" s="15" t="inlineStr">
        <is>
          <t>АСУ,А и ТМ (КЦ № 6)</t>
        </is>
      </c>
      <c r="K33" s="15" t="n">
        <v>2012</v>
      </c>
      <c r="L33" s="15" t="n">
        <v>24</v>
      </c>
      <c r="M33" s="115" t="inlineStr">
        <is>
          <t>25ДЯУ</t>
        </is>
      </c>
      <c r="N33" s="15" t="inlineStr">
        <is>
          <t>П</t>
        </is>
      </c>
    </row>
    <row r="34">
      <c r="A34" s="15">
        <f>IF(B34&lt;&gt;"", COUNTA($B$2:B34), "")</f>
        <v/>
      </c>
      <c r="B34" s="15" t="inlineStr">
        <is>
          <t>Термометр биметаллический</t>
        </is>
      </c>
      <c r="C34" s="15" t="inlineStr">
        <is>
          <t>ТБ-2</t>
        </is>
      </c>
      <c r="D34" s="15" t="n">
        <v>7438</v>
      </c>
      <c r="E34" s="15" t="n">
        <v>2010</v>
      </c>
      <c r="F34" s="15" t="inlineStr">
        <is>
          <t>0  ..  120°С</t>
        </is>
      </c>
      <c r="G34" s="15" t="n">
        <v>1.5</v>
      </c>
      <c r="H34" s="15" t="inlineStr">
        <is>
          <t xml:space="preserve">Т воды перед кр. 6 </t>
        </is>
      </c>
      <c r="I34" s="15" t="inlineStr">
        <is>
          <t>ПЭБ, тепловой пукт</t>
        </is>
      </c>
      <c r="J34" s="15" t="inlineStr">
        <is>
          <t>АСУ,А и ТМ (КЦ № 6)</t>
        </is>
      </c>
      <c r="K34" s="15" t="n">
        <v>2012</v>
      </c>
      <c r="L34" s="15" t="n">
        <v>24</v>
      </c>
      <c r="M34" s="115" t="inlineStr">
        <is>
          <t>25ДЯУ</t>
        </is>
      </c>
      <c r="N34" s="15" t="inlineStr">
        <is>
          <t>П</t>
        </is>
      </c>
    </row>
    <row r="35">
      <c r="A35" s="15">
        <f>IF(B35&lt;&gt;"", COUNTA($B$2:B35), "")</f>
        <v/>
      </c>
      <c r="B35" s="15" t="inlineStr">
        <is>
          <t>Термометр биметаллический</t>
        </is>
      </c>
      <c r="C35" s="15" t="inlineStr">
        <is>
          <t>ТБ-2</t>
        </is>
      </c>
      <c r="D35" s="15" t="inlineStr">
        <is>
          <t>8957</t>
        </is>
      </c>
      <c r="E35" s="15" t="n">
        <v>2010</v>
      </c>
      <c r="F35" s="15" t="inlineStr">
        <is>
          <t>0  ..  100°С</t>
        </is>
      </c>
      <c r="G35" s="15" t="n">
        <v>1.5</v>
      </c>
      <c r="H35" s="15" t="inlineStr">
        <is>
          <t xml:space="preserve">Т воды перед кр. 4 </t>
        </is>
      </c>
      <c r="I35" s="15" t="inlineStr">
        <is>
          <t>ПЭБ, тепловой пукт</t>
        </is>
      </c>
      <c r="J35" s="15" t="inlineStr">
        <is>
          <t>АСУ,А и ТМ (КЦ № 6)</t>
        </is>
      </c>
      <c r="K35" s="15" t="n">
        <v>2012</v>
      </c>
      <c r="L35" s="15" t="n">
        <v>24</v>
      </c>
      <c r="M35" s="115" t="inlineStr">
        <is>
          <t>25ДЯУ</t>
        </is>
      </c>
      <c r="N35" s="15" t="inlineStr">
        <is>
          <t>П</t>
        </is>
      </c>
    </row>
    <row r="36">
      <c r="A36" s="15">
        <f>IF(B36&lt;&gt;"", COUNTA($B$2:B36), "")</f>
        <v/>
      </c>
      <c r="B36" s="15" t="inlineStr">
        <is>
          <t>Термометр биметаллический</t>
        </is>
      </c>
      <c r="C36" s="15" t="inlineStr">
        <is>
          <t>ТБ-2Р</t>
        </is>
      </c>
      <c r="D36" s="15" t="inlineStr">
        <is>
          <t>5886</t>
        </is>
      </c>
      <c r="E36" s="15" t="n">
        <v>2010</v>
      </c>
      <c r="F36" s="15" t="inlineStr">
        <is>
          <t>0  ..  120°С</t>
        </is>
      </c>
      <c r="G36" s="15" t="n">
        <v>1</v>
      </c>
      <c r="H36" s="15" t="inlineStr">
        <is>
          <t>Т воды до крана 2</t>
        </is>
      </c>
      <c r="I36" s="15" t="inlineStr">
        <is>
          <t>ПЭБ, тепловой пукт</t>
        </is>
      </c>
      <c r="J36" s="15" t="inlineStr">
        <is>
          <t>АСУ,А и ТМ (КЦ № 6)</t>
        </is>
      </c>
      <c r="K36" s="15" t="n">
        <v>2012</v>
      </c>
      <c r="L36" s="15" t="n">
        <v>24</v>
      </c>
      <c r="M36" s="115" t="inlineStr">
        <is>
          <t>25ДЯУ</t>
        </is>
      </c>
      <c r="N36" s="15" t="inlineStr">
        <is>
          <t>П</t>
        </is>
      </c>
    </row>
    <row r="37" ht="22.5" customHeight="1" s="151">
      <c r="A37" s="15">
        <f>IF(B37&lt;&gt;"", COUNTA($B$2:B37), "")</f>
        <v/>
      </c>
      <c r="B37" s="280" t="inlineStr">
        <is>
          <t>Датчик давления избыточного</t>
        </is>
      </c>
      <c r="C37" s="15" t="inlineStr">
        <is>
          <t>СДВ-И-2,5-1,6</t>
        </is>
      </c>
      <c r="D37" s="15" t="n">
        <v>73528</v>
      </c>
      <c r="E37" s="10" t="n">
        <v>2012</v>
      </c>
      <c r="F37" s="26" t="inlineStr">
        <is>
          <t>0..2,5 MPa</t>
        </is>
      </c>
      <c r="G37" s="15" t="n">
        <v>1</v>
      </c>
      <c r="H37" s="3" t="inlineStr">
        <is>
          <t>Р прямой воды</t>
        </is>
      </c>
      <c r="I37" s="15" t="inlineStr">
        <is>
          <t>ПЭБ, тепловой пукт</t>
        </is>
      </c>
      <c r="J37" s="15" t="inlineStr">
        <is>
          <t>АСУ,А и ТМ (КЦ № 6)</t>
        </is>
      </c>
      <c r="K37" s="15" t="n">
        <v>2012</v>
      </c>
      <c r="L37" s="15" t="n">
        <v>60</v>
      </c>
      <c r="M37" s="15" t="n"/>
      <c r="N37" s="15" t="n"/>
    </row>
    <row r="38" ht="22.5" customHeight="1" s="151">
      <c r="A38" s="15">
        <f>IF(B38&lt;&gt;"", COUNTA($B$2:B38), "")</f>
        <v/>
      </c>
      <c r="B38" s="280" t="inlineStr">
        <is>
          <t>Датчик давления избыточного</t>
        </is>
      </c>
      <c r="C38" s="15" t="inlineStr">
        <is>
          <t>СДВ-И-2,5-1,6</t>
        </is>
      </c>
      <c r="D38" s="15" t="n">
        <v>73529</v>
      </c>
      <c r="E38" s="10" t="n">
        <v>2012</v>
      </c>
      <c r="F38" s="26" t="inlineStr">
        <is>
          <t>0..2,5 MPa</t>
        </is>
      </c>
      <c r="G38" s="15" t="n">
        <v>1</v>
      </c>
      <c r="H38" s="3" t="inlineStr">
        <is>
          <t>Р обратной воды</t>
        </is>
      </c>
      <c r="I38" s="15" t="inlineStr">
        <is>
          <t>ПЭБ, тепловой пукт</t>
        </is>
      </c>
      <c r="J38" s="15" t="inlineStr">
        <is>
          <t>АСУ,А и ТМ (КЦ № 6)</t>
        </is>
      </c>
      <c r="K38" s="15" t="n">
        <v>2012</v>
      </c>
      <c r="L38" s="15" t="n">
        <v>60</v>
      </c>
      <c r="M38" s="15" t="n"/>
      <c r="N38" s="15" t="n"/>
    </row>
    <row r="39">
      <c r="A39" s="15">
        <f>IF(B39&lt;&gt;"", COUNTA($B$2:B39), "")</f>
        <v/>
      </c>
      <c r="B39" s="280" t="inlineStr">
        <is>
          <t>Термометр сопротивления</t>
        </is>
      </c>
      <c r="C39" s="15" t="inlineStr">
        <is>
          <t>Взлет ТПС</t>
        </is>
      </c>
      <c r="D39" s="15" t="n">
        <v>1213426</v>
      </c>
      <c r="E39" s="10" t="n"/>
      <c r="F39" s="26" t="inlineStr">
        <is>
          <t>0…180 С</t>
        </is>
      </c>
      <c r="G39" s="15" t="n"/>
      <c r="H39" s="3" t="inlineStr">
        <is>
          <t>Т прямой воды</t>
        </is>
      </c>
      <c r="I39" s="15" t="inlineStr">
        <is>
          <t>ПЭБ, тепловой пукт</t>
        </is>
      </c>
      <c r="J39" s="15" t="inlineStr">
        <is>
          <t>АСУ,А и ТМ (КЦ № 6)</t>
        </is>
      </c>
      <c r="K39" s="15" t="n"/>
      <c r="L39" s="15" t="n"/>
      <c r="M39" s="15" t="n"/>
      <c r="N39" s="15" t="n"/>
    </row>
    <row r="40">
      <c r="A40" s="15">
        <f>IF(B40&lt;&gt;"", COUNTA($B$2:B40), "")</f>
        <v/>
      </c>
      <c r="B40" s="280" t="inlineStr">
        <is>
          <t>Термометр сопротивления</t>
        </is>
      </c>
      <c r="C40" s="15" t="inlineStr">
        <is>
          <t>Взлет ТПС</t>
        </is>
      </c>
      <c r="D40" s="15" t="n">
        <v>1217506</v>
      </c>
      <c r="E40" s="10" t="n"/>
      <c r="F40" s="26" t="inlineStr">
        <is>
          <t>0…180 С</t>
        </is>
      </c>
      <c r="G40" s="15" t="n"/>
      <c r="H40" s="3" t="inlineStr">
        <is>
          <t>Т обратной воды</t>
        </is>
      </c>
      <c r="I40" s="15" t="inlineStr">
        <is>
          <t>ПЭБ, тепловой пукт</t>
        </is>
      </c>
      <c r="J40" s="15" t="inlineStr">
        <is>
          <t>АСУ,А и ТМ (КЦ № 6)</t>
        </is>
      </c>
      <c r="K40" s="15" t="n"/>
      <c r="L40" s="15" t="n"/>
      <c r="M40" s="15" t="n"/>
      <c r="N40" s="15" t="n"/>
    </row>
    <row r="41" ht="22.5" customHeight="1" s="151">
      <c r="A41" s="15">
        <f>IF(B41&lt;&gt;"", COUNTA($B$2:B41), "")</f>
        <v/>
      </c>
      <c r="B41" s="280" t="inlineStr">
        <is>
          <t>Расходомер электромагнитный</t>
        </is>
      </c>
      <c r="C41" s="15" t="inlineStr">
        <is>
          <t>Взлет ЭРСВ-430Л</t>
        </is>
      </c>
      <c r="D41" s="15" t="n">
        <v>1234370</v>
      </c>
      <c r="E41" s="47" t="n"/>
      <c r="F41" s="47" t="n"/>
      <c r="G41" s="47" t="n"/>
      <c r="H41" s="3" t="inlineStr">
        <is>
          <t>Расход воды в системе отопления</t>
        </is>
      </c>
      <c r="I41" s="15" t="inlineStr">
        <is>
          <t>ПЭБ, тепловой пукт</t>
        </is>
      </c>
      <c r="J41" s="15" t="inlineStr">
        <is>
          <t>АСУ,А и ТМ (КЦ № 6)</t>
        </is>
      </c>
      <c r="K41" s="15" t="n"/>
      <c r="L41" s="47" t="n"/>
      <c r="M41" s="47" t="n"/>
      <c r="N41" s="47" t="n"/>
    </row>
    <row r="42">
      <c r="A42" s="15">
        <f>IF(B42&lt;&gt;"", COUNTA($B$2:B42), "")</f>
        <v/>
      </c>
      <c r="B42" s="280" t="inlineStr">
        <is>
          <t>Тепловычислитель</t>
        </is>
      </c>
      <c r="C42" s="15" t="inlineStr">
        <is>
          <t>Взлет ТСРВ-027</t>
        </is>
      </c>
      <c r="D42" s="15" t="n">
        <v>1200734</v>
      </c>
      <c r="E42" s="47" t="n"/>
      <c r="F42" s="47" t="n"/>
      <c r="G42" s="47" t="n"/>
      <c r="H42" s="3" t="inlineStr">
        <is>
          <t>Учет тепловой энергии</t>
        </is>
      </c>
      <c r="I42" s="15" t="inlineStr">
        <is>
          <t>ПЭБ, тепловой пукт</t>
        </is>
      </c>
      <c r="J42" s="15" t="inlineStr">
        <is>
          <t>АСУ,А и ТМ (КЦ № 6)</t>
        </is>
      </c>
      <c r="K42" s="15" t="n"/>
      <c r="L42" s="47" t="n"/>
      <c r="M42" s="47" t="n"/>
      <c r="N42" s="47" t="n"/>
    </row>
    <row r="43" ht="22.5" customHeight="1" s="151">
      <c r="A43" s="15">
        <f>IF(B43&lt;&gt;"", COUNTA($B$2:B43), "")</f>
        <v/>
      </c>
      <c r="B43" s="15" t="inlineStr">
        <is>
          <t>Манометр технический</t>
        </is>
      </c>
      <c r="C43" s="15" t="inlineStr">
        <is>
          <t>МП4-УУ2</t>
        </is>
      </c>
      <c r="D43" s="15" t="n">
        <v>15527</v>
      </c>
      <c r="E43" s="15" t="n">
        <v>2010</v>
      </c>
      <c r="F43" s="15" t="inlineStr">
        <is>
          <t>0..10 кгс/см2</t>
        </is>
      </c>
      <c r="G43" s="15" t="n">
        <v>1</v>
      </c>
      <c r="H43" s="15" t="inlineStr">
        <is>
          <t>Р воды перед кр. 6</t>
        </is>
      </c>
      <c r="I43" s="15" t="inlineStr">
        <is>
          <t>Проходная, тепловой пункт</t>
        </is>
      </c>
      <c r="J43" s="15" t="inlineStr">
        <is>
          <t>АСУ,А и ТМ (КЦ № 6)</t>
        </is>
      </c>
      <c r="K43" s="15" t="n">
        <v>2012</v>
      </c>
      <c r="L43" s="15" t="n">
        <v>12</v>
      </c>
      <c r="M43" s="244" t="inlineStr">
        <is>
          <t>26ДЯУ</t>
        </is>
      </c>
      <c r="N43" s="15" t="inlineStr">
        <is>
          <t>П</t>
        </is>
      </c>
    </row>
    <row r="44" ht="22.5" customHeight="1" s="151">
      <c r="A44" s="15">
        <f>IF(B44&lt;&gt;"", COUNTA($B$2:B44), "")</f>
        <v/>
      </c>
      <c r="B44" s="15" t="inlineStr">
        <is>
          <t>Манометр технический</t>
        </is>
      </c>
      <c r="C44" s="15" t="inlineStr">
        <is>
          <t>МП4-УУ2</t>
        </is>
      </c>
      <c r="D44" s="15" t="n">
        <v>40</v>
      </c>
      <c r="E44" s="15" t="n">
        <v>2010</v>
      </c>
      <c r="F44" s="15" t="inlineStr">
        <is>
          <t>0..10 кгс/см2</t>
        </is>
      </c>
      <c r="G44" s="15" t="n">
        <v>1</v>
      </c>
      <c r="H44" s="15" t="inlineStr">
        <is>
          <t>Р воды перед кр. 8</t>
        </is>
      </c>
      <c r="I44" s="15" t="inlineStr">
        <is>
          <t>Проходная, тепловой пункт</t>
        </is>
      </c>
      <c r="J44" s="15" t="inlineStr">
        <is>
          <t>АСУ,А и ТМ (КЦ № 6)</t>
        </is>
      </c>
      <c r="K44" s="15" t="n">
        <v>2012</v>
      </c>
      <c r="L44" s="15" t="n">
        <v>12</v>
      </c>
      <c r="M44" s="244" t="inlineStr">
        <is>
          <t>26ДЯУ</t>
        </is>
      </c>
      <c r="N44" s="15" t="inlineStr">
        <is>
          <t>П</t>
        </is>
      </c>
    </row>
    <row r="45" ht="22.5" customHeight="1" s="151">
      <c r="A45" s="15">
        <f>IF(B45&lt;&gt;"", COUNTA($B$2:B45), "")</f>
        <v/>
      </c>
      <c r="B45" s="15" t="inlineStr">
        <is>
          <t>Манометр технический</t>
        </is>
      </c>
      <c r="C45" s="15" t="inlineStr">
        <is>
          <t>МП4-УУ2</t>
        </is>
      </c>
      <c r="D45" s="15" t="n">
        <v>42</v>
      </c>
      <c r="E45" s="15" t="n">
        <v>2010</v>
      </c>
      <c r="F45" s="15" t="inlineStr">
        <is>
          <t>0..10 кгс/см2</t>
        </is>
      </c>
      <c r="G45" s="15" t="n">
        <v>1</v>
      </c>
      <c r="H45" s="15" t="inlineStr">
        <is>
          <t>Р воды перед кр. 4</t>
        </is>
      </c>
      <c r="I45" s="15" t="inlineStr">
        <is>
          <t>Проходная, тепловой пункт</t>
        </is>
      </c>
      <c r="J45" s="15" t="inlineStr">
        <is>
          <t>АСУ,А и ТМ (КЦ № 6)</t>
        </is>
      </c>
      <c r="K45" s="15" t="n">
        <v>2012</v>
      </c>
      <c r="L45" s="15" t="n">
        <v>12</v>
      </c>
      <c r="M45" s="244" t="inlineStr">
        <is>
          <t>26ДЯУ</t>
        </is>
      </c>
      <c r="N45" s="15" t="inlineStr">
        <is>
          <t>П</t>
        </is>
      </c>
    </row>
    <row r="46" ht="22.5" customHeight="1" s="151">
      <c r="A46" s="15">
        <f>IF(B46&lt;&gt;"", COUNTA($B$2:B46), "")</f>
        <v/>
      </c>
      <c r="B46" s="15" t="inlineStr">
        <is>
          <t>Манометр технический</t>
        </is>
      </c>
      <c r="C46" s="15" t="inlineStr">
        <is>
          <t>МП4-УУ2</t>
        </is>
      </c>
      <c r="D46" s="15" t="n">
        <v>7093</v>
      </c>
      <c r="E46" s="15" t="n">
        <v>2010</v>
      </c>
      <c r="F46" s="15" t="inlineStr">
        <is>
          <t>0..10 кгс/см2</t>
        </is>
      </c>
      <c r="G46" s="15" t="n">
        <v>1</v>
      </c>
      <c r="H46" s="15" t="inlineStr">
        <is>
          <t>Р воды после кр. 5</t>
        </is>
      </c>
      <c r="I46" s="15" t="inlineStr">
        <is>
          <t>Проходная, тепловой пункт</t>
        </is>
      </c>
      <c r="J46" s="15" t="inlineStr">
        <is>
          <t>АСУ,А и ТМ (КЦ № 6)</t>
        </is>
      </c>
      <c r="K46" s="15" t="n">
        <v>2012</v>
      </c>
      <c r="L46" s="15" t="n">
        <v>12</v>
      </c>
      <c r="M46" s="244" t="inlineStr">
        <is>
          <t>26ДЯУ</t>
        </is>
      </c>
      <c r="N46" s="15" t="inlineStr">
        <is>
          <t>П</t>
        </is>
      </c>
    </row>
    <row r="47" ht="22.5" customHeight="1" s="151">
      <c r="A47" s="15">
        <f>IF(B47&lt;&gt;"", COUNTA($B$2:B47), "")</f>
        <v/>
      </c>
      <c r="B47" s="15" t="inlineStr">
        <is>
          <t>Манометр технический</t>
        </is>
      </c>
      <c r="C47" s="15" t="inlineStr">
        <is>
          <t>МП4-УУ2</t>
        </is>
      </c>
      <c r="D47" s="15" t="n">
        <v>9</v>
      </c>
      <c r="E47" s="15" t="n">
        <v>2010</v>
      </c>
      <c r="F47" s="15" t="inlineStr">
        <is>
          <t>0..10 кгс/см2</t>
        </is>
      </c>
      <c r="G47" s="15" t="n">
        <v>1</v>
      </c>
      <c r="H47" s="15" t="inlineStr">
        <is>
          <t>Р воды после кр. 7</t>
        </is>
      </c>
      <c r="I47" s="15" t="inlineStr">
        <is>
          <t>Проходная, тепловой пункт</t>
        </is>
      </c>
      <c r="J47" s="15" t="inlineStr">
        <is>
          <t>АСУ,А и ТМ (КЦ № 6)</t>
        </is>
      </c>
      <c r="K47" s="15" t="n">
        <v>2012</v>
      </c>
      <c r="L47" s="15" t="n">
        <v>12</v>
      </c>
      <c r="M47" s="244" t="inlineStr">
        <is>
          <t>26ДЯУ</t>
        </is>
      </c>
      <c r="N47" s="15" t="inlineStr">
        <is>
          <t>П</t>
        </is>
      </c>
    </row>
    <row r="48" ht="22.5" customHeight="1" s="151">
      <c r="A48" s="15">
        <f>IF(B48&lt;&gt;"", COUNTA($B$2:B48), "")</f>
        <v/>
      </c>
      <c r="B48" s="15" t="inlineStr">
        <is>
          <t>Манометр технический</t>
        </is>
      </c>
      <c r="C48" s="15" t="inlineStr">
        <is>
          <t>МП3-УТ2</t>
        </is>
      </c>
      <c r="D48" s="15" t="inlineStr">
        <is>
          <t>1322167</t>
        </is>
      </c>
      <c r="E48" s="15" t="n">
        <v>2010</v>
      </c>
      <c r="F48" s="15" t="inlineStr">
        <is>
          <t>0..16 кгс/см2</t>
        </is>
      </c>
      <c r="G48" s="15" t="n">
        <v>1.5</v>
      </c>
      <c r="H48" s="15" t="inlineStr">
        <is>
          <t>Р воды после кр. 3</t>
        </is>
      </c>
      <c r="I48" s="15" t="inlineStr">
        <is>
          <t>Проходная, тепловой пункт</t>
        </is>
      </c>
      <c r="J48" s="15" t="inlineStr">
        <is>
          <t>АСУ,А и ТМ (КЦ № 6)</t>
        </is>
      </c>
      <c r="K48" s="15" t="n">
        <v>2012</v>
      </c>
      <c r="L48" s="15" t="n">
        <v>12</v>
      </c>
      <c r="M48" s="244" t="inlineStr">
        <is>
          <t>26ДЯУ</t>
        </is>
      </c>
      <c r="N48" s="15" t="inlineStr">
        <is>
          <t>П</t>
        </is>
      </c>
    </row>
    <row r="49" ht="22.5" customHeight="1" s="151">
      <c r="A49" s="15">
        <f>IF(B49&lt;&gt;"", COUNTA($B$2:B49), "")</f>
        <v/>
      </c>
      <c r="B49" s="15" t="inlineStr">
        <is>
          <t>Манометр технический</t>
        </is>
      </c>
      <c r="C49" s="15" t="inlineStr">
        <is>
          <t>МП4-УУ2</t>
        </is>
      </c>
      <c r="D49" s="15" t="n">
        <v>50518</v>
      </c>
      <c r="E49" s="15" t="n">
        <v>2010</v>
      </c>
      <c r="F49" s="15" t="inlineStr">
        <is>
          <t>0..10 кгс/см2</t>
        </is>
      </c>
      <c r="G49" s="15" t="n">
        <v>1</v>
      </c>
      <c r="H49" s="15" t="inlineStr">
        <is>
          <t>Р воды перед кр. 2</t>
        </is>
      </c>
      <c r="I49" s="15" t="inlineStr">
        <is>
          <t>Проходная, тепловой пункт</t>
        </is>
      </c>
      <c r="J49" s="15" t="inlineStr">
        <is>
          <t>АСУ,А и ТМ (КЦ № 6)</t>
        </is>
      </c>
      <c r="K49" s="15" t="n">
        <v>2012</v>
      </c>
      <c r="L49" s="15" t="n">
        <v>12</v>
      </c>
      <c r="M49" s="244" t="inlineStr">
        <is>
          <t>26ДЯУ</t>
        </is>
      </c>
      <c r="N49" s="15" t="inlineStr">
        <is>
          <t>П</t>
        </is>
      </c>
    </row>
    <row r="50" ht="22.5" customHeight="1" s="151">
      <c r="A50" s="15">
        <f>IF(B50&lt;&gt;"", COUNTA($B$2:B50), "")</f>
        <v/>
      </c>
      <c r="B50" s="15" t="inlineStr">
        <is>
          <t>Манометр технический</t>
        </is>
      </c>
      <c r="C50" s="15" t="inlineStr">
        <is>
          <t>МП4-УУ2</t>
        </is>
      </c>
      <c r="D50" s="15" t="n">
        <v>36</v>
      </c>
      <c r="E50" s="15" t="n">
        <v>2010</v>
      </c>
      <c r="F50" s="15" t="inlineStr">
        <is>
          <t>0..10 кгс/см2</t>
        </is>
      </c>
      <c r="G50" s="15" t="n">
        <v>1</v>
      </c>
      <c r="H50" s="15" t="inlineStr">
        <is>
          <t>Р воды после кр. 2</t>
        </is>
      </c>
      <c r="I50" s="15" t="inlineStr">
        <is>
          <t>Проходная, тепловой пункт</t>
        </is>
      </c>
      <c r="J50" s="15" t="inlineStr">
        <is>
          <t>АСУ,А и ТМ (КЦ № 6)</t>
        </is>
      </c>
      <c r="K50" s="15" t="n">
        <v>2012</v>
      </c>
      <c r="L50" s="15" t="n">
        <v>12</v>
      </c>
      <c r="M50" s="244" t="inlineStr">
        <is>
          <t>26ДЯУ</t>
        </is>
      </c>
      <c r="N50" s="15" t="inlineStr">
        <is>
          <t>П</t>
        </is>
      </c>
    </row>
    <row r="51" ht="22.5" customHeight="1" s="151">
      <c r="A51" s="15">
        <f>IF(B51&lt;&gt;"", COUNTA($B$2:B51), "")</f>
        <v/>
      </c>
      <c r="B51" s="15" t="inlineStr">
        <is>
          <t>Манометр технический</t>
        </is>
      </c>
      <c r="C51" s="15" t="inlineStr">
        <is>
          <t>МП4-УУ3</t>
        </is>
      </c>
      <c r="D51" s="15" t="n">
        <v>32</v>
      </c>
      <c r="E51" s="15" t="n">
        <v>2010</v>
      </c>
      <c r="F51" s="15" t="inlineStr">
        <is>
          <t>0..10 кгс/см3</t>
        </is>
      </c>
      <c r="G51" s="15" t="n">
        <v>2</v>
      </c>
      <c r="H51" s="15" t="inlineStr">
        <is>
          <t>Р воды перед кр. 1</t>
        </is>
      </c>
      <c r="I51" s="15" t="inlineStr">
        <is>
          <t>Проходная, тепловой пункт</t>
        </is>
      </c>
      <c r="J51" s="15" t="inlineStr">
        <is>
          <t>АСУ,А и ТМ (КЦ № 6)</t>
        </is>
      </c>
      <c r="K51" s="15" t="n">
        <v>2012</v>
      </c>
      <c r="L51" s="15" t="n">
        <v>12</v>
      </c>
      <c r="M51" s="244" t="inlineStr">
        <is>
          <t>26ДЯУ</t>
        </is>
      </c>
      <c r="N51" s="15" t="inlineStr">
        <is>
          <t>П</t>
        </is>
      </c>
    </row>
    <row r="52" ht="22.5" customHeight="1" s="151">
      <c r="A52" s="15">
        <f>IF(B52&lt;&gt;"", COUNTA($B$2:B52), "")</f>
        <v/>
      </c>
      <c r="B52" s="15" t="inlineStr">
        <is>
          <t>Термометр биметаллический</t>
        </is>
      </c>
      <c r="C52" s="15" t="inlineStr">
        <is>
          <t>ТБ-2</t>
        </is>
      </c>
      <c r="D52" s="15" t="n">
        <v>7440</v>
      </c>
      <c r="E52" s="15" t="n">
        <v>2010</v>
      </c>
      <c r="F52" s="15" t="inlineStr">
        <is>
          <t>0  ..  120°С</t>
        </is>
      </c>
      <c r="G52" s="15" t="n">
        <v>1.5</v>
      </c>
      <c r="H52" s="15" t="inlineStr">
        <is>
          <t>Температура воды перед кр. 6</t>
        </is>
      </c>
      <c r="I52" s="15" t="inlineStr">
        <is>
          <t>Проходная, тепловой пункт</t>
        </is>
      </c>
      <c r="J52" s="15" t="inlineStr">
        <is>
          <t>АСУ,А и ТМ (КЦ № 6)</t>
        </is>
      </c>
      <c r="K52" s="15" t="n">
        <v>2012</v>
      </c>
      <c r="L52" s="15" t="n">
        <v>24</v>
      </c>
      <c r="M52" s="115" t="inlineStr">
        <is>
          <t>25ДЯУ</t>
        </is>
      </c>
      <c r="N52" s="15" t="inlineStr">
        <is>
          <t>П</t>
        </is>
      </c>
    </row>
    <row r="53" ht="22.5" customHeight="1" s="151">
      <c r="A53" s="15">
        <f>IF(B53&lt;&gt;"", COUNTA($B$2:B53), "")</f>
        <v/>
      </c>
      <c r="B53" s="15" t="inlineStr">
        <is>
          <t>Термометр биметаллический</t>
        </is>
      </c>
      <c r="C53" s="15" t="inlineStr">
        <is>
          <t>ТБ-2</t>
        </is>
      </c>
      <c r="D53" s="15" t="n">
        <v>3073</v>
      </c>
      <c r="E53" s="15" t="n">
        <v>2010</v>
      </c>
      <c r="F53" s="15" t="inlineStr">
        <is>
          <t>0  ..  120°С</t>
        </is>
      </c>
      <c r="G53" s="15" t="n">
        <v>1</v>
      </c>
      <c r="H53" s="15" t="inlineStr">
        <is>
          <t>Температура воды перед кр. 8</t>
        </is>
      </c>
      <c r="I53" s="15" t="inlineStr">
        <is>
          <t>Проходная, тепловой пункт</t>
        </is>
      </c>
      <c r="J53" s="15" t="inlineStr">
        <is>
          <t>АСУ,А и ТМ (КЦ № 6)</t>
        </is>
      </c>
      <c r="K53" s="15" t="n">
        <v>2012</v>
      </c>
      <c r="L53" s="15" t="n">
        <v>24</v>
      </c>
      <c r="M53" s="115" t="inlineStr">
        <is>
          <t>25ДЯУ</t>
        </is>
      </c>
      <c r="N53" s="15" t="inlineStr">
        <is>
          <t>П</t>
        </is>
      </c>
    </row>
    <row r="54" ht="22.5" customHeight="1" s="151">
      <c r="A54" s="15">
        <f>IF(B54&lt;&gt;"", COUNTA($B$2:B54), "")</f>
        <v/>
      </c>
      <c r="B54" s="15" t="inlineStr">
        <is>
          <t>Термометр биметаллический</t>
        </is>
      </c>
      <c r="C54" s="15" t="inlineStr">
        <is>
          <t>ТБ-1Р</t>
        </is>
      </c>
      <c r="D54" s="15" t="n">
        <v>1180</v>
      </c>
      <c r="E54" s="15" t="n">
        <v>2010</v>
      </c>
      <c r="F54" s="15" t="inlineStr">
        <is>
          <t>0  ..  150°С</t>
        </is>
      </c>
      <c r="G54" s="15" t="n">
        <v>1.5</v>
      </c>
      <c r="H54" s="15" t="inlineStr">
        <is>
          <t xml:space="preserve">Температура воды перед кр. 4 </t>
        </is>
      </c>
      <c r="I54" s="15" t="inlineStr">
        <is>
          <t>Проходная, тепловой пункт</t>
        </is>
      </c>
      <c r="J54" s="15" t="inlineStr">
        <is>
          <t>АСУ,А и ТМ (КЦ № 6)</t>
        </is>
      </c>
      <c r="K54" s="15" t="n">
        <v>2012</v>
      </c>
      <c r="L54" s="15" t="n">
        <v>24</v>
      </c>
      <c r="M54" s="115" t="inlineStr">
        <is>
          <t>25ДЯУ</t>
        </is>
      </c>
      <c r="N54" s="15" t="inlineStr">
        <is>
          <t>П</t>
        </is>
      </c>
    </row>
    <row r="55" ht="22.5" customHeight="1" s="151">
      <c r="A55" s="15">
        <f>IF(B55&lt;&gt;"", COUNTA($B$2:B55), "")</f>
        <v/>
      </c>
      <c r="B55" s="15" t="inlineStr">
        <is>
          <t>Термометр биметаллический</t>
        </is>
      </c>
      <c r="C55" s="15" t="inlineStr">
        <is>
          <t>ТБ-2</t>
        </is>
      </c>
      <c r="D55" s="15" t="n">
        <v>8962</v>
      </c>
      <c r="E55" s="15" t="n">
        <v>2010</v>
      </c>
      <c r="F55" s="15" t="inlineStr">
        <is>
          <t>0  ..  100°С</t>
        </is>
      </c>
      <c r="G55" s="15" t="n">
        <v>1.5</v>
      </c>
      <c r="H55" s="15" t="inlineStr">
        <is>
          <t xml:space="preserve">Температура воды после кр. 3 </t>
        </is>
      </c>
      <c r="I55" s="15" t="inlineStr">
        <is>
          <t>Проходная, тепловой пункт</t>
        </is>
      </c>
      <c r="J55" s="15" t="inlineStr">
        <is>
          <t>АСУ,А и ТМ (КЦ № 6)</t>
        </is>
      </c>
      <c r="K55" s="15" t="n">
        <v>2012</v>
      </c>
      <c r="L55" s="15" t="n">
        <v>24</v>
      </c>
      <c r="M55" s="115" t="inlineStr">
        <is>
          <t>25ДЯУ</t>
        </is>
      </c>
      <c r="N55" s="15" t="inlineStr">
        <is>
          <t>П</t>
        </is>
      </c>
    </row>
    <row r="56" ht="22.5" customHeight="1" s="151">
      <c r="A56" s="15">
        <f>IF(B56&lt;&gt;"", COUNTA($B$2:B56), "")</f>
        <v/>
      </c>
      <c r="B56" s="15" t="inlineStr">
        <is>
          <t>Термометр биметаллический</t>
        </is>
      </c>
      <c r="C56" s="15" t="inlineStr">
        <is>
          <t>ТБ-1Р</t>
        </is>
      </c>
      <c r="D56" s="15" t="n">
        <v>4361</v>
      </c>
      <c r="E56" s="15" t="n">
        <v>2010</v>
      </c>
      <c r="F56" s="15" t="inlineStr">
        <is>
          <t>0  ..  150°С</t>
        </is>
      </c>
      <c r="G56" s="15" t="n">
        <v>1.5</v>
      </c>
      <c r="H56" s="15" t="inlineStr">
        <is>
          <t xml:space="preserve">Температура воды перед кр. 2 </t>
        </is>
      </c>
      <c r="I56" s="15" t="inlineStr">
        <is>
          <t>Проходная, тепловой пункт</t>
        </is>
      </c>
      <c r="J56" s="15" t="inlineStr">
        <is>
          <t>АСУ,А и ТМ (КЦ № 6)</t>
        </is>
      </c>
      <c r="K56" s="15" t="n">
        <v>2012</v>
      </c>
      <c r="L56" s="15" t="n">
        <v>24</v>
      </c>
      <c r="M56" s="115" t="inlineStr">
        <is>
          <t>25ДЯУ</t>
        </is>
      </c>
      <c r="N56" s="15" t="inlineStr">
        <is>
          <t>П</t>
        </is>
      </c>
    </row>
    <row r="57" ht="22.5" customHeight="1" s="151">
      <c r="A57" s="15">
        <f>IF(B57&lt;&gt;"", COUNTA($B$2:B57), "")</f>
        <v/>
      </c>
      <c r="B57" s="15" t="inlineStr">
        <is>
          <t>Термометр биметаллический</t>
        </is>
      </c>
      <c r="C57" s="15" t="inlineStr">
        <is>
          <t>ТБ-1Р</t>
        </is>
      </c>
      <c r="D57" s="15" t="n">
        <v>4378</v>
      </c>
      <c r="E57" s="15" t="n">
        <v>2010</v>
      </c>
      <c r="F57" s="15" t="inlineStr">
        <is>
          <t>0  ..  150°С</t>
        </is>
      </c>
      <c r="G57" s="15" t="n">
        <v>1.5</v>
      </c>
      <c r="H57" s="15" t="inlineStr">
        <is>
          <t xml:space="preserve">Температура воды после кр. 1 </t>
        </is>
      </c>
      <c r="I57" s="15" t="inlineStr">
        <is>
          <t>Проходная, тепловой пункт</t>
        </is>
      </c>
      <c r="J57" s="15" t="inlineStr">
        <is>
          <t>АСУ,А и ТМ (КЦ № 6)</t>
        </is>
      </c>
      <c r="K57" s="15" t="n">
        <v>2012</v>
      </c>
      <c r="L57" s="15" t="n">
        <v>24</v>
      </c>
      <c r="M57" s="115" t="inlineStr">
        <is>
          <t>25ДЯУ</t>
        </is>
      </c>
      <c r="N57" s="15" t="inlineStr">
        <is>
          <t>П</t>
        </is>
      </c>
    </row>
    <row r="58" ht="22.5" customHeight="1" s="151">
      <c r="A58" s="15">
        <f>IF(B58&lt;&gt;"", COUNTA($B$2:B58), "")</f>
        <v/>
      </c>
      <c r="B58" s="280" t="inlineStr">
        <is>
          <t>Датчик давления избыточного</t>
        </is>
      </c>
      <c r="C58" s="15" t="inlineStr">
        <is>
          <t>СДВ-И-2,5-1,6</t>
        </is>
      </c>
      <c r="D58" s="15" t="n">
        <v>79680</v>
      </c>
      <c r="E58" s="10" t="n">
        <v>2012</v>
      </c>
      <c r="F58" s="26" t="inlineStr">
        <is>
          <t>0..2,5 MPa</t>
        </is>
      </c>
      <c r="G58" s="15" t="n">
        <v>1</v>
      </c>
      <c r="H58" s="3" t="inlineStr">
        <is>
          <t>Р прямой воды</t>
        </is>
      </c>
      <c r="I58" s="3" t="inlineStr">
        <is>
          <t>Проходная, тепловой пункт</t>
        </is>
      </c>
      <c r="J58" s="15" t="inlineStr">
        <is>
          <t>АСУ,А и ТМ (КЦ № 6)</t>
        </is>
      </c>
      <c r="K58" s="15" t="n">
        <v>2012</v>
      </c>
      <c r="L58" s="15" t="n">
        <v>60</v>
      </c>
      <c r="M58" s="15" t="n"/>
      <c r="N58" s="15" t="n"/>
    </row>
    <row r="59" ht="22.5" customHeight="1" s="151">
      <c r="A59" s="15">
        <f>IF(B59&lt;&gt;"", COUNTA($B$2:B59), "")</f>
        <v/>
      </c>
      <c r="B59" s="280" t="inlineStr">
        <is>
          <t>Датчик давления избыточного</t>
        </is>
      </c>
      <c r="C59" s="15" t="inlineStr">
        <is>
          <t>СДВ-И-2,5-1,6</t>
        </is>
      </c>
      <c r="D59" s="15" t="n">
        <v>79681</v>
      </c>
      <c r="E59" s="10" t="n">
        <v>2012</v>
      </c>
      <c r="F59" s="26" t="inlineStr">
        <is>
          <t>0..2,5 MPa</t>
        </is>
      </c>
      <c r="G59" s="15" t="n">
        <v>1</v>
      </c>
      <c r="H59" s="3" t="inlineStr">
        <is>
          <t>Р обратной воды</t>
        </is>
      </c>
      <c r="I59" s="3" t="inlineStr">
        <is>
          <t>Проходная, тепловой пункт</t>
        </is>
      </c>
      <c r="J59" s="15" t="inlineStr">
        <is>
          <t>АСУ,А и ТМ (КЦ № 6)</t>
        </is>
      </c>
      <c r="K59" s="15" t="n">
        <v>2012</v>
      </c>
      <c r="L59" s="15" t="n">
        <v>60</v>
      </c>
      <c r="M59" s="15" t="n"/>
      <c r="N59" s="15" t="n"/>
    </row>
    <row r="60" ht="22.5" customHeight="1" s="151">
      <c r="A60" s="15">
        <f>IF(B60&lt;&gt;"", COUNTA($B$2:B60), "")</f>
        <v/>
      </c>
      <c r="B60" s="280" t="inlineStr">
        <is>
          <t>Термометр сопротивления</t>
        </is>
      </c>
      <c r="C60" s="15" t="inlineStr">
        <is>
          <t>Взлет ТПС</t>
        </is>
      </c>
      <c r="D60" s="15" t="n">
        <v>1336098</v>
      </c>
      <c r="E60" s="10" t="n"/>
      <c r="F60" s="26" t="inlineStr">
        <is>
          <t>0…180 С</t>
        </is>
      </c>
      <c r="G60" s="15" t="n"/>
      <c r="H60" s="3" t="inlineStr">
        <is>
          <t>Т прямой воды</t>
        </is>
      </c>
      <c r="I60" s="3" t="inlineStr">
        <is>
          <t>Проходная, тепловой пункт</t>
        </is>
      </c>
      <c r="J60" s="15" t="inlineStr">
        <is>
          <t>АСУ,А и ТМ (КЦ № 6)</t>
        </is>
      </c>
      <c r="K60" s="15" t="n"/>
      <c r="L60" s="15" t="n"/>
      <c r="M60" s="15" t="n"/>
      <c r="N60" s="15" t="n"/>
    </row>
    <row r="61" ht="22.5" customHeight="1" s="151">
      <c r="A61" s="15">
        <f>IF(B61&lt;&gt;"", COUNTA($B$2:B61), "")</f>
        <v/>
      </c>
      <c r="B61" s="280" t="inlineStr">
        <is>
          <t>Термометр сопротивления</t>
        </is>
      </c>
      <c r="C61" s="15" t="inlineStr">
        <is>
          <t>Взлет ТПС</t>
        </is>
      </c>
      <c r="D61" s="15" t="n">
        <v>1336325</v>
      </c>
      <c r="E61" s="10" t="n"/>
      <c r="F61" s="26" t="inlineStr">
        <is>
          <t>0…180 С</t>
        </is>
      </c>
      <c r="G61" s="15" t="n"/>
      <c r="H61" s="3" t="inlineStr">
        <is>
          <t>Т обратной воды</t>
        </is>
      </c>
      <c r="I61" s="3" t="inlineStr">
        <is>
          <t>Проходная, тепловой пункт</t>
        </is>
      </c>
      <c r="J61" s="15" t="inlineStr">
        <is>
          <t>АСУ,А и ТМ (КЦ № 6)</t>
        </is>
      </c>
      <c r="K61" s="15" t="n"/>
      <c r="L61" s="15" t="n"/>
      <c r="M61" s="15" t="n"/>
      <c r="N61" s="15" t="n"/>
    </row>
    <row r="62" ht="22.5" customHeight="1" s="151">
      <c r="A62" s="15">
        <f>IF(B62&lt;&gt;"", COUNTA($B$2:B62), "")</f>
        <v/>
      </c>
      <c r="B62" s="280" t="inlineStr">
        <is>
          <t>Расходомер электромагнитный</t>
        </is>
      </c>
      <c r="C62" s="15" t="inlineStr">
        <is>
          <t>Взлет ЭРСВ-430Л</t>
        </is>
      </c>
      <c r="D62" s="15" t="n">
        <v>1240159</v>
      </c>
      <c r="E62" s="47" t="n"/>
      <c r="F62" s="47" t="n"/>
      <c r="G62" s="47" t="n"/>
      <c r="H62" s="3" t="inlineStr">
        <is>
          <t>Расход воды в системе отопления</t>
        </is>
      </c>
      <c r="I62" s="3" t="inlineStr">
        <is>
          <t>Проходная, тепловой пункт</t>
        </is>
      </c>
      <c r="J62" s="15" t="inlineStr">
        <is>
          <t>АСУ,А и ТМ (КЦ № 6)</t>
        </is>
      </c>
      <c r="K62" s="15" t="n"/>
      <c r="L62" s="47" t="n"/>
      <c r="M62" s="47" t="n"/>
      <c r="N62" s="47" t="n"/>
    </row>
    <row r="63" ht="22.5" customHeight="1" s="151">
      <c r="A63" s="15">
        <f>IF(B63&lt;&gt;"", COUNTA($B$2:B63), "")</f>
        <v/>
      </c>
      <c r="B63" s="280" t="inlineStr">
        <is>
          <t>Тепловычислитель</t>
        </is>
      </c>
      <c r="C63" s="15" t="inlineStr">
        <is>
          <t>Взлет ТСРВ-027</t>
        </is>
      </c>
      <c r="D63" s="15" t="n">
        <v>1201092</v>
      </c>
      <c r="E63" s="47" t="n"/>
      <c r="F63" s="47" t="n"/>
      <c r="G63" s="47" t="n"/>
      <c r="H63" s="3" t="inlineStr">
        <is>
          <t>Учет тепловой энергии</t>
        </is>
      </c>
      <c r="I63" s="3" t="inlineStr">
        <is>
          <t>Проходная, тепловой пункт</t>
        </is>
      </c>
      <c r="J63" s="15" t="inlineStr">
        <is>
          <t>АСУ,А и ТМ (КЦ № 6)</t>
        </is>
      </c>
      <c r="K63" s="15" t="n"/>
      <c r="L63" s="47" t="n"/>
      <c r="M63" s="47" t="n"/>
      <c r="N63" s="47" t="n"/>
    </row>
    <row r="64">
      <c r="A64" s="15">
        <f>IF(B64&lt;&gt;"", COUNTA($B$2:B64), "")</f>
        <v/>
      </c>
      <c r="B64" s="15" t="inlineStr">
        <is>
          <t>Манометр технический</t>
        </is>
      </c>
      <c r="C64" s="15" t="inlineStr">
        <is>
          <t>ДМ02-100-1-G</t>
        </is>
      </c>
      <c r="D64" s="15" t="inlineStr">
        <is>
          <t>1102</t>
        </is>
      </c>
      <c r="E64" s="15" t="n">
        <v>2010</v>
      </c>
      <c r="F64" s="15" t="inlineStr">
        <is>
          <t>0..6 Bar</t>
        </is>
      </c>
      <c r="G64" s="15" t="n">
        <v>1.5</v>
      </c>
      <c r="H64" s="15" t="inlineStr">
        <is>
          <t>Р воды после кр. 14</t>
        </is>
      </c>
      <c r="I64" s="15" t="inlineStr">
        <is>
          <t>РММ, тепловой пункт</t>
        </is>
      </c>
      <c r="J64" s="15" t="inlineStr">
        <is>
          <t>АСУ,А и ТМ (КЦ № 6)</t>
        </is>
      </c>
      <c r="K64" s="15" t="n">
        <v>2012</v>
      </c>
      <c r="L64" s="15" t="n">
        <v>12</v>
      </c>
      <c r="M64" s="244" t="inlineStr">
        <is>
          <t>26ДЯУ</t>
        </is>
      </c>
      <c r="N64" s="15" t="inlineStr">
        <is>
          <t>П</t>
        </is>
      </c>
    </row>
    <row r="65" ht="22.5" customHeight="1" s="151">
      <c r="A65" s="15">
        <f>IF(B65&lt;&gt;"", COUNTA($B$2:B65), "")</f>
        <v/>
      </c>
      <c r="B65" s="15" t="inlineStr">
        <is>
          <t>Манометр технический</t>
        </is>
      </c>
      <c r="C65" s="15" t="inlineStr">
        <is>
          <t>МП3-УУ2</t>
        </is>
      </c>
      <c r="D65" s="15" t="n">
        <v>15629</v>
      </c>
      <c r="E65" s="15" t="n">
        <v>2010</v>
      </c>
      <c r="F65" s="15" t="inlineStr">
        <is>
          <t>0..10 кгс/см2</t>
        </is>
      </c>
      <c r="G65" s="15" t="n">
        <v>1</v>
      </c>
      <c r="H65" s="15" t="inlineStr">
        <is>
          <t>Р воды в Т2 перед насосом</t>
        </is>
      </c>
      <c r="I65" s="15" t="inlineStr">
        <is>
          <t>РММ, тепловой пункт</t>
        </is>
      </c>
      <c r="J65" s="15" t="inlineStr">
        <is>
          <t>АСУ,А и ТМ (КЦ № 6)</t>
        </is>
      </c>
      <c r="K65" s="15" t="n">
        <v>2012</v>
      </c>
      <c r="L65" s="15" t="n">
        <v>12</v>
      </c>
      <c r="M65" s="244" t="inlineStr">
        <is>
          <t>26ДЯУ</t>
        </is>
      </c>
      <c r="N65" s="15" t="inlineStr">
        <is>
          <t>П</t>
        </is>
      </c>
    </row>
    <row r="66" ht="22.5" customHeight="1" s="151">
      <c r="A66" s="15">
        <f>IF(B66&lt;&gt;"", COUNTA($B$2:B66), "")</f>
        <v/>
      </c>
      <c r="B66" s="15" t="inlineStr">
        <is>
          <t>Манометр технический</t>
        </is>
      </c>
      <c r="C66" s="15" t="inlineStr">
        <is>
          <t>МП4-УУ2</t>
        </is>
      </c>
      <c r="D66" s="15" t="n">
        <v>7000206</v>
      </c>
      <c r="E66" s="15" t="n">
        <v>2010</v>
      </c>
      <c r="F66" s="15" t="inlineStr">
        <is>
          <t>0..6 кгс/см2</t>
        </is>
      </c>
      <c r="G66" s="15" t="n">
        <v>1.5</v>
      </c>
      <c r="H66" s="15" t="inlineStr">
        <is>
          <t>Р воды в Т2 после насоса</t>
        </is>
      </c>
      <c r="I66" s="15" t="inlineStr">
        <is>
          <t>РММ, тепловой пункт</t>
        </is>
      </c>
      <c r="J66" s="15" t="inlineStr">
        <is>
          <t>АСУ,А и ТМ (КЦ № 6)</t>
        </is>
      </c>
      <c r="K66" s="15" t="n">
        <v>2012</v>
      </c>
      <c r="L66" s="15" t="n">
        <v>12</v>
      </c>
      <c r="M66" s="244" t="inlineStr">
        <is>
          <t>26ДЯУ</t>
        </is>
      </c>
      <c r="N66" s="15" t="inlineStr">
        <is>
          <t>П</t>
        </is>
      </c>
    </row>
    <row r="67" ht="22.5" customHeight="1" s="151">
      <c r="A67" s="15">
        <f>IF(B67&lt;&gt;"", COUNTA($B$2:B67), "")</f>
        <v/>
      </c>
      <c r="B67" s="15" t="inlineStr">
        <is>
          <t>Манометр технический</t>
        </is>
      </c>
      <c r="C67" s="15" t="inlineStr">
        <is>
          <t>МП4-У</t>
        </is>
      </c>
      <c r="D67" s="15" t="inlineStr">
        <is>
          <t>2297</t>
        </is>
      </c>
      <c r="E67" s="15" t="n">
        <v>2010</v>
      </c>
      <c r="F67" s="15" t="inlineStr">
        <is>
          <t>0..6 кгс/см2</t>
        </is>
      </c>
      <c r="G67" s="15" t="n">
        <v>1</v>
      </c>
      <c r="H67" s="15" t="inlineStr">
        <is>
          <t>Р воды перед кр.6 после Ф</t>
        </is>
      </c>
      <c r="I67" s="15" t="inlineStr">
        <is>
          <t>РММ, тепловой пункт</t>
        </is>
      </c>
      <c r="J67" s="15" t="inlineStr">
        <is>
          <t>АСУ,А и ТМ (КЦ № 6)</t>
        </is>
      </c>
      <c r="K67" s="15" t="n">
        <v>2012</v>
      </c>
      <c r="L67" s="15" t="n">
        <v>12</v>
      </c>
      <c r="M67" s="244" t="inlineStr">
        <is>
          <t>26ДЯУ</t>
        </is>
      </c>
      <c r="N67" s="15" t="inlineStr">
        <is>
          <t>П</t>
        </is>
      </c>
    </row>
    <row r="68">
      <c r="A68" s="15">
        <f>IF(B68&lt;&gt;"", COUNTA($B$2:B68), "")</f>
        <v/>
      </c>
      <c r="B68" s="15" t="inlineStr">
        <is>
          <t>Манометр технический</t>
        </is>
      </c>
      <c r="C68" s="15" t="inlineStr">
        <is>
          <t>МП4-УУ2</t>
        </is>
      </c>
      <c r="D68" s="15" t="n">
        <v>40189</v>
      </c>
      <c r="E68" s="15" t="n">
        <v>2010</v>
      </c>
      <c r="F68" s="15" t="inlineStr">
        <is>
          <t>0..6 кгс/см2</t>
        </is>
      </c>
      <c r="G68" s="15" t="n">
        <v>1.5</v>
      </c>
      <c r="H68" s="15" t="inlineStr">
        <is>
          <t>Р воды после кр. 2</t>
        </is>
      </c>
      <c r="I68" s="15" t="inlineStr">
        <is>
          <t>РММ, тепловой пункт</t>
        </is>
      </c>
      <c r="J68" s="15" t="inlineStr">
        <is>
          <t>АСУ,А и ТМ (КЦ № 6)</t>
        </is>
      </c>
      <c r="K68" s="15" t="n">
        <v>2012</v>
      </c>
      <c r="L68" s="15" t="n">
        <v>12</v>
      </c>
      <c r="M68" s="244" t="inlineStr">
        <is>
          <t>26ДЯУ</t>
        </is>
      </c>
      <c r="N68" s="15" t="inlineStr">
        <is>
          <t>П</t>
        </is>
      </c>
    </row>
    <row r="69">
      <c r="A69" s="15">
        <f>IF(B69&lt;&gt;"", COUNTA($B$2:B69), "")</f>
        <v/>
      </c>
      <c r="B69" s="15" t="inlineStr">
        <is>
          <t>Манометр технический</t>
        </is>
      </c>
      <c r="C69" s="15" t="inlineStr">
        <is>
          <t>МП4-У</t>
        </is>
      </c>
      <c r="D69" s="15" t="n">
        <v>10021</v>
      </c>
      <c r="E69" s="15" t="n">
        <v>2010</v>
      </c>
      <c r="F69" s="15" t="inlineStr">
        <is>
          <t>0..6 кгс/см2</t>
        </is>
      </c>
      <c r="G69" s="15" t="n">
        <v>1</v>
      </c>
      <c r="H69" s="15" t="inlineStr">
        <is>
          <t>Р воды перед кр. 1</t>
        </is>
      </c>
      <c r="I69" s="15" t="inlineStr">
        <is>
          <t>РММ, тепловой пункт</t>
        </is>
      </c>
      <c r="J69" s="15" t="inlineStr">
        <is>
          <t>АСУ,А и ТМ (КЦ № 6)</t>
        </is>
      </c>
      <c r="K69" s="15" t="n">
        <v>2012</v>
      </c>
      <c r="L69" s="15" t="n">
        <v>12</v>
      </c>
      <c r="M69" s="244" t="inlineStr">
        <is>
          <t>26ДЯУ</t>
        </is>
      </c>
      <c r="N69" s="15" t="inlineStr">
        <is>
          <t>П</t>
        </is>
      </c>
    </row>
    <row r="70">
      <c r="A70" s="15">
        <f>IF(B70&lt;&gt;"", COUNTA($B$2:B70), "")</f>
        <v/>
      </c>
      <c r="B70" s="15" t="inlineStr">
        <is>
          <t>Манометр технический</t>
        </is>
      </c>
      <c r="C70" s="15" t="inlineStr">
        <is>
          <t>ТМ5</t>
        </is>
      </c>
      <c r="D70" s="15" t="inlineStr">
        <is>
          <t>38</t>
        </is>
      </c>
      <c r="E70" s="15" t="n">
        <v>2010</v>
      </c>
      <c r="F70" s="15" t="inlineStr">
        <is>
          <t>0..1,6 MPa</t>
        </is>
      </c>
      <c r="G70" s="15" t="n">
        <v>1.5</v>
      </c>
      <c r="H70" s="15" t="inlineStr">
        <is>
          <t>Р воды после кр. 5</t>
        </is>
      </c>
      <c r="I70" s="15" t="inlineStr">
        <is>
          <t>РММ, тепловой пункт</t>
        </is>
      </c>
      <c r="J70" s="15" t="inlineStr">
        <is>
          <t>АСУ,А и ТМ (КЦ № 6)</t>
        </is>
      </c>
      <c r="K70" s="15" t="n">
        <v>2012</v>
      </c>
      <c r="L70" s="15" t="n">
        <v>12</v>
      </c>
      <c r="M70" s="244" t="inlineStr">
        <is>
          <t>26ДЯУ</t>
        </is>
      </c>
      <c r="N70" s="15" t="inlineStr">
        <is>
          <t>П</t>
        </is>
      </c>
    </row>
    <row r="71">
      <c r="A71" s="15">
        <f>IF(B71&lt;&gt;"", COUNTA($B$2:B71), "")</f>
        <v/>
      </c>
      <c r="B71" s="15" t="inlineStr">
        <is>
          <t>Манометр технический</t>
        </is>
      </c>
      <c r="C71" s="15" t="inlineStr">
        <is>
          <t>ДМ02-100-1-G</t>
        </is>
      </c>
      <c r="D71" s="15" t="inlineStr">
        <is>
          <t>15483</t>
        </is>
      </c>
      <c r="E71" s="15" t="n">
        <v>2010</v>
      </c>
      <c r="F71" s="15" t="inlineStr">
        <is>
          <t>0..6 кгс/см2</t>
        </is>
      </c>
      <c r="G71" s="15" t="n">
        <v>1.5</v>
      </c>
      <c r="H71" s="15" t="inlineStr">
        <is>
          <t>Р воды перед кр. 11</t>
        </is>
      </c>
      <c r="I71" s="15" t="inlineStr">
        <is>
          <t>РММ, тепловой пункт</t>
        </is>
      </c>
      <c r="J71" s="15" t="inlineStr">
        <is>
          <t>АСУ,А и ТМ (КЦ № 6)</t>
        </is>
      </c>
      <c r="K71" s="15" t="n">
        <v>2012</v>
      </c>
      <c r="L71" s="15" t="n">
        <v>12</v>
      </c>
      <c r="M71" s="244" t="inlineStr">
        <is>
          <t>26ДЯУ</t>
        </is>
      </c>
      <c r="N71" s="15" t="inlineStr">
        <is>
          <t>П</t>
        </is>
      </c>
    </row>
    <row r="72">
      <c r="A72" s="15">
        <f>IF(B72&lt;&gt;"", COUNTA($B$2:B72), "")</f>
        <v/>
      </c>
      <c r="B72" s="15" t="inlineStr">
        <is>
          <t>Манометр технический</t>
        </is>
      </c>
      <c r="C72" s="15" t="inlineStr">
        <is>
          <t>МП4-У</t>
        </is>
      </c>
      <c r="D72" s="26" t="inlineStr">
        <is>
          <t>2284</t>
        </is>
      </c>
      <c r="E72" s="15" t="n">
        <v>2010</v>
      </c>
      <c r="F72" s="15" t="inlineStr">
        <is>
          <t>0..6 кгс/см2</t>
        </is>
      </c>
      <c r="G72" s="15" t="n">
        <v>1</v>
      </c>
      <c r="H72" s="15" t="inlineStr">
        <is>
          <t>Р воды после кр. 9</t>
        </is>
      </c>
      <c r="I72" s="15" t="inlineStr">
        <is>
          <t>РММ, тепловой пункт</t>
        </is>
      </c>
      <c r="J72" s="15" t="inlineStr">
        <is>
          <t>АСУ,А и ТМ (КЦ № 6)</t>
        </is>
      </c>
      <c r="K72" s="15" t="n">
        <v>2012</v>
      </c>
      <c r="L72" s="15" t="n">
        <v>12</v>
      </c>
      <c r="M72" s="244" t="inlineStr">
        <is>
          <t>26ДЯУ</t>
        </is>
      </c>
      <c r="N72" s="15" t="inlineStr">
        <is>
          <t>П</t>
        </is>
      </c>
    </row>
    <row r="73">
      <c r="A73" s="15">
        <f>IF(B73&lt;&gt;"", COUNTA($B$2:B73), "")</f>
        <v/>
      </c>
      <c r="B73" s="15" t="inlineStr">
        <is>
          <t>Манометр технический</t>
        </is>
      </c>
      <c r="C73" s="15" t="inlineStr">
        <is>
          <t>МП4-У</t>
        </is>
      </c>
      <c r="D73" s="15" t="n">
        <v>2285</v>
      </c>
      <c r="E73" s="15" t="n">
        <v>2010</v>
      </c>
      <c r="F73" s="15" t="inlineStr">
        <is>
          <t>0..6 кгс/см2</t>
        </is>
      </c>
      <c r="G73" s="15" t="n">
        <v>1</v>
      </c>
      <c r="H73" s="15" t="inlineStr">
        <is>
          <t>Р воды перед Д3</t>
        </is>
      </c>
      <c r="I73" s="15" t="inlineStr">
        <is>
          <t>РММ, тепловой пункт</t>
        </is>
      </c>
      <c r="J73" s="15" t="inlineStr">
        <is>
          <t>АСУ,А и ТМ (КЦ № 6)</t>
        </is>
      </c>
      <c r="K73" s="15" t="n">
        <v>2012</v>
      </c>
      <c r="L73" s="15" t="n">
        <v>12</v>
      </c>
      <c r="M73" s="244" t="inlineStr">
        <is>
          <t>26ДЯУ</t>
        </is>
      </c>
      <c r="N73" s="15" t="inlineStr">
        <is>
          <t>П</t>
        </is>
      </c>
    </row>
    <row r="74">
      <c r="A74" s="15">
        <f>IF(B74&lt;&gt;"", COUNTA($B$2:B74), "")</f>
        <v/>
      </c>
      <c r="B74" s="15" t="inlineStr">
        <is>
          <t>Манометр технический</t>
        </is>
      </c>
      <c r="C74" s="15" t="inlineStr">
        <is>
          <t>МП3-УУ2</t>
        </is>
      </c>
      <c r="D74" s="15" t="n">
        <v>30096</v>
      </c>
      <c r="E74" s="15" t="n">
        <v>2004</v>
      </c>
      <c r="F74" s="15" t="inlineStr">
        <is>
          <t>0..16 кгс/см2</t>
        </is>
      </c>
      <c r="G74" s="15" t="n">
        <v>1.5</v>
      </c>
      <c r="H74" s="15" t="inlineStr">
        <is>
          <t>Р воды перед В3</t>
        </is>
      </c>
      <c r="I74" s="15" t="inlineStr">
        <is>
          <t>РММ, тепловой пункт</t>
        </is>
      </c>
      <c r="J74" s="15" t="inlineStr">
        <is>
          <t>АСУ,А и ТМ (КЦ № 6)</t>
        </is>
      </c>
      <c r="K74" s="15" t="n">
        <v>2012</v>
      </c>
      <c r="L74" s="15" t="n">
        <v>12</v>
      </c>
      <c r="M74" s="244" t="inlineStr">
        <is>
          <t>26ДЯУ</t>
        </is>
      </c>
      <c r="N74" s="15" t="inlineStr">
        <is>
          <t>П</t>
        </is>
      </c>
    </row>
    <row r="75">
      <c r="A75" s="15">
        <f>IF(B75&lt;&gt;"", COUNTA($B$2:B75), "")</f>
        <v/>
      </c>
      <c r="B75" s="15" t="inlineStr">
        <is>
          <t>Манометр технический</t>
        </is>
      </c>
      <c r="C75" s="15" t="inlineStr">
        <is>
          <t>ДМ02-100-1-G</t>
        </is>
      </c>
      <c r="D75" s="15" t="n">
        <v>15184</v>
      </c>
      <c r="E75" s="15" t="n">
        <v>2004</v>
      </c>
      <c r="F75" s="15" t="inlineStr">
        <is>
          <t>0..6 Bar</t>
        </is>
      </c>
      <c r="G75" s="15" t="n">
        <v>1.5</v>
      </c>
      <c r="H75" s="15" t="inlineStr">
        <is>
          <t>Р воды перед кр.6 до Ф</t>
        </is>
      </c>
      <c r="I75" s="15" t="inlineStr">
        <is>
          <t>РММ, тепловой пункт</t>
        </is>
      </c>
      <c r="J75" s="15" t="inlineStr">
        <is>
          <t>АСУ,А и ТМ (КЦ № 6)</t>
        </is>
      </c>
      <c r="K75" s="15" t="n">
        <v>2012</v>
      </c>
      <c r="L75" s="15" t="n">
        <v>12</v>
      </c>
      <c r="M75" s="244" t="inlineStr">
        <is>
          <t>26ДЯУ</t>
        </is>
      </c>
      <c r="N75" s="15" t="inlineStr">
        <is>
          <t>П</t>
        </is>
      </c>
    </row>
    <row r="76">
      <c r="A76" s="15">
        <f>IF(B76&lt;&gt;"", COUNTA($B$2:B76), "")</f>
        <v/>
      </c>
      <c r="B76" s="15" t="inlineStr">
        <is>
          <t>Манометр технический</t>
        </is>
      </c>
      <c r="C76" s="15" t="inlineStr">
        <is>
          <t>МП3-УТ2</t>
        </is>
      </c>
      <c r="D76" s="15" t="n">
        <v>1321991</v>
      </c>
      <c r="E76" s="15" t="n">
        <v>2010</v>
      </c>
      <c r="F76" s="15" t="inlineStr">
        <is>
          <t>0..6 кгс/см2</t>
        </is>
      </c>
      <c r="G76" s="15" t="n">
        <v>1.5</v>
      </c>
      <c r="H76" s="15" t="inlineStr">
        <is>
          <t>Р воды перед кр. 13</t>
        </is>
      </c>
      <c r="I76" s="15" t="inlineStr">
        <is>
          <t>РММ, тепловой пункт</t>
        </is>
      </c>
      <c r="J76" s="15" t="inlineStr">
        <is>
          <t>АСУ,А и ТМ (КЦ № 6)</t>
        </is>
      </c>
      <c r="K76" s="15" t="n">
        <v>2012</v>
      </c>
      <c r="L76" s="15" t="n">
        <v>12</v>
      </c>
      <c r="M76" s="244" t="inlineStr">
        <is>
          <t>26ДЯУ</t>
        </is>
      </c>
      <c r="N76" s="15" t="inlineStr">
        <is>
          <t>П</t>
        </is>
      </c>
    </row>
    <row r="77" ht="22.5" customHeight="1" s="151">
      <c r="A77" s="15">
        <f>IF(B77&lt;&gt;"", COUNTA($B$2:B77), "")</f>
        <v/>
      </c>
      <c r="B77" s="15" t="inlineStr">
        <is>
          <t>Термометр биметаллический</t>
        </is>
      </c>
      <c r="C77" s="15" t="inlineStr">
        <is>
          <t>ТБ-1</t>
        </is>
      </c>
      <c r="D77" s="15" t="inlineStr">
        <is>
          <t>1293</t>
        </is>
      </c>
      <c r="E77" s="15" t="n">
        <v>2010</v>
      </c>
      <c r="F77" s="15" t="inlineStr">
        <is>
          <t>0  ..  120°С</t>
        </is>
      </c>
      <c r="G77" s="15" t="n">
        <v>1.5</v>
      </c>
      <c r="H77" s="15" t="inlineStr">
        <is>
          <t xml:space="preserve">Температура воды перед кр. 14 </t>
        </is>
      </c>
      <c r="I77" s="15" t="inlineStr">
        <is>
          <t>РММ, тепловой пункт</t>
        </is>
      </c>
      <c r="J77" s="15" t="inlineStr">
        <is>
          <t>АСУ,А и ТМ (КЦ № 6)</t>
        </is>
      </c>
      <c r="K77" s="15" t="n">
        <v>2012</v>
      </c>
      <c r="L77" s="15" t="n">
        <v>24</v>
      </c>
      <c r="M77" s="115" t="inlineStr">
        <is>
          <t>25ДЯУ</t>
        </is>
      </c>
      <c r="N77" s="15" t="inlineStr">
        <is>
          <t>П</t>
        </is>
      </c>
    </row>
    <row r="78" ht="22.5" customHeight="1" s="151">
      <c r="A78" s="15">
        <f>IF(B78&lt;&gt;"", COUNTA($B$2:B78), "")</f>
        <v/>
      </c>
      <c r="B78" s="15" t="inlineStr">
        <is>
          <t>Термометр биметаллический</t>
        </is>
      </c>
      <c r="C78" s="15" t="inlineStr">
        <is>
          <t>ТБ-1</t>
        </is>
      </c>
      <c r="D78" s="15" t="inlineStr">
        <is>
          <t>1307</t>
        </is>
      </c>
      <c r="E78" s="15" t="n">
        <v>2010</v>
      </c>
      <c r="F78" s="15" t="inlineStr">
        <is>
          <t>0  ..  120°С</t>
        </is>
      </c>
      <c r="G78" s="15" t="n">
        <v>1.5</v>
      </c>
      <c r="H78" s="15" t="inlineStr">
        <is>
          <t xml:space="preserve">Температура воды перед кр. 10 </t>
        </is>
      </c>
      <c r="I78" s="15" t="inlineStr">
        <is>
          <t>РММ, тепловой пункт</t>
        </is>
      </c>
      <c r="J78" s="15" t="inlineStr">
        <is>
          <t>АСУ,А и ТМ (КЦ № 6)</t>
        </is>
      </c>
      <c r="K78" s="15" t="n">
        <v>2012</v>
      </c>
      <c r="L78" s="15" t="n">
        <v>24</v>
      </c>
      <c r="M78" s="115" t="inlineStr">
        <is>
          <t>25ДЯУ</t>
        </is>
      </c>
      <c r="N78" s="15" t="inlineStr">
        <is>
          <t>П</t>
        </is>
      </c>
    </row>
    <row r="79" ht="22.5" customHeight="1" s="151">
      <c r="A79" s="15">
        <f>IF(B79&lt;&gt;"", COUNTA($B$2:B79), "")</f>
        <v/>
      </c>
      <c r="B79" s="15" t="inlineStr">
        <is>
          <t>Термометр биметаллический</t>
        </is>
      </c>
      <c r="C79" s="15" t="inlineStr">
        <is>
          <t>ТБ-1</t>
        </is>
      </c>
      <c r="D79" s="15" t="inlineStr">
        <is>
          <t>1298</t>
        </is>
      </c>
      <c r="E79" s="15" t="n">
        <v>2010</v>
      </c>
      <c r="F79" s="15" t="inlineStr">
        <is>
          <t>0  ..  120°С</t>
        </is>
      </c>
      <c r="G79" s="15" t="n">
        <v>1.5</v>
      </c>
      <c r="H79" s="15" t="inlineStr">
        <is>
          <t xml:space="preserve">Температура воды перед кр. 6 </t>
        </is>
      </c>
      <c r="I79" s="15" t="inlineStr">
        <is>
          <t>РММ, тепловой пункт</t>
        </is>
      </c>
      <c r="J79" s="15" t="inlineStr">
        <is>
          <t>АСУ,А и ТМ (КЦ № 6)</t>
        </is>
      </c>
      <c r="K79" s="15" t="n">
        <v>2012</v>
      </c>
      <c r="L79" s="15" t="n">
        <v>24</v>
      </c>
      <c r="M79" s="115" t="inlineStr">
        <is>
          <t>25ДЯУ</t>
        </is>
      </c>
      <c r="N79" s="15" t="inlineStr">
        <is>
          <t>П</t>
        </is>
      </c>
    </row>
    <row r="80" ht="22.5" customHeight="1" s="151">
      <c r="A80" s="15">
        <f>IF(B80&lt;&gt;"", COUNTA($B$2:B80), "")</f>
        <v/>
      </c>
      <c r="B80" s="15" t="inlineStr">
        <is>
          <t>Термометр биметаллический</t>
        </is>
      </c>
      <c r="C80" s="15" t="inlineStr">
        <is>
          <t>ТБ-1</t>
        </is>
      </c>
      <c r="D80" s="15" t="inlineStr">
        <is>
          <t>1303</t>
        </is>
      </c>
      <c r="E80" s="15" t="n">
        <v>2010</v>
      </c>
      <c r="F80" s="15" t="inlineStr">
        <is>
          <t>0  ..  120°С</t>
        </is>
      </c>
      <c r="G80" s="15" t="n">
        <v>1.5</v>
      </c>
      <c r="H80" s="15" t="inlineStr">
        <is>
          <t>Температура воды в Т2 после расходомера</t>
        </is>
      </c>
      <c r="I80" s="15" t="inlineStr">
        <is>
          <t>РММ, тепловой пункт</t>
        </is>
      </c>
      <c r="J80" s="15" t="inlineStr">
        <is>
          <t>АСУ,А и ТМ (КЦ № 6)</t>
        </is>
      </c>
      <c r="K80" s="15" t="n">
        <v>2012</v>
      </c>
      <c r="L80" s="15" t="n">
        <v>24</v>
      </c>
      <c r="M80" s="115" t="inlineStr">
        <is>
          <t>25ДЯУ</t>
        </is>
      </c>
      <c r="N80" s="15" t="inlineStr">
        <is>
          <t>П</t>
        </is>
      </c>
    </row>
    <row r="81" ht="22.5" customHeight="1" s="151">
      <c r="A81" s="15">
        <f>IF(B81&lt;&gt;"", COUNTA($B$2:B81), "")</f>
        <v/>
      </c>
      <c r="B81" s="15" t="inlineStr">
        <is>
          <t>Термометр биметаллический</t>
        </is>
      </c>
      <c r="C81" s="15" t="n"/>
      <c r="D81" s="15" t="inlineStr">
        <is>
          <t>Загулшка</t>
        </is>
      </c>
      <c r="E81" s="15" t="n"/>
      <c r="F81" s="15" t="n"/>
      <c r="G81" s="15" t="n"/>
      <c r="H81" s="15" t="inlineStr">
        <is>
          <t xml:space="preserve">Температура воды в Т1 после кр. 1 </t>
        </is>
      </c>
      <c r="I81" s="15" t="inlineStr">
        <is>
          <t>РММ, тепловой пункт</t>
        </is>
      </c>
      <c r="J81" s="15" t="inlineStr">
        <is>
          <t>АСУ,А и ТМ (КЦ № 6)</t>
        </is>
      </c>
      <c r="K81" s="15" t="n"/>
      <c r="L81" s="15" t="n"/>
      <c r="M81" s="115" t="n"/>
      <c r="N81" s="15" t="n"/>
    </row>
    <row r="82" ht="22.5" customHeight="1" s="151">
      <c r="A82" s="15">
        <f>IF(B82&lt;&gt;"", COUNTA($B$2:B82), "")</f>
        <v/>
      </c>
      <c r="B82" s="15" t="inlineStr">
        <is>
          <t>Термометр биметаллический</t>
        </is>
      </c>
      <c r="C82" s="15" t="n"/>
      <c r="D82" s="15" t="inlineStr">
        <is>
          <t>Загулшка</t>
        </is>
      </c>
      <c r="E82" s="15" t="n"/>
      <c r="F82" s="15" t="n"/>
      <c r="G82" s="15" t="n"/>
      <c r="H82" s="15" t="inlineStr">
        <is>
          <t xml:space="preserve">Температура воды перед Д 3 </t>
        </is>
      </c>
      <c r="I82" s="15" t="inlineStr">
        <is>
          <t>РММ, тепловой пункт</t>
        </is>
      </c>
      <c r="J82" s="15" t="inlineStr">
        <is>
          <t>АСУ,А и ТМ (КЦ № 6)</t>
        </is>
      </c>
      <c r="K82" s="15" t="n"/>
      <c r="L82" s="15" t="n"/>
      <c r="M82" s="115" t="n"/>
      <c r="N82" s="15" t="n"/>
    </row>
    <row r="83" ht="22.5" customHeight="1" s="151">
      <c r="A83" s="15">
        <f>IF(B83&lt;&gt;"", COUNTA($B$2:B83), "")</f>
        <v/>
      </c>
      <c r="B83" s="15" t="inlineStr">
        <is>
          <t>Термометр биметаллический</t>
        </is>
      </c>
      <c r="C83" s="15" t="inlineStr">
        <is>
          <t>ТБ-2Р</t>
        </is>
      </c>
      <c r="D83" s="15" t="n">
        <v>5090</v>
      </c>
      <c r="E83" s="15" t="n">
        <v>2010</v>
      </c>
      <c r="F83" s="15" t="inlineStr">
        <is>
          <t>0  ..  120°С</t>
        </is>
      </c>
      <c r="G83" s="15" t="n">
        <v>1</v>
      </c>
      <c r="H83" s="15" t="inlineStr">
        <is>
          <t xml:space="preserve">Температура воды перед кр. 13 </t>
        </is>
      </c>
      <c r="I83" s="15" t="inlineStr">
        <is>
          <t>РММ, тепловой пункт</t>
        </is>
      </c>
      <c r="J83" s="15" t="inlineStr">
        <is>
          <t>АСУ,А и ТМ (КЦ № 6)</t>
        </is>
      </c>
      <c r="K83" s="15" t="n">
        <v>2012</v>
      </c>
      <c r="L83" s="15" t="n">
        <v>24</v>
      </c>
      <c r="M83" s="115" t="inlineStr">
        <is>
          <t>25ДЯУ</t>
        </is>
      </c>
      <c r="N83" s="15" t="inlineStr">
        <is>
          <t>П</t>
        </is>
      </c>
    </row>
    <row r="84" ht="22.5" customHeight="1" s="151">
      <c r="A84" s="15">
        <f>IF(B84&lt;&gt;"", COUNTA($B$2:B84), "")</f>
        <v/>
      </c>
      <c r="B84" s="280" t="inlineStr">
        <is>
          <t>Датчик давления избыточного</t>
        </is>
      </c>
      <c r="C84" s="15" t="inlineStr">
        <is>
          <t>СДВ-И-2,5-1,6</t>
        </is>
      </c>
      <c r="D84" s="15" t="n">
        <v>73513</v>
      </c>
      <c r="E84" s="10" t="n">
        <v>2012</v>
      </c>
      <c r="F84" s="26" t="inlineStr">
        <is>
          <t>0..2,5 MPa</t>
        </is>
      </c>
      <c r="G84" s="15" t="n">
        <v>1</v>
      </c>
      <c r="H84" s="3" t="inlineStr">
        <is>
          <t>Р прямой воды</t>
        </is>
      </c>
      <c r="I84" s="15" t="inlineStr">
        <is>
          <t>РММ, тепловой пункт</t>
        </is>
      </c>
      <c r="J84" s="15" t="inlineStr">
        <is>
          <t>АСУ,А и ТМ (КЦ № 6)</t>
        </is>
      </c>
      <c r="K84" s="15" t="n">
        <v>2012</v>
      </c>
      <c r="L84" s="15" t="n">
        <v>60</v>
      </c>
      <c r="M84" s="15" t="n"/>
      <c r="N84" s="15" t="n"/>
    </row>
    <row r="85" ht="22.5" customHeight="1" s="151">
      <c r="A85" s="15">
        <f>IF(B85&lt;&gt;"", COUNTA($B$2:B85), "")</f>
        <v/>
      </c>
      <c r="B85" s="280" t="inlineStr">
        <is>
          <t>Датчик давления избыточного</t>
        </is>
      </c>
      <c r="C85" s="15" t="inlineStr">
        <is>
          <t>СДВ-И-2,5-1,6</t>
        </is>
      </c>
      <c r="D85" s="15" t="n">
        <v>73512</v>
      </c>
      <c r="E85" s="10" t="n">
        <v>2012</v>
      </c>
      <c r="F85" s="26" t="inlineStr">
        <is>
          <t>0..2,5 MPa</t>
        </is>
      </c>
      <c r="G85" s="15" t="n">
        <v>1</v>
      </c>
      <c r="H85" s="3" t="inlineStr">
        <is>
          <t>Р обратной воды</t>
        </is>
      </c>
      <c r="I85" s="15" t="inlineStr">
        <is>
          <t>РММ, тепловой пункт</t>
        </is>
      </c>
      <c r="J85" s="15" t="inlineStr">
        <is>
          <t>АСУ,А и ТМ (КЦ № 6)</t>
        </is>
      </c>
      <c r="K85" s="15" t="n">
        <v>2012</v>
      </c>
      <c r="L85" s="15" t="n">
        <v>60</v>
      </c>
      <c r="M85" s="15" t="n"/>
      <c r="N85" s="15" t="n"/>
    </row>
    <row r="86">
      <c r="A86" s="15">
        <f>IF(B86&lt;&gt;"", COUNTA($B$2:B86), "")</f>
        <v/>
      </c>
      <c r="B86" s="280" t="inlineStr">
        <is>
          <t>Термометр сопротивления</t>
        </is>
      </c>
      <c r="C86" s="15" t="inlineStr">
        <is>
          <t>Взлет ТПС</t>
        </is>
      </c>
      <c r="D86" s="15" t="n">
        <v>1217497</v>
      </c>
      <c r="E86" s="10" t="n"/>
      <c r="F86" s="26" t="inlineStr">
        <is>
          <t>0…180 С</t>
        </is>
      </c>
      <c r="G86" s="15" t="n"/>
      <c r="H86" s="3" t="inlineStr">
        <is>
          <t>Т прямой воды</t>
        </is>
      </c>
      <c r="I86" s="15" t="inlineStr">
        <is>
          <t>РММ, тепловой пункт</t>
        </is>
      </c>
      <c r="J86" s="15" t="inlineStr">
        <is>
          <t>АСУ,А и ТМ (КЦ № 6)</t>
        </is>
      </c>
      <c r="K86" s="15" t="n"/>
      <c r="L86" s="15" t="n"/>
      <c r="M86" s="15" t="n"/>
      <c r="N86" s="15" t="n"/>
    </row>
    <row r="87">
      <c r="A87" s="15">
        <f>IF(B87&lt;&gt;"", COUNTA($B$2:B87), "")</f>
        <v/>
      </c>
      <c r="B87" s="280" t="inlineStr">
        <is>
          <t>Термометр сопротивления</t>
        </is>
      </c>
      <c r="C87" s="15" t="inlineStr">
        <is>
          <t>Взлет ТПС</t>
        </is>
      </c>
      <c r="D87" s="15" t="n">
        <v>1217614</v>
      </c>
      <c r="E87" s="10" t="n"/>
      <c r="F87" s="26" t="inlineStr">
        <is>
          <t>0…180 С</t>
        </is>
      </c>
      <c r="G87" s="15" t="n"/>
      <c r="H87" s="3" t="inlineStr">
        <is>
          <t>Т обратной воды</t>
        </is>
      </c>
      <c r="I87" s="15" t="inlineStr">
        <is>
          <t>РММ, тепловой пункт</t>
        </is>
      </c>
      <c r="J87" s="15" t="inlineStr">
        <is>
          <t>АСУ,А и ТМ (КЦ № 6)</t>
        </is>
      </c>
      <c r="K87" s="15" t="n"/>
      <c r="L87" s="15" t="n"/>
      <c r="M87" s="15" t="n"/>
      <c r="N87" s="15" t="n"/>
    </row>
    <row r="88" ht="22.5" customHeight="1" s="151">
      <c r="A88" s="15">
        <f>IF(B88&lt;&gt;"", COUNTA($B$2:B88), "")</f>
        <v/>
      </c>
      <c r="B88" s="280" t="inlineStr">
        <is>
          <t>Расходомер электромагнитный</t>
        </is>
      </c>
      <c r="C88" s="15" t="inlineStr">
        <is>
          <t>Взлет ЭРСВ-430Л</t>
        </is>
      </c>
      <c r="D88" s="15" t="n">
        <v>1234722</v>
      </c>
      <c r="E88" s="47" t="n"/>
      <c r="F88" s="47" t="n"/>
      <c r="G88" s="47" t="n"/>
      <c r="H88" s="3" t="inlineStr">
        <is>
          <t>Расход воды в системе отопления</t>
        </is>
      </c>
      <c r="I88" s="15" t="inlineStr">
        <is>
          <t>РММ, тепловой пункт</t>
        </is>
      </c>
      <c r="J88" s="15" t="inlineStr">
        <is>
          <t>АСУ,А и ТМ (КЦ № 6)</t>
        </is>
      </c>
      <c r="K88" s="15" t="n"/>
      <c r="L88" s="47" t="n"/>
      <c r="M88" s="47" t="n"/>
      <c r="N88" s="47" t="n"/>
    </row>
    <row r="89">
      <c r="A89" s="15">
        <f>IF(B89&lt;&gt;"", COUNTA($B$2:B89), "")</f>
        <v/>
      </c>
      <c r="B89" s="280" t="inlineStr">
        <is>
          <t>Тепловычислитель</t>
        </is>
      </c>
      <c r="C89" s="15" t="inlineStr">
        <is>
          <t>Взлет ТСРВ-027</t>
        </is>
      </c>
      <c r="D89" s="15" t="n">
        <v>1200796</v>
      </c>
      <c r="E89" s="47" t="n"/>
      <c r="F89" s="47" t="n"/>
      <c r="G89" s="47" t="n"/>
      <c r="H89" s="3" t="inlineStr">
        <is>
          <t>Учет тепловой энергии</t>
        </is>
      </c>
      <c r="I89" s="15" t="inlineStr">
        <is>
          <t>РММ, тепловой пункт</t>
        </is>
      </c>
      <c r="J89" s="15" t="inlineStr">
        <is>
          <t>АСУ,А и ТМ (КЦ № 6)</t>
        </is>
      </c>
      <c r="K89" s="15" t="n"/>
      <c r="L89" s="47" t="n"/>
      <c r="M89" s="47" t="n"/>
      <c r="N89" s="47" t="n"/>
    </row>
    <row r="90" ht="22.5" customHeight="1" s="151">
      <c r="A90" s="15">
        <f>IF(B90&lt;&gt;"", COUNTA($B$2:B90), "")</f>
        <v/>
      </c>
      <c r="B90" s="15" t="inlineStr">
        <is>
          <t>Манометр технический</t>
        </is>
      </c>
      <c r="C90" s="15" t="inlineStr">
        <is>
          <t>МП4-УУ2</t>
        </is>
      </c>
      <c r="D90" s="15" t="n">
        <v>7091</v>
      </c>
      <c r="E90" s="15" t="n">
        <v>2010</v>
      </c>
      <c r="F90" s="15" t="inlineStr">
        <is>
          <t>0..10 кгс/см2</t>
        </is>
      </c>
      <c r="G90" s="15" t="n">
        <v>1</v>
      </c>
      <c r="H90" s="15" t="inlineStr">
        <is>
          <t>Р воды в В1 до фильтра</t>
        </is>
      </c>
      <c r="I90" s="15" t="inlineStr">
        <is>
          <t>Маслосклад тепловой пункт</t>
        </is>
      </c>
      <c r="J90" s="15" t="inlineStr">
        <is>
          <t>АСУ,А и ТМ (КЦ № 6)</t>
        </is>
      </c>
      <c r="K90" s="15" t="n">
        <v>2012</v>
      </c>
      <c r="L90" s="15" t="n">
        <v>12</v>
      </c>
      <c r="M90" s="244" t="inlineStr">
        <is>
          <t>26ДЯУ</t>
        </is>
      </c>
      <c r="N90" s="15" t="inlineStr">
        <is>
          <t>П</t>
        </is>
      </c>
    </row>
    <row r="91" ht="33.75" customHeight="1" s="151">
      <c r="A91" s="15">
        <f>IF(B91&lt;&gt;"", COUNTA($B$2:B91), "")</f>
        <v/>
      </c>
      <c r="B91" s="15" t="inlineStr">
        <is>
          <t>Манометр технический</t>
        </is>
      </c>
      <c r="C91" s="15" t="inlineStr">
        <is>
          <t>МП4-У</t>
        </is>
      </c>
      <c r="D91" s="15" t="inlineStr">
        <is>
          <t>2273</t>
        </is>
      </c>
      <c r="E91" s="15" t="n">
        <v>2010</v>
      </c>
      <c r="F91" s="15" t="inlineStr">
        <is>
          <t>0..6 кгс/см2</t>
        </is>
      </c>
      <c r="G91" s="15" t="n">
        <v>1</v>
      </c>
      <c r="H91" s="15" t="inlineStr">
        <is>
          <t>Р воды в В2 после клапана-регулятора перепада давления</t>
        </is>
      </c>
      <c r="I91" s="15" t="inlineStr">
        <is>
          <t>Маслосклад тепловой пункт</t>
        </is>
      </c>
      <c r="J91" s="15" t="inlineStr">
        <is>
          <t>АСУ,А и ТМ (КЦ № 6)</t>
        </is>
      </c>
      <c r="K91" s="15" t="n">
        <v>2012</v>
      </c>
      <c r="L91" s="15" t="n">
        <v>12</v>
      </c>
      <c r="M91" s="244" t="inlineStr">
        <is>
          <t>26ДЯУ</t>
        </is>
      </c>
      <c r="N91" s="15" t="inlineStr">
        <is>
          <t>П</t>
        </is>
      </c>
    </row>
    <row r="92" ht="22.5" customHeight="1" s="151">
      <c r="A92" s="15">
        <f>IF(B92&lt;&gt;"", COUNTA($B$2:B92), "")</f>
        <v/>
      </c>
      <c r="B92" s="15" t="inlineStr">
        <is>
          <t>Термометр биметаллический</t>
        </is>
      </c>
      <c r="C92" s="15" t="inlineStr">
        <is>
          <t>ТБ-1Р</t>
        </is>
      </c>
      <c r="D92" s="15" t="n">
        <v>1202</v>
      </c>
      <c r="E92" s="15" t="n">
        <v>2010</v>
      </c>
      <c r="F92" s="15" t="inlineStr">
        <is>
          <t>0  ..  150°С</t>
        </is>
      </c>
      <c r="G92" s="15" t="n">
        <v>1.5</v>
      </c>
      <c r="H92" s="15" t="inlineStr">
        <is>
          <t>Температура в В1</t>
        </is>
      </c>
      <c r="I92" s="15" t="inlineStr">
        <is>
          <t>Маслосклад тепловой пункт</t>
        </is>
      </c>
      <c r="J92" s="15" t="inlineStr">
        <is>
          <t>АСУ,А и ТМ (КЦ № 6)</t>
        </is>
      </c>
      <c r="K92" s="15" t="n">
        <v>2012</v>
      </c>
      <c r="L92" s="15" t="n">
        <v>24</v>
      </c>
      <c r="M92" s="115" t="inlineStr">
        <is>
          <t>25ДЯУ</t>
        </is>
      </c>
      <c r="N92" s="15" t="inlineStr">
        <is>
          <t>П</t>
        </is>
      </c>
    </row>
    <row r="93" ht="22.5" customHeight="1" s="151">
      <c r="A93" s="15">
        <f>IF(B93&lt;&gt;"", COUNTA($B$2:B93), "")</f>
        <v/>
      </c>
      <c r="B93" s="15" t="inlineStr">
        <is>
          <t>Термометр биметаллический</t>
        </is>
      </c>
      <c r="C93" s="15" t="inlineStr">
        <is>
          <t>ТБ-2</t>
        </is>
      </c>
      <c r="D93" s="15" t="n">
        <v>3320</v>
      </c>
      <c r="E93" s="15" t="n">
        <v>2010</v>
      </c>
      <c r="F93" s="15" t="inlineStr">
        <is>
          <t>0  ..  150°С</t>
        </is>
      </c>
      <c r="G93" s="15" t="n">
        <v>1.5</v>
      </c>
      <c r="H93" s="15" t="inlineStr">
        <is>
          <t>Температура в В2</t>
        </is>
      </c>
      <c r="I93" s="15" t="inlineStr">
        <is>
          <t>Маслосклад тепловой пункт</t>
        </is>
      </c>
      <c r="J93" s="15" t="inlineStr">
        <is>
          <t>АСУ,А и ТМ (КЦ № 6)</t>
        </is>
      </c>
      <c r="K93" s="15" t="n">
        <v>2012</v>
      </c>
      <c r="L93" s="15" t="n">
        <v>24</v>
      </c>
      <c r="M93" s="115" t="inlineStr">
        <is>
          <t>25ДЯУ</t>
        </is>
      </c>
      <c r="N93" s="15" t="inlineStr">
        <is>
          <t>П</t>
        </is>
      </c>
    </row>
    <row r="94" ht="22.5" customHeight="1" s="151">
      <c r="A94" s="15">
        <f>IF(B94&lt;&gt;"", COUNTA($B$2:B94), "")</f>
        <v/>
      </c>
      <c r="B94" s="280" t="inlineStr">
        <is>
          <t>Датчик давления избыточного</t>
        </is>
      </c>
      <c r="C94" s="15" t="inlineStr">
        <is>
          <t>СДВ-И-1,6-1-0,6</t>
        </is>
      </c>
      <c r="D94" s="15" t="n">
        <v>73500</v>
      </c>
      <c r="E94" s="10" t="n">
        <v>2012</v>
      </c>
      <c r="F94" s="26" t="inlineStr">
        <is>
          <t>0..1,6 MPa</t>
        </is>
      </c>
      <c r="G94" s="15" t="n">
        <v>1</v>
      </c>
      <c r="H94" s="3" t="inlineStr">
        <is>
          <t>Р прямой воды</t>
        </is>
      </c>
      <c r="I94" s="15" t="inlineStr">
        <is>
          <t>Маслосклад тепловой пункт</t>
        </is>
      </c>
      <c r="J94" s="15" t="inlineStr">
        <is>
          <t>АСУ,А и ТМ (КЦ № 6)</t>
        </is>
      </c>
      <c r="K94" s="15" t="n">
        <v>2012</v>
      </c>
      <c r="L94" s="15" t="n">
        <v>60</v>
      </c>
      <c r="M94" s="15" t="n"/>
      <c r="N94" s="15" t="n"/>
    </row>
    <row r="95" ht="22.5" customHeight="1" s="151">
      <c r="A95" s="15">
        <f>IF(B95&lt;&gt;"", COUNTA($B$2:B95), "")</f>
        <v/>
      </c>
      <c r="B95" s="280" t="inlineStr">
        <is>
          <t>Датчик давления избыточного</t>
        </is>
      </c>
      <c r="C95" s="15" t="inlineStr">
        <is>
          <t>СДВ-И-1,6-1-0,6</t>
        </is>
      </c>
      <c r="D95" s="15" t="n">
        <v>73501</v>
      </c>
      <c r="E95" s="10" t="n">
        <v>2012</v>
      </c>
      <c r="F95" s="26" t="inlineStr">
        <is>
          <t>0..1,6 MPa</t>
        </is>
      </c>
      <c r="G95" s="15" t="n">
        <v>1</v>
      </c>
      <c r="H95" s="3" t="inlineStr">
        <is>
          <t>Р обратной сетевой воды</t>
        </is>
      </c>
      <c r="I95" s="15" t="inlineStr">
        <is>
          <t>Маслосклад тепловой пункт</t>
        </is>
      </c>
      <c r="J95" s="15" t="inlineStr">
        <is>
          <t>АСУ,А и ТМ (КЦ № 6)</t>
        </is>
      </c>
      <c r="K95" s="15" t="n">
        <v>2012</v>
      </c>
      <c r="L95" s="15" t="n">
        <v>60</v>
      </c>
      <c r="M95" s="15" t="n"/>
      <c r="N95" s="15" t="n"/>
    </row>
    <row r="96" ht="22.5" customHeight="1" s="151">
      <c r="A96" s="15">
        <f>IF(B96&lt;&gt;"", COUNTA($B$2:B96), "")</f>
        <v/>
      </c>
      <c r="B96" s="280" t="inlineStr">
        <is>
          <t>Термометр сопротивления</t>
        </is>
      </c>
      <c r="C96" s="15" t="inlineStr">
        <is>
          <t>Взлет ТПС</t>
        </is>
      </c>
      <c r="D96" s="15" t="n">
        <v>1181473</v>
      </c>
      <c r="E96" s="10" t="n"/>
      <c r="F96" s="26" t="inlineStr">
        <is>
          <t>0…180 С</t>
        </is>
      </c>
      <c r="G96" s="15" t="n"/>
      <c r="H96" s="3" t="inlineStr">
        <is>
          <t>Т прямой воды</t>
        </is>
      </c>
      <c r="I96" s="15" t="inlineStr">
        <is>
          <t>Маслосклад тепловой пункт</t>
        </is>
      </c>
      <c r="J96" s="15" t="inlineStr">
        <is>
          <t>АСУ,А и ТМ (КЦ № 6)</t>
        </is>
      </c>
      <c r="K96" s="15" t="n"/>
      <c r="L96" s="15" t="n"/>
      <c r="M96" s="15" t="n"/>
      <c r="N96" s="15" t="n"/>
    </row>
    <row r="97" ht="22.5" customHeight="1" s="151">
      <c r="A97" s="15">
        <f>IF(B97&lt;&gt;"", COUNTA($B$2:B97), "")</f>
        <v/>
      </c>
      <c r="B97" s="280" t="inlineStr">
        <is>
          <t>Термометр сопротивления</t>
        </is>
      </c>
      <c r="C97" s="15" t="inlineStr">
        <is>
          <t>Взлет ТПС</t>
        </is>
      </c>
      <c r="D97" s="15" t="n">
        <v>1181401</v>
      </c>
      <c r="E97" s="10" t="n"/>
      <c r="F97" s="26" t="inlineStr">
        <is>
          <t>0…180 С</t>
        </is>
      </c>
      <c r="G97" s="15" t="n"/>
      <c r="H97" s="3" t="inlineStr">
        <is>
          <t>Т обратной воды</t>
        </is>
      </c>
      <c r="I97" s="15" t="inlineStr">
        <is>
          <t>Маслосклад тепловой пункт</t>
        </is>
      </c>
      <c r="J97" s="15" t="inlineStr">
        <is>
          <t>АСУ,А и ТМ (КЦ № 6)</t>
        </is>
      </c>
      <c r="K97" s="15" t="n"/>
      <c r="L97" s="15" t="n"/>
      <c r="M97" s="15" t="n"/>
      <c r="N97" s="15" t="n"/>
    </row>
    <row r="98" ht="22.5" customHeight="1" s="151">
      <c r="A98" s="15">
        <f>IF(B98&lt;&gt;"", COUNTA($B$2:B98), "")</f>
        <v/>
      </c>
      <c r="B98" s="280" t="inlineStr">
        <is>
          <t>Расходомер электромагнитный</t>
        </is>
      </c>
      <c r="C98" s="15" t="inlineStr">
        <is>
          <t>Взлет ЭРСВ-420Л</t>
        </is>
      </c>
      <c r="D98" s="15" t="n">
        <v>1228498</v>
      </c>
      <c r="E98" s="47" t="n"/>
      <c r="F98" s="47" t="n"/>
      <c r="G98" s="47" t="n"/>
      <c r="H98" s="3" t="inlineStr">
        <is>
          <t>Расход воды в системе отопления</t>
        </is>
      </c>
      <c r="I98" s="15" t="inlineStr">
        <is>
          <t>Маслосклад тепловой пункт</t>
        </is>
      </c>
      <c r="J98" s="15" t="inlineStr">
        <is>
          <t>АСУ,А и ТМ (КЦ № 6)</t>
        </is>
      </c>
      <c r="K98" s="15" t="n"/>
      <c r="L98" s="47" t="n"/>
      <c r="M98" s="47" t="n"/>
      <c r="N98" s="47" t="n"/>
    </row>
    <row r="99" ht="22.5" customHeight="1" s="151">
      <c r="A99" s="15">
        <f>IF(B99&lt;&gt;"", COUNTA($B$2:B99), "")</f>
        <v/>
      </c>
      <c r="B99" s="280" t="inlineStr">
        <is>
          <t>Тепловычислитель</t>
        </is>
      </c>
      <c r="C99" s="15" t="inlineStr">
        <is>
          <t>Взлет ТСРВ-027</t>
        </is>
      </c>
      <c r="D99" s="15" t="n">
        <v>1201048</v>
      </c>
      <c r="E99" s="47" t="n"/>
      <c r="F99" s="47" t="n"/>
      <c r="G99" s="47" t="n"/>
      <c r="H99" s="3" t="inlineStr">
        <is>
          <t>Учет тепловой энергии</t>
        </is>
      </c>
      <c r="I99" s="15" t="inlineStr">
        <is>
          <t>Маслосклад тепловой пункт</t>
        </is>
      </c>
      <c r="J99" s="15" t="inlineStr">
        <is>
          <t>АСУ,А и ТМ (КЦ № 6)</t>
        </is>
      </c>
      <c r="K99" s="15" t="n"/>
      <c r="L99" s="47" t="n"/>
      <c r="M99" s="47" t="n"/>
      <c r="N99" s="47" t="n"/>
    </row>
    <row r="100">
      <c r="A100" s="15">
        <f>IF(B100&lt;&gt;"", COUNTA($B$2:B100), "")</f>
        <v/>
      </c>
      <c r="B100" s="280" t="inlineStr">
        <is>
          <t>Манометр технический</t>
        </is>
      </c>
      <c r="C100" s="14" t="inlineStr">
        <is>
          <t>МП3-УУ2</t>
        </is>
      </c>
      <c r="D100" s="29" t="inlineStr">
        <is>
          <t>15572</t>
        </is>
      </c>
      <c r="E100" s="10" t="n">
        <v>2010</v>
      </c>
      <c r="F100" s="10" t="inlineStr">
        <is>
          <t>0..600 кПа</t>
        </is>
      </c>
      <c r="G100" s="71" t="n">
        <v>1.5</v>
      </c>
      <c r="H100" s="15" t="inlineStr">
        <is>
          <t>Р воды в Т1</t>
        </is>
      </c>
      <c r="I100" s="15" t="inlineStr">
        <is>
          <t>РММ, слесарный цех</t>
        </is>
      </c>
      <c r="J100" s="15" t="inlineStr">
        <is>
          <t>АСУ,А и ТМ (КЦ № 6)</t>
        </is>
      </c>
      <c r="K100" s="15" t="n">
        <v>2012</v>
      </c>
      <c r="L100" s="15" t="n">
        <v>12</v>
      </c>
      <c r="M100" s="115" t="inlineStr">
        <is>
          <t>26ДЯУ</t>
        </is>
      </c>
      <c r="N100" s="70" t="inlineStr">
        <is>
          <t>П</t>
        </is>
      </c>
    </row>
    <row r="101">
      <c r="A101" s="15">
        <f>IF(B101&lt;&gt;"", COUNTA($B$2:B101), "")</f>
        <v/>
      </c>
      <c r="B101" s="280" t="inlineStr">
        <is>
          <t>Манометр технический</t>
        </is>
      </c>
      <c r="C101" s="14" t="inlineStr">
        <is>
          <t>МП3-УУ2</t>
        </is>
      </c>
      <c r="D101" s="29" t="inlineStr">
        <is>
          <t>15571</t>
        </is>
      </c>
      <c r="E101" s="10" t="n">
        <v>2010</v>
      </c>
      <c r="F101" s="10" t="inlineStr">
        <is>
          <t>0..600 кПа</t>
        </is>
      </c>
      <c r="G101" s="71" t="n">
        <v>1.5</v>
      </c>
      <c r="H101" s="15" t="inlineStr">
        <is>
          <t>Р воды в Т2</t>
        </is>
      </c>
      <c r="I101" s="15" t="inlineStr">
        <is>
          <t>РММ, слесарный цех</t>
        </is>
      </c>
      <c r="J101" s="15" t="inlineStr">
        <is>
          <t>АСУ,А и ТМ (КЦ № 6)</t>
        </is>
      </c>
      <c r="K101" s="15" t="n">
        <v>2012</v>
      </c>
      <c r="L101" s="15" t="n">
        <v>12</v>
      </c>
      <c r="M101" s="244" t="inlineStr">
        <is>
          <t>26ДЯУ</t>
        </is>
      </c>
      <c r="N101" s="70" t="inlineStr">
        <is>
          <t>П</t>
        </is>
      </c>
    </row>
    <row r="102">
      <c r="A102" s="15">
        <f>IF(B102&lt;&gt;"", COUNTA($B$2:B102), "")</f>
        <v/>
      </c>
      <c r="B102" s="15" t="inlineStr">
        <is>
          <t>Термометр биметаллический</t>
        </is>
      </c>
      <c r="C102" s="15" t="inlineStr">
        <is>
          <t>ТБ-1</t>
        </is>
      </c>
      <c r="D102" s="15" t="n">
        <v>1290</v>
      </c>
      <c r="E102" s="15" t="n">
        <v>2010</v>
      </c>
      <c r="F102" s="15" t="inlineStr">
        <is>
          <t>0  ..  120°С</t>
        </is>
      </c>
      <c r="G102" s="15" t="n">
        <v>1.5</v>
      </c>
      <c r="H102" s="15" t="inlineStr">
        <is>
          <t>Т воды в Т1</t>
        </is>
      </c>
      <c r="I102" s="15" t="inlineStr">
        <is>
          <t>РММ, слесарный цех</t>
        </is>
      </c>
      <c r="J102" s="15" t="inlineStr">
        <is>
          <t>АСУ,А и ТМ (КЦ № 6)</t>
        </is>
      </c>
      <c r="K102" s="15" t="n">
        <v>2012</v>
      </c>
      <c r="L102" s="15" t="n">
        <v>24</v>
      </c>
      <c r="M102" s="244" t="inlineStr">
        <is>
          <t>26ДЯУ</t>
        </is>
      </c>
      <c r="N102" s="15" t="inlineStr">
        <is>
          <t>П</t>
        </is>
      </c>
    </row>
    <row r="103">
      <c r="A103" s="15">
        <f>IF(B103&lt;&gt;"", COUNTA($B$2:B103), "")</f>
        <v/>
      </c>
      <c r="B103" s="15" t="inlineStr">
        <is>
          <t>Термометр биметаллический</t>
        </is>
      </c>
      <c r="C103" s="15" t="n"/>
      <c r="D103" s="15" t="inlineStr">
        <is>
          <t>заглушка</t>
        </is>
      </c>
      <c r="E103" s="15" t="n">
        <v>2010</v>
      </c>
      <c r="F103" s="15" t="inlineStr">
        <is>
          <t>0  ..  120°С</t>
        </is>
      </c>
      <c r="G103" s="15" t="n"/>
      <c r="H103" s="15" t="inlineStr">
        <is>
          <t>Т воды в Т2</t>
        </is>
      </c>
      <c r="I103" s="15" t="inlineStr">
        <is>
          <t>РММ, слесарный цех</t>
        </is>
      </c>
      <c r="J103" s="15" t="inlineStr">
        <is>
          <t>АСУ,А и ТМ (КЦ № 6)</t>
        </is>
      </c>
      <c r="K103" s="15" t="n">
        <v>2012</v>
      </c>
      <c r="L103" s="15" t="n"/>
      <c r="M103" s="115" t="inlineStr">
        <is>
          <t>нет</t>
        </is>
      </c>
      <c r="N103" s="15" t="n"/>
    </row>
    <row r="104" ht="22.5" customHeight="1" s="151">
      <c r="A104" s="15">
        <f>IF(B104&lt;&gt;"", COUNTA($B$2:B104), "")</f>
        <v/>
      </c>
      <c r="B104" s="15" t="inlineStr">
        <is>
          <t>Термометр биметаллический</t>
        </is>
      </c>
      <c r="C104" s="15" t="inlineStr">
        <is>
          <t>ТБ-1</t>
        </is>
      </c>
      <c r="D104" s="15" t="n">
        <v>1289</v>
      </c>
      <c r="E104" s="15" t="n">
        <v>2010</v>
      </c>
      <c r="F104" s="15" t="inlineStr">
        <is>
          <t>0  ..  120°С</t>
        </is>
      </c>
      <c r="G104" s="15" t="n">
        <v>1.5</v>
      </c>
      <c r="H104" s="15" t="inlineStr">
        <is>
          <t>Т воды в Т2 после трехходового клапана</t>
        </is>
      </c>
      <c r="I104" s="15" t="inlineStr">
        <is>
          <t>РММ, слесарный цех</t>
        </is>
      </c>
      <c r="J104" s="15" t="inlineStr">
        <is>
          <t>АСУ,А и ТМ (КЦ № 6)</t>
        </is>
      </c>
      <c r="K104" s="15" t="n">
        <v>2012</v>
      </c>
      <c r="L104" s="15" t="n">
        <v>24</v>
      </c>
      <c r="M104" s="115" t="inlineStr">
        <is>
          <t>25ДЯУ</t>
        </is>
      </c>
      <c r="N104" s="15" t="inlineStr">
        <is>
          <t>П</t>
        </is>
      </c>
      <c r="P104" t="inlineStr">
        <is>
          <t>А</t>
        </is>
      </c>
    </row>
    <row r="105" ht="22.5" customHeight="1" s="151">
      <c r="A105" s="15">
        <f>IF(B105&lt;&gt;"", COUNTA($B$2:B105), "")</f>
        <v/>
      </c>
      <c r="B105" s="15" t="inlineStr">
        <is>
          <t>Манометр технический</t>
        </is>
      </c>
      <c r="C105" s="15" t="inlineStr">
        <is>
          <t>МП3-УУ2</t>
        </is>
      </c>
      <c r="D105" s="15" t="inlineStr">
        <is>
          <t>15573</t>
        </is>
      </c>
      <c r="E105" s="15" t="n">
        <v>2010</v>
      </c>
      <c r="F105" s="15" t="inlineStr">
        <is>
          <t>0..600 кПа</t>
        </is>
      </c>
      <c r="G105" s="15" t="n">
        <v>1.5</v>
      </c>
      <c r="H105" s="15" t="inlineStr">
        <is>
          <t>Р воды в системе отопления</t>
        </is>
      </c>
      <c r="I105" s="15" t="inlineStr">
        <is>
          <t>РММ, склад резервного двигателя</t>
        </is>
      </c>
      <c r="J105" s="15" t="inlineStr">
        <is>
          <t>АСУ,А и ТМ (КЦ № 6)</t>
        </is>
      </c>
      <c r="K105" s="15" t="n">
        <v>2012</v>
      </c>
      <c r="L105" s="15" t="n">
        <v>12</v>
      </c>
      <c r="M105" s="244" t="inlineStr">
        <is>
          <t>26ДЯУ</t>
        </is>
      </c>
      <c r="N105" s="15" t="inlineStr">
        <is>
          <t>П</t>
        </is>
      </c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5" right="0.25" top="0.75" bottom="0.75" header="0.3" footer="0.3"/>
  <pageSetup orientation="landscape" paperSize="9" scale="91" fitToHeight="0"/>
</worksheet>
</file>

<file path=xl/worksheets/sheet16.xml><?xml version="1.0" encoding="utf-8"?>
<worksheet xmlns="http://schemas.openxmlformats.org/spreadsheetml/2006/main">
  <sheetPr codeName="Лист16"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M2" sqref="M2"/>
    </sheetView>
  </sheetViews>
  <sheetFormatPr baseColWidth="8" defaultRowHeight="15"/>
  <cols>
    <col width="3.140625" bestFit="1" customWidth="1" style="151" min="1" max="1"/>
    <col width="21.85546875" bestFit="1" customWidth="1" style="151" min="2" max="2"/>
    <col width="19.7109375" bestFit="1" customWidth="1" style="151" min="3" max="3"/>
    <col width="8" bestFit="1" customWidth="1" style="151" min="4" max="4"/>
    <col width="6.5703125" bestFit="1" customWidth="1" style="151" min="5" max="5"/>
    <col width="8.42578125" bestFit="1" customWidth="1" style="151" min="6" max="6"/>
    <col width="7.42578125" bestFit="1" customWidth="1" style="151" min="7" max="7"/>
    <col width="17" bestFit="1" customWidth="1" style="151" min="8" max="8"/>
    <col width="21" bestFit="1" customWidth="1" style="151" min="9" max="9"/>
    <col width="17.42578125" bestFit="1" customWidth="1" style="151" min="10" max="10"/>
    <col width="8" bestFit="1" customWidth="1" style="151" min="11" max="11"/>
    <col width="9" bestFit="1" customWidth="1" style="151" min="12" max="12"/>
    <col width="8.85546875" bestFit="1" customWidth="1" style="151" min="13" max="13"/>
    <col width="9" bestFit="1" customWidth="1" style="151" min="14" max="14"/>
    <col width="9.140625" customWidth="1" style="151" min="15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выпуска</t>
        </is>
      </c>
      <c r="F1" s="15" t="inlineStr">
        <is>
          <t>Диапазон 
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 ht="22.5" customHeight="1" s="151">
      <c r="A2" s="15">
        <f>IF(B2&lt;&gt;"", COUNTA($B$2:B2), "")</f>
        <v/>
      </c>
      <c r="B2" s="280" t="inlineStr">
        <is>
          <t>Термоманометр технический</t>
        </is>
      </c>
      <c r="C2" s="14" t="inlineStr">
        <is>
          <t>ТМТБ - 3</t>
        </is>
      </c>
      <c r="D2" s="30" t="n">
        <v>15616</v>
      </c>
      <c r="E2" s="14" t="n">
        <v>2010</v>
      </c>
      <c r="F2" s="26" t="inlineStr">
        <is>
          <t>0..1,0 МРа                      0..120 °С</t>
        </is>
      </c>
      <c r="G2" s="71" t="n">
        <v>2.5</v>
      </c>
      <c r="H2" s="15" t="inlineStr">
        <is>
          <t>Р и Т воды в Т1 П1,В1</t>
        </is>
      </c>
      <c r="I2" s="15" t="inlineStr">
        <is>
          <t>КОС, венткамера П1, В1, П2</t>
        </is>
      </c>
      <c r="J2" s="15" t="inlineStr">
        <is>
          <t>АСУ,А и ТМ (КЦ № 6)</t>
        </is>
      </c>
      <c r="K2" s="15" t="n">
        <v>2012</v>
      </c>
      <c r="L2" s="15" t="n">
        <v>24</v>
      </c>
      <c r="M2" s="3" t="inlineStr">
        <is>
          <t>4К25</t>
        </is>
      </c>
      <c r="N2" s="70" t="inlineStr">
        <is>
          <t>К</t>
        </is>
      </c>
    </row>
    <row r="3" ht="22.5" customHeight="1" s="151">
      <c r="A3" s="15">
        <f>IF(B3&lt;&gt;"", COUNTA($B$2:B3), "")</f>
        <v/>
      </c>
      <c r="B3" s="280" t="inlineStr">
        <is>
          <t>Термоманометр технический</t>
        </is>
      </c>
      <c r="C3" s="14" t="inlineStr">
        <is>
          <t>ТМТБ - 3</t>
        </is>
      </c>
      <c r="D3" s="30" t="n">
        <v>15625</v>
      </c>
      <c r="E3" s="14" t="n">
        <v>2010</v>
      </c>
      <c r="F3" s="26" t="inlineStr">
        <is>
          <t>0..1,0 МРа                      0..120 °С</t>
        </is>
      </c>
      <c r="G3" s="71" t="n">
        <v>2.5</v>
      </c>
      <c r="H3" s="15" t="inlineStr">
        <is>
          <t>Р и Т воды в Т2 П1,В1</t>
        </is>
      </c>
      <c r="I3" s="15" t="inlineStr">
        <is>
          <t>КОС, венткамера П1, В1, П3</t>
        </is>
      </c>
      <c r="J3" s="15" t="inlineStr">
        <is>
          <t>АСУ,А и ТМ (КЦ № 6)</t>
        </is>
      </c>
      <c r="K3" s="15" t="n">
        <v>2012</v>
      </c>
      <c r="L3" s="15" t="n">
        <v>24</v>
      </c>
      <c r="M3" s="3" t="inlineStr">
        <is>
          <t>4К25</t>
        </is>
      </c>
      <c r="N3" s="70" t="inlineStr">
        <is>
          <t>К</t>
        </is>
      </c>
    </row>
    <row r="4" ht="22.5" customHeight="1" s="151">
      <c r="A4" s="15">
        <f>IF(B4&lt;&gt;"", COUNTA($B$2:B4), "")</f>
        <v/>
      </c>
      <c r="B4" s="280" t="inlineStr">
        <is>
          <t>Термоманометр технический</t>
        </is>
      </c>
      <c r="C4" s="14" t="inlineStr">
        <is>
          <t>ТМТБ - 3</t>
        </is>
      </c>
      <c r="D4" s="30" t="n">
        <v>15617</v>
      </c>
      <c r="E4" s="14" t="n">
        <v>2010</v>
      </c>
      <c r="F4" s="26" t="inlineStr">
        <is>
          <t>0..1,0 МРа                      0..120 °С</t>
        </is>
      </c>
      <c r="G4" s="71" t="n">
        <v>2.5</v>
      </c>
      <c r="H4" s="15" t="inlineStr">
        <is>
          <t>Р и Т воды в Т1 П2</t>
        </is>
      </c>
      <c r="I4" s="15" t="inlineStr">
        <is>
          <t>КОС, венткамера П1, В1, П4</t>
        </is>
      </c>
      <c r="J4" s="15" t="inlineStr">
        <is>
          <t>АСУ,А и ТМ (КЦ № 6)</t>
        </is>
      </c>
      <c r="K4" s="15" t="n">
        <v>2012</v>
      </c>
      <c r="L4" s="15" t="n">
        <v>24</v>
      </c>
      <c r="M4" s="3" t="inlineStr">
        <is>
          <t>4К25</t>
        </is>
      </c>
      <c r="N4" s="70" t="inlineStr">
        <is>
          <t>К</t>
        </is>
      </c>
    </row>
    <row r="5" ht="22.5" customHeight="1" s="151">
      <c r="A5" s="15">
        <f>IF(B5&lt;&gt;"", COUNTA($B$2:B5), "")</f>
        <v/>
      </c>
      <c r="B5" s="280" t="inlineStr">
        <is>
          <t>Термоманометр технический</t>
        </is>
      </c>
      <c r="C5" s="14" t="inlineStr">
        <is>
          <t>ТМТБ - 3</t>
        </is>
      </c>
      <c r="D5" s="30" t="n">
        <v>15624</v>
      </c>
      <c r="E5" s="14" t="n">
        <v>2010</v>
      </c>
      <c r="F5" s="26" t="inlineStr">
        <is>
          <t>0..1,0 МРа                      0..120 °С</t>
        </is>
      </c>
      <c r="G5" s="71" t="n">
        <v>2.5</v>
      </c>
      <c r="H5" s="15" t="inlineStr">
        <is>
          <t>Р и Т воды в Т2 П2</t>
        </is>
      </c>
      <c r="I5" s="15" t="inlineStr">
        <is>
          <t>КОС, венткамера П1, В1, П5</t>
        </is>
      </c>
      <c r="J5" s="15" t="inlineStr">
        <is>
          <t>АСУ,А и ТМ (КЦ № 6)</t>
        </is>
      </c>
      <c r="K5" s="15" t="n">
        <v>2012</v>
      </c>
      <c r="L5" s="15" t="n">
        <v>24</v>
      </c>
      <c r="M5" s="3" t="inlineStr">
        <is>
          <t>4К25</t>
        </is>
      </c>
      <c r="N5" s="70" t="inlineStr">
        <is>
          <t>К</t>
        </is>
      </c>
    </row>
    <row r="6" ht="22.5" customHeight="1" s="151">
      <c r="A6" s="15">
        <f>IF(B6&lt;&gt;"", COUNTA($B$2:B6), "")</f>
        <v/>
      </c>
      <c r="B6" s="280" t="inlineStr">
        <is>
          <t>Термоманометр технический</t>
        </is>
      </c>
      <c r="C6" s="14" t="inlineStr">
        <is>
          <t>ТМТБ - 3</t>
        </is>
      </c>
      <c r="D6" s="29" t="inlineStr">
        <is>
          <t>15615</t>
        </is>
      </c>
      <c r="E6" s="14" t="n">
        <v>2010</v>
      </c>
      <c r="F6" s="26" t="inlineStr">
        <is>
          <t>0..1,0 МРа                      0..120 °С</t>
        </is>
      </c>
      <c r="G6" s="71" t="n">
        <v>2.5</v>
      </c>
      <c r="H6" s="8" t="inlineStr">
        <is>
          <t>Р и Т воды в Т1 П1</t>
        </is>
      </c>
      <c r="I6" s="15" t="inlineStr">
        <is>
          <t>ПЭБ Венткамера П1, П6</t>
        </is>
      </c>
      <c r="J6" s="15" t="inlineStr">
        <is>
          <t>АСУ,А и ТМ (КЦ № 6)</t>
        </is>
      </c>
      <c r="K6" s="15" t="n">
        <v>2012</v>
      </c>
      <c r="L6" s="15" t="n">
        <v>24</v>
      </c>
      <c r="M6" s="3" t="inlineStr">
        <is>
          <t>4К25</t>
        </is>
      </c>
      <c r="N6" s="70" t="inlineStr">
        <is>
          <t>К</t>
        </is>
      </c>
    </row>
    <row r="7" ht="22.5" customHeight="1" s="151">
      <c r="A7" s="15">
        <f>IF(B7&lt;&gt;"", COUNTA($B$2:B7), "")</f>
        <v/>
      </c>
      <c r="B7" s="280" t="inlineStr">
        <is>
          <t>Термоманометр технический</t>
        </is>
      </c>
      <c r="C7" s="14" t="inlineStr">
        <is>
          <t>ТМТБ - 3</t>
        </is>
      </c>
      <c r="D7" s="29" t="inlineStr">
        <is>
          <t>15627</t>
        </is>
      </c>
      <c r="E7" s="14" t="n">
        <v>2010</v>
      </c>
      <c r="F7" s="26" t="inlineStr">
        <is>
          <t>0..1,0 МРа                      0..120 °С</t>
        </is>
      </c>
      <c r="G7" s="71" t="n">
        <v>2.5</v>
      </c>
      <c r="H7" s="8" t="inlineStr">
        <is>
          <t>Р и Т воды в Т2 П1</t>
        </is>
      </c>
      <c r="I7" s="15" t="inlineStr">
        <is>
          <t>ПЭБ Венткамера П1, П6</t>
        </is>
      </c>
      <c r="J7" s="15" t="inlineStr">
        <is>
          <t>АСУ,А и ТМ (КЦ № 6)</t>
        </is>
      </c>
      <c r="K7" s="15" t="n">
        <v>2012</v>
      </c>
      <c r="L7" s="15" t="n">
        <v>24</v>
      </c>
      <c r="M7" s="3" t="inlineStr">
        <is>
          <t>4К25</t>
        </is>
      </c>
      <c r="N7" s="70" t="inlineStr">
        <is>
          <t>К</t>
        </is>
      </c>
    </row>
    <row r="8" ht="22.5" customHeight="1" s="151">
      <c r="A8" s="15">
        <f>IF(B8&lt;&gt;"", COUNTA($B$2:B8), "")</f>
        <v/>
      </c>
      <c r="B8" s="280" t="inlineStr">
        <is>
          <t>Термоманометр технический</t>
        </is>
      </c>
      <c r="C8" s="14" t="inlineStr">
        <is>
          <t>ICMA 259/91259AD10120</t>
        </is>
      </c>
      <c r="D8" s="29" t="inlineStr">
        <is>
          <t>15525</t>
        </is>
      </c>
      <c r="E8" s="14" t="n">
        <v>2010</v>
      </c>
      <c r="F8" s="26" t="inlineStr">
        <is>
          <t>0..10 bar                      0..120 °С</t>
        </is>
      </c>
      <c r="G8" s="71" t="inlineStr">
        <is>
          <t>нет</t>
        </is>
      </c>
      <c r="H8" s="8" t="inlineStr">
        <is>
          <t>Р и Т воды в Т1 П6</t>
        </is>
      </c>
      <c r="I8" s="15" t="inlineStr">
        <is>
          <t>ПЭБ Венткамера П1, П6</t>
        </is>
      </c>
      <c r="J8" s="15" t="inlineStr">
        <is>
          <t>АСУ,А и ТМ (КЦ № 6)</t>
        </is>
      </c>
      <c r="K8" s="15" t="n">
        <v>2012</v>
      </c>
      <c r="L8" s="15" t="n">
        <v>24</v>
      </c>
      <c r="M8" s="3" t="inlineStr">
        <is>
          <t>4К25</t>
        </is>
      </c>
      <c r="N8" s="70" t="inlineStr">
        <is>
          <t>К</t>
        </is>
      </c>
    </row>
    <row r="9" ht="22.5" customHeight="1" s="151">
      <c r="A9" s="15">
        <f>IF(B9&lt;&gt;"", COUNTA($B$2:B9), "")</f>
        <v/>
      </c>
      <c r="B9" s="280" t="inlineStr">
        <is>
          <t>Термоманометр технический</t>
        </is>
      </c>
      <c r="C9" s="14" t="inlineStr">
        <is>
          <t>ICMA 259/91259AD10120</t>
        </is>
      </c>
      <c r="D9" s="29" t="inlineStr">
        <is>
          <t>15526</t>
        </is>
      </c>
      <c r="E9" s="14" t="n">
        <v>2010</v>
      </c>
      <c r="F9" s="26" t="inlineStr">
        <is>
          <t>0..16 bar                      0..120 °С</t>
        </is>
      </c>
      <c r="G9" s="71" t="inlineStr">
        <is>
          <t>нет</t>
        </is>
      </c>
      <c r="H9" s="8" t="inlineStr">
        <is>
          <t>Р и Т воды в Т2 П6</t>
        </is>
      </c>
      <c r="I9" s="15" t="inlineStr">
        <is>
          <t>ПЭБ Венткамера П1, П6</t>
        </is>
      </c>
      <c r="J9" s="15" t="inlineStr">
        <is>
          <t>АСУ,А и ТМ (КЦ № 6)</t>
        </is>
      </c>
      <c r="K9" s="15" t="n">
        <v>2012</v>
      </c>
      <c r="L9" s="15" t="n">
        <v>24</v>
      </c>
      <c r="M9" s="3" t="inlineStr">
        <is>
          <t>4К25</t>
        </is>
      </c>
      <c r="N9" s="70" t="inlineStr">
        <is>
          <t>К</t>
        </is>
      </c>
    </row>
    <row r="10" ht="22.5" customHeight="1" s="151">
      <c r="A10" s="15">
        <f>IF(B10&lt;&gt;"", COUNTA($B$2:B10), "")</f>
        <v/>
      </c>
      <c r="B10" s="280" t="inlineStr">
        <is>
          <t>Термоманометр технический</t>
        </is>
      </c>
      <c r="C10" s="14" t="inlineStr">
        <is>
          <t>ТМТБ - 3</t>
        </is>
      </c>
      <c r="D10" s="29" t="inlineStr">
        <is>
          <t>15618</t>
        </is>
      </c>
      <c r="E10" s="14" t="n">
        <v>2010</v>
      </c>
      <c r="F10" s="26" t="inlineStr">
        <is>
          <t>0..1,0 МРа                      0..120 °С</t>
        </is>
      </c>
      <c r="G10" s="71" t="n">
        <v>2.5</v>
      </c>
      <c r="H10" s="15" t="inlineStr">
        <is>
          <t>Р воды в Т2 П2</t>
        </is>
      </c>
      <c r="I10" s="15" t="inlineStr">
        <is>
          <t>ПЭБ, венткамера П2, П5</t>
        </is>
      </c>
      <c r="J10" s="15" t="inlineStr">
        <is>
          <t>АСУ,А и ТМ (КЦ № 6)</t>
        </is>
      </c>
      <c r="K10" s="15" t="n">
        <v>2012</v>
      </c>
      <c r="L10" s="15" t="n">
        <v>24</v>
      </c>
      <c r="M10" s="3" t="inlineStr">
        <is>
          <t>4К25</t>
        </is>
      </c>
      <c r="N10" s="70" t="inlineStr">
        <is>
          <t>К</t>
        </is>
      </c>
    </row>
    <row r="11" ht="22.5" customHeight="1" s="151">
      <c r="A11" s="15">
        <f>IF(B11&lt;&gt;"", COUNTA($B$2:B11), "")</f>
        <v/>
      </c>
      <c r="B11" s="280" t="inlineStr">
        <is>
          <t>Термоманометр технический</t>
        </is>
      </c>
      <c r="C11" s="14" t="inlineStr">
        <is>
          <t>ТМТБ - 3</t>
        </is>
      </c>
      <c r="D11" s="29" t="inlineStr">
        <is>
          <t>15623</t>
        </is>
      </c>
      <c r="E11" s="14" t="n">
        <v>2010</v>
      </c>
      <c r="F11" s="26" t="inlineStr">
        <is>
          <t>0..1,0 МРа                      0..120 °С</t>
        </is>
      </c>
      <c r="G11" s="71" t="n">
        <v>2.5</v>
      </c>
      <c r="H11" s="15" t="inlineStr">
        <is>
          <t>Р воды в Т1 П2</t>
        </is>
      </c>
      <c r="I11" s="15" t="inlineStr">
        <is>
          <t>ПЭБ, венткамера П2, П5</t>
        </is>
      </c>
      <c r="J11" s="15" t="inlineStr">
        <is>
          <t>АСУ,А и ТМ (КЦ № 6)</t>
        </is>
      </c>
      <c r="K11" s="15" t="n">
        <v>2012</v>
      </c>
      <c r="L11" s="15" t="n">
        <v>24</v>
      </c>
      <c r="M11" s="3" t="inlineStr">
        <is>
          <t>4К25</t>
        </is>
      </c>
      <c r="N11" s="70" t="inlineStr">
        <is>
          <t>К</t>
        </is>
      </c>
    </row>
    <row r="12" ht="22.5" customHeight="1" s="151">
      <c r="A12" s="15">
        <f>IF(B12&lt;&gt;"", COUNTA($B$2:B12), "")</f>
        <v/>
      </c>
      <c r="B12" s="280" t="inlineStr">
        <is>
          <t>Термоманометр технический</t>
        </is>
      </c>
      <c r="C12" s="14" t="inlineStr">
        <is>
          <t>ТМТБ - 3</t>
        </is>
      </c>
      <c r="D12" s="29" t="inlineStr">
        <is>
          <t>15626</t>
        </is>
      </c>
      <c r="E12" s="14" t="n">
        <v>2010</v>
      </c>
      <c r="F12" s="26" t="inlineStr">
        <is>
          <t>0..1,0 МРа                      0..120 °С</t>
        </is>
      </c>
      <c r="G12" s="71" t="n">
        <v>2.5</v>
      </c>
      <c r="H12" s="15" t="inlineStr">
        <is>
          <t>Р воды в Т2 П5</t>
        </is>
      </c>
      <c r="I12" s="15" t="inlineStr">
        <is>
          <t>ПЭБ, венткамера П2, П5</t>
        </is>
      </c>
      <c r="J12" s="15" t="inlineStr">
        <is>
          <t>АСУ,А и ТМ (КЦ № 6)</t>
        </is>
      </c>
      <c r="K12" s="15" t="n">
        <v>2012</v>
      </c>
      <c r="L12" s="15" t="n">
        <v>24</v>
      </c>
      <c r="M12" s="3" t="inlineStr">
        <is>
          <t>4К25</t>
        </is>
      </c>
      <c r="N12" s="70" t="inlineStr">
        <is>
          <t>К</t>
        </is>
      </c>
    </row>
    <row r="13" ht="22.5" customHeight="1" s="151">
      <c r="A13" s="15">
        <f>IF(B13&lt;&gt;"", COUNTA($B$2:B13), "")</f>
        <v/>
      </c>
      <c r="B13" s="280" t="inlineStr">
        <is>
          <t>Термоманометр технический</t>
        </is>
      </c>
      <c r="C13" s="14" t="inlineStr">
        <is>
          <t>ТМТБ - 3</t>
        </is>
      </c>
      <c r="D13" s="29" t="inlineStr">
        <is>
          <t>15619</t>
        </is>
      </c>
      <c r="E13" s="14" t="n">
        <v>2010</v>
      </c>
      <c r="F13" s="26" t="inlineStr">
        <is>
          <t>0..1,0 МРа                      0..120 °С</t>
        </is>
      </c>
      <c r="G13" s="71" t="n">
        <v>2.5</v>
      </c>
      <c r="H13" s="15" t="inlineStr">
        <is>
          <t>Р воды в Т1 П5</t>
        </is>
      </c>
      <c r="I13" s="15" t="inlineStr">
        <is>
          <t>ПЭБ, венткамера П2, П5</t>
        </is>
      </c>
      <c r="J13" s="15" t="inlineStr">
        <is>
          <t>АСУ,А и ТМ (КЦ № 6)</t>
        </is>
      </c>
      <c r="K13" s="15" t="n">
        <v>2012</v>
      </c>
      <c r="L13" s="15" t="n">
        <v>24</v>
      </c>
      <c r="M13" s="3" t="inlineStr">
        <is>
          <t>4К25</t>
        </is>
      </c>
      <c r="N13" s="70" t="inlineStr">
        <is>
          <t>К</t>
        </is>
      </c>
    </row>
    <row r="14" ht="22.5" customHeight="1" s="151">
      <c r="A14" s="15">
        <f>IF(B14&lt;&gt;"", COUNTA($B$2:B14), "")</f>
        <v/>
      </c>
      <c r="B14" s="26" t="inlineStr">
        <is>
          <t>Термоманометр технический</t>
        </is>
      </c>
      <c r="C14" s="280" t="inlineStr">
        <is>
          <t>М.8-ТМ</t>
        </is>
      </c>
      <c r="D14" s="14" t="n">
        <v>15494</v>
      </c>
      <c r="E14" s="14" t="n">
        <v>2010</v>
      </c>
      <c r="F14" s="26" t="inlineStr">
        <is>
          <t>0..16 bar                      0..150 °С</t>
        </is>
      </c>
      <c r="G14" s="71" t="n">
        <v>2.5</v>
      </c>
      <c r="H14" s="15" t="inlineStr">
        <is>
          <t>Р и Т воды в Т2 П1</t>
        </is>
      </c>
      <c r="I14" s="15" t="inlineStr">
        <is>
          <t>РММ, венткамера П1, В1</t>
        </is>
      </c>
      <c r="J14" s="15" t="inlineStr">
        <is>
          <t>АСУ,А и ТМ (КЦ № 6)</t>
        </is>
      </c>
      <c r="K14" s="15" t="n">
        <v>2012</v>
      </c>
      <c r="L14" s="15" t="n">
        <v>24</v>
      </c>
      <c r="M14" s="3" t="inlineStr">
        <is>
          <t>4К25</t>
        </is>
      </c>
      <c r="N14" s="70" t="inlineStr">
        <is>
          <t>К</t>
        </is>
      </c>
    </row>
    <row r="15" ht="22.5" customHeight="1" s="151">
      <c r="A15" s="15">
        <f>IF(B15&lt;&gt;"", COUNTA($B$2:B15), "")</f>
        <v/>
      </c>
      <c r="B15" s="26" t="inlineStr">
        <is>
          <t>Термоманометр технический</t>
        </is>
      </c>
      <c r="C15" s="280" t="inlineStr">
        <is>
          <t>М.8-ТМ</t>
        </is>
      </c>
      <c r="D15" s="14" t="n">
        <v>15493</v>
      </c>
      <c r="E15" s="14" t="n">
        <v>2010</v>
      </c>
      <c r="F15" s="26" t="inlineStr">
        <is>
          <t>0..16 bar                      0..150 °С</t>
        </is>
      </c>
      <c r="G15" s="71" t="n">
        <v>2.5</v>
      </c>
      <c r="H15" s="15" t="inlineStr">
        <is>
          <t>Р и Т воды в Т1 П1</t>
        </is>
      </c>
      <c r="I15" s="15" t="inlineStr">
        <is>
          <t>РММ, венткамера П1, В1</t>
        </is>
      </c>
      <c r="J15" s="15" t="inlineStr">
        <is>
          <t>АСУ,А и ТМ (КЦ № 6)</t>
        </is>
      </c>
      <c r="K15" s="15" t="n">
        <v>2012</v>
      </c>
      <c r="L15" s="15" t="n">
        <v>24</v>
      </c>
      <c r="M15" s="3" t="inlineStr">
        <is>
          <t>4К25</t>
        </is>
      </c>
      <c r="N15" s="70" t="inlineStr">
        <is>
          <t>К</t>
        </is>
      </c>
    </row>
    <row r="16" ht="22.5" customHeight="1" s="151">
      <c r="A16" s="15">
        <f>IF(B16&lt;&gt;"", COUNTA($B$2:B16), "")</f>
        <v/>
      </c>
      <c r="B16" s="26" t="inlineStr">
        <is>
          <t>Термоманометр технический</t>
        </is>
      </c>
      <c r="C16" s="14" t="inlineStr">
        <is>
          <t>ТМТБ - 3</t>
        </is>
      </c>
      <c r="D16" s="29" t="inlineStr">
        <is>
          <t>15620</t>
        </is>
      </c>
      <c r="E16" s="14" t="n">
        <v>2010</v>
      </c>
      <c r="F16" s="26" t="inlineStr">
        <is>
          <t>0..1,0 МРа                      0..120 °С</t>
        </is>
      </c>
      <c r="G16" s="71" t="n">
        <v>2.5</v>
      </c>
      <c r="H16" s="15" t="inlineStr">
        <is>
          <t>Р и Т воды в Т1 П2</t>
        </is>
      </c>
      <c r="I16" s="15" t="inlineStr">
        <is>
          <t>РММ, венткамера П2, В2</t>
        </is>
      </c>
      <c r="J16" s="15" t="inlineStr">
        <is>
          <t>АСУ,А и ТМ (КЦ № 6)</t>
        </is>
      </c>
      <c r="K16" s="15" t="n">
        <v>2012</v>
      </c>
      <c r="L16" s="15" t="n">
        <v>24</v>
      </c>
      <c r="M16" s="3" t="inlineStr">
        <is>
          <t>4К25</t>
        </is>
      </c>
      <c r="N16" s="70" t="inlineStr">
        <is>
          <t>К</t>
        </is>
      </c>
    </row>
    <row r="17" ht="22.5" customHeight="1" s="151">
      <c r="A17" s="15">
        <f>IF(B17&lt;&gt;"", COUNTA($B$2:B17), "")</f>
        <v/>
      </c>
      <c r="B17" s="26" t="inlineStr">
        <is>
          <t>Термоманометр технический</t>
        </is>
      </c>
      <c r="C17" s="14" t="inlineStr">
        <is>
          <t>ЗАГЛУШКА</t>
        </is>
      </c>
      <c r="D17" s="29" t="n"/>
      <c r="E17" s="14" t="n">
        <v>2010</v>
      </c>
      <c r="F17" s="26" t="inlineStr">
        <is>
          <t>0..16 bar                      0..150 °С</t>
        </is>
      </c>
      <c r="G17" s="71" t="n"/>
      <c r="H17" s="15" t="inlineStr">
        <is>
          <t>Р и Т воды в Т2 П2</t>
        </is>
      </c>
      <c r="I17" s="15" t="inlineStr">
        <is>
          <t>РММ, венткамера П2, В2</t>
        </is>
      </c>
      <c r="J17" s="15" t="inlineStr">
        <is>
          <t>АСУ,А и ТМ (КЦ № 6)</t>
        </is>
      </c>
      <c r="K17" s="15" t="n">
        <v>2012</v>
      </c>
      <c r="L17" s="15" t="n">
        <v>24</v>
      </c>
      <c r="M17" s="3" t="n"/>
      <c r="N17" s="70" t="inlineStr">
        <is>
          <t>К</t>
        </is>
      </c>
    </row>
    <row r="18" ht="22.5" customHeight="1" s="151">
      <c r="A18" s="15">
        <f>IF(B18&lt;&gt;"", COUNTA($B$2:B18), "")</f>
        <v/>
      </c>
      <c r="B18" s="280" t="inlineStr">
        <is>
          <t>Термоманометр технический</t>
        </is>
      </c>
      <c r="C18" s="15" t="inlineStr">
        <is>
          <t>М.8-ТМ</t>
        </is>
      </c>
      <c r="D18" s="3" t="inlineStr">
        <is>
          <t>213123</t>
        </is>
      </c>
      <c r="E18" s="10" t="n">
        <v>2010</v>
      </c>
      <c r="F18" s="26" t="inlineStr">
        <is>
          <t>0..16 bar                      0..150 °С</t>
        </is>
      </c>
      <c r="G18" s="15" t="n">
        <v>2.5</v>
      </c>
      <c r="H18" s="15" t="inlineStr">
        <is>
          <t>Р и Т воды в Т1 П2</t>
        </is>
      </c>
      <c r="I18" s="3" t="inlineStr">
        <is>
          <t>Проходная, венткамера П2</t>
        </is>
      </c>
      <c r="J18" s="15" t="inlineStr">
        <is>
          <t>АСУ,А и ТМ (КЦ № 6)</t>
        </is>
      </c>
      <c r="K18" s="15" t="n">
        <v>2012</v>
      </c>
      <c r="L18" s="15" t="n">
        <v>24</v>
      </c>
      <c r="M18" s="3" t="inlineStr">
        <is>
          <t>4К25</t>
        </is>
      </c>
      <c r="N18" s="70" t="inlineStr">
        <is>
          <t>К</t>
        </is>
      </c>
    </row>
    <row r="19" ht="22.5" customHeight="1" s="151">
      <c r="A19" s="15">
        <f>IF(B19&lt;&gt;"", COUNTA($B$2:B19), "")</f>
        <v/>
      </c>
      <c r="B19" s="280" t="inlineStr">
        <is>
          <t>Термоманометр технический</t>
        </is>
      </c>
      <c r="C19" s="14" t="inlineStr">
        <is>
          <t>ТМТБ - 3</t>
        </is>
      </c>
      <c r="D19" s="3" t="inlineStr">
        <is>
          <t>15622</t>
        </is>
      </c>
      <c r="E19" s="10" t="n">
        <v>2010</v>
      </c>
      <c r="F19" s="26" t="inlineStr">
        <is>
          <t>0..1,0 МРа                      0..120 °С</t>
        </is>
      </c>
      <c r="G19" s="15" t="n">
        <v>2.5</v>
      </c>
      <c r="H19" s="15" t="inlineStr">
        <is>
          <t>Р и Т воды в Т2 П2</t>
        </is>
      </c>
      <c r="I19" s="3" t="inlineStr">
        <is>
          <t>Проходная, венткамера П2</t>
        </is>
      </c>
      <c r="J19" s="15" t="inlineStr">
        <is>
          <t>АСУ,А и ТМ (КЦ № 6)</t>
        </is>
      </c>
      <c r="K19" s="15" t="n">
        <v>2012</v>
      </c>
      <c r="L19" s="15" t="n">
        <v>24</v>
      </c>
      <c r="M19" s="3" t="inlineStr">
        <is>
          <t>4К25</t>
        </is>
      </c>
      <c r="N19" s="70" t="inlineStr">
        <is>
          <t>К</t>
        </is>
      </c>
    </row>
    <row r="20" ht="22.5" customHeight="1" s="151">
      <c r="A20" s="15">
        <f>IF(B20&lt;&gt;"", COUNTA($B$2:B20), "")</f>
        <v/>
      </c>
      <c r="B20" s="280" t="inlineStr">
        <is>
          <t>Термоманометр технический</t>
        </is>
      </c>
      <c r="C20" s="15" t="inlineStr">
        <is>
          <t>ЗАГЛУШКА</t>
        </is>
      </c>
      <c r="D20" s="3" t="n"/>
      <c r="E20" s="10" t="n">
        <v>2010</v>
      </c>
      <c r="F20" s="26" t="inlineStr">
        <is>
          <t>0..1,0 МРа                      0..120 °С</t>
        </is>
      </c>
      <c r="G20" s="15" t="n">
        <v>2.5</v>
      </c>
      <c r="H20" s="15" t="inlineStr">
        <is>
          <t>Р и Т воды в Т1 П1</t>
        </is>
      </c>
      <c r="I20" s="3" t="inlineStr">
        <is>
          <t>Проходная, венткамера П1</t>
        </is>
      </c>
      <c r="J20" s="15" t="inlineStr">
        <is>
          <t>АСУ,А и ТМ (КЦ № 6)</t>
        </is>
      </c>
      <c r="K20" s="15" t="n">
        <v>2012</v>
      </c>
      <c r="L20" s="15" t="n">
        <v>24</v>
      </c>
      <c r="M20" s="3" t="n"/>
      <c r="N20" s="70" t="inlineStr">
        <is>
          <t>К</t>
        </is>
      </c>
    </row>
    <row r="21" ht="22.5" customHeight="1" s="151">
      <c r="A21" s="15">
        <f>IF(B21&lt;&gt;"", COUNTA($B$2:B21), "")</f>
        <v/>
      </c>
      <c r="B21" s="280" t="inlineStr">
        <is>
          <t>Термоманометр технический</t>
        </is>
      </c>
      <c r="C21" s="14" t="inlineStr">
        <is>
          <t>ТМТБ - 3</t>
        </is>
      </c>
      <c r="D21" s="30" t="n">
        <v>15621</v>
      </c>
      <c r="E21" s="10" t="n">
        <v>2010</v>
      </c>
      <c r="F21" s="26" t="inlineStr">
        <is>
          <t>0..1,0 МРа                      0..120 °С</t>
        </is>
      </c>
      <c r="G21" s="15" t="n">
        <v>2.5</v>
      </c>
      <c r="H21" s="15" t="inlineStr">
        <is>
          <t xml:space="preserve">Р и Т воды вТ2 П1 </t>
        </is>
      </c>
      <c r="I21" s="3" t="inlineStr">
        <is>
          <t>Проходная, венткамера П1</t>
        </is>
      </c>
      <c r="J21" s="15" t="inlineStr">
        <is>
          <t>АСУ,А и ТМ (КЦ № 6)</t>
        </is>
      </c>
      <c r="K21" s="15" t="n">
        <v>2012</v>
      </c>
      <c r="L21" s="15" t="n">
        <v>24</v>
      </c>
      <c r="M21" s="3" t="inlineStr">
        <is>
          <t>4К25</t>
        </is>
      </c>
      <c r="N21" s="70" t="inlineStr">
        <is>
          <t>К</t>
        </is>
      </c>
    </row>
    <row r="22">
      <c r="A22" s="52" t="n"/>
      <c r="B22" s="53" t="n"/>
      <c r="C22" s="52" t="n"/>
      <c r="D22" s="54" t="n"/>
      <c r="E22" s="107" t="n"/>
      <c r="F22" s="56" t="n"/>
      <c r="G22" s="52" t="n"/>
      <c r="H22" s="52" t="n"/>
      <c r="I22" s="57" t="n"/>
      <c r="J22" s="52" t="n"/>
      <c r="K22" s="52" t="n"/>
      <c r="L22" s="52" t="n"/>
      <c r="M22" s="57" t="n"/>
      <c r="N22" s="58" t="n"/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Лист17"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H14" sqref="H14"/>
    </sheetView>
  </sheetViews>
  <sheetFormatPr baseColWidth="8" defaultRowHeight="15"/>
  <cols>
    <col width="3.140625" bestFit="1" customWidth="1" style="151" min="1" max="1"/>
    <col width="17.5703125" bestFit="1" customWidth="1" style="151" min="2" max="2"/>
    <col width="14.85546875" bestFit="1" customWidth="1" style="151" min="3" max="3"/>
    <col width="9.28515625" bestFit="1" customWidth="1" style="151" min="4" max="4"/>
    <col width="6.5703125" bestFit="1" customWidth="1" style="151" min="5" max="5"/>
    <col width="9.140625" bestFit="1" customWidth="1" style="151" min="6" max="6"/>
    <col width="9.140625" customWidth="1" style="151" min="7" max="7"/>
    <col width="13.7109375" bestFit="1" customWidth="1" style="151" min="8" max="8"/>
    <col width="20.5703125" bestFit="1" customWidth="1" style="151" min="9" max="9"/>
    <col width="17.42578125" bestFit="1" customWidth="1" style="151" min="10" max="10"/>
    <col width="8" bestFit="1" customWidth="1" style="151" min="11" max="11"/>
    <col width="12.5703125" bestFit="1" customWidth="1" style="151" min="12" max="12"/>
    <col width="8.85546875" bestFit="1" customWidth="1" style="151" min="13" max="13"/>
    <col width="9" bestFit="1" customWidth="1" style="151" min="14" max="14"/>
    <col width="9.140625" customWidth="1" style="151" min="15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
номер</t>
        </is>
      </c>
      <c r="E1" s="3" t="inlineStr">
        <is>
          <t>Год 
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 customFormat="1" s="229">
      <c r="A2" s="223">
        <f>IF(B2&lt;&gt;"", COUNTA($B$2:B2), "")</f>
        <v/>
      </c>
      <c r="B2" s="224" t="inlineStr">
        <is>
          <t>Манометр технический</t>
        </is>
      </c>
      <c r="C2" s="223" t="inlineStr">
        <is>
          <t>ДМ 8008-ВУ-У2</t>
        </is>
      </c>
      <c r="D2" s="225" t="n">
        <v>15673</v>
      </c>
      <c r="E2" s="226" t="n">
        <v>2018</v>
      </c>
      <c r="F2" s="227" t="inlineStr">
        <is>
          <t>0..6 кгс/см2</t>
        </is>
      </c>
      <c r="G2" s="223" t="n">
        <v>1.5</v>
      </c>
      <c r="H2" s="223" t="inlineStr">
        <is>
          <t>Р воды в скважине</t>
        </is>
      </c>
      <c r="I2" s="223" t="inlineStr">
        <is>
          <t>Артезианская скважина № 1</t>
        </is>
      </c>
      <c r="J2" s="223" t="inlineStr">
        <is>
          <t>АСУ,А и ТМ (КЦ № 6)</t>
        </is>
      </c>
      <c r="K2" s="223" t="n">
        <v>2019</v>
      </c>
      <c r="L2" s="223" t="n">
        <v>12</v>
      </c>
      <c r="M2" s="223" t="inlineStr">
        <is>
          <t>2К26</t>
        </is>
      </c>
      <c r="N2" s="228" t="inlineStr">
        <is>
          <t>К</t>
        </is>
      </c>
    </row>
    <row r="3">
      <c r="A3" s="15">
        <f>IF(B3&lt;&gt;"", COUNTA($B$2:B3), "")</f>
        <v/>
      </c>
      <c r="B3" s="15" t="inlineStr">
        <is>
          <t>Расходомер</t>
        </is>
      </c>
      <c r="C3" s="15" t="inlineStr">
        <is>
          <t>Взлет ЭР</t>
        </is>
      </c>
      <c r="D3" s="15" t="n">
        <v>1207411</v>
      </c>
      <c r="E3" s="3" t="inlineStr">
        <is>
          <t>2012</t>
        </is>
      </c>
      <c r="F3" s="17" t="n"/>
      <c r="G3" s="15" t="n">
        <v>2</v>
      </c>
      <c r="H3" s="15" t="inlineStr">
        <is>
          <t>Расход воды</t>
        </is>
      </c>
      <c r="I3" s="15" t="inlineStr">
        <is>
          <t>Артезианская скважина № 1</t>
        </is>
      </c>
      <c r="J3" s="15" t="inlineStr">
        <is>
          <t>АСУ, А и ТМ (КЦ №6)</t>
        </is>
      </c>
      <c r="K3" s="15" t="n">
        <v>2012</v>
      </c>
      <c r="L3" s="15" t="inlineStr">
        <is>
          <t>1 раз в 4 года</t>
        </is>
      </c>
      <c r="M3" s="33" t="n"/>
      <c r="N3" s="34" t="n"/>
    </row>
    <row r="4" ht="22.5" customHeight="1" s="151">
      <c r="A4" s="15">
        <f>IF(B4&lt;&gt;"", COUNTA($B$2:B4), "")</f>
        <v/>
      </c>
      <c r="B4" s="15" t="inlineStr">
        <is>
          <t>Преобразователь избыточного давления</t>
        </is>
      </c>
      <c r="C4" s="15" t="inlineStr">
        <is>
          <t>Yokogawa EJX530A</t>
        </is>
      </c>
      <c r="D4" s="15" t="inlineStr">
        <is>
          <t>91M427409</t>
        </is>
      </c>
      <c r="E4" s="3" t="inlineStr">
        <is>
          <t>2012</t>
        </is>
      </c>
      <c r="F4" s="17" t="inlineStr">
        <is>
          <t>0,04..2 МПа</t>
        </is>
      </c>
      <c r="G4" s="15" t="n">
        <v>0.1</v>
      </c>
      <c r="H4" s="15" t="inlineStr">
        <is>
          <t>Давление воды на устье скважины</t>
        </is>
      </c>
      <c r="I4" s="15" t="inlineStr">
        <is>
          <t>Артезианская скважина № 1</t>
        </is>
      </c>
      <c r="J4" s="15" t="inlineStr">
        <is>
          <t>АСУ, А и ТМ (КЦ №6)</t>
        </is>
      </c>
      <c r="K4" s="15" t="n">
        <v>2012</v>
      </c>
      <c r="L4" s="15" t="inlineStr">
        <is>
          <t>1 раз в 5 лет</t>
        </is>
      </c>
      <c r="M4" s="33" t="n"/>
      <c r="N4" s="34" t="n"/>
    </row>
    <row r="5" customFormat="1" s="229">
      <c r="A5" s="223">
        <f>IF(B5&lt;&gt;"", COUNTA($B$2:B5), "")</f>
        <v/>
      </c>
      <c r="B5" s="224" t="inlineStr">
        <is>
          <t>Манометр технический</t>
        </is>
      </c>
      <c r="C5" s="223" t="inlineStr">
        <is>
          <t>ДМ 8008-ВУ-У2</t>
        </is>
      </c>
      <c r="D5" s="225" t="n">
        <v>15166</v>
      </c>
      <c r="E5" s="226" t="n">
        <v>2018</v>
      </c>
      <c r="F5" s="227" t="inlineStr">
        <is>
          <t>0..6 кгс/см2</t>
        </is>
      </c>
      <c r="G5" s="223" t="n">
        <v>1.5</v>
      </c>
      <c r="H5" s="223" t="inlineStr">
        <is>
          <t>Р воды в скважине</t>
        </is>
      </c>
      <c r="I5" s="223" t="inlineStr">
        <is>
          <t>Артезианская скважина № 2</t>
        </is>
      </c>
      <c r="J5" s="223" t="inlineStr">
        <is>
          <t>АСУ,А и ТМ (КЦ № 6)</t>
        </is>
      </c>
      <c r="K5" s="223" t="n">
        <v>2019</v>
      </c>
      <c r="L5" s="223" t="n">
        <v>12</v>
      </c>
      <c r="M5" s="223" t="inlineStr">
        <is>
          <t>2К26</t>
        </is>
      </c>
      <c r="N5" s="228" t="inlineStr">
        <is>
          <t>К</t>
        </is>
      </c>
    </row>
    <row r="6">
      <c r="A6" s="15">
        <f>IF(B6&lt;&gt;"", COUNTA($B$2:B6), "")</f>
        <v/>
      </c>
      <c r="B6" s="15" t="inlineStr">
        <is>
          <t>Расходомер</t>
        </is>
      </c>
      <c r="C6" s="15" t="inlineStr">
        <is>
          <t>Взлет ЭР</t>
        </is>
      </c>
      <c r="D6" s="15" t="n">
        <v>10320261</v>
      </c>
      <c r="E6" s="3" t="inlineStr">
        <is>
          <t>2012</t>
        </is>
      </c>
      <c r="F6" s="17" t="n"/>
      <c r="G6" s="15" t="n">
        <v>2</v>
      </c>
      <c r="H6" s="15" t="inlineStr">
        <is>
          <t>Расход воды</t>
        </is>
      </c>
      <c r="I6" s="15" t="inlineStr">
        <is>
          <t>Артезианская скважина № 2</t>
        </is>
      </c>
      <c r="J6" s="15" t="inlineStr">
        <is>
          <t>АСУ, А и ТМ (КЦ №6)</t>
        </is>
      </c>
      <c r="K6" s="15" t="n">
        <v>2012</v>
      </c>
      <c r="L6" s="15" t="inlineStr">
        <is>
          <t>1 раз в 4 года</t>
        </is>
      </c>
      <c r="M6" s="33" t="n"/>
      <c r="N6" s="34" t="n"/>
    </row>
    <row r="7" ht="22.5" customHeight="1" s="151">
      <c r="A7" s="15">
        <f>IF(B7&lt;&gt;"", COUNTA($B$2:B7), "")</f>
        <v/>
      </c>
      <c r="B7" s="15" t="inlineStr">
        <is>
          <t>Преобразователь избыточного давления</t>
        </is>
      </c>
      <c r="C7" s="15" t="inlineStr">
        <is>
          <t>Yokogawa EJX530A</t>
        </is>
      </c>
      <c r="D7" s="15" t="inlineStr">
        <is>
          <t>91M427408</t>
        </is>
      </c>
      <c r="E7" s="3" t="inlineStr">
        <is>
          <t>2012</t>
        </is>
      </c>
      <c r="F7" s="17" t="inlineStr">
        <is>
          <t>0,04..2 МПа</t>
        </is>
      </c>
      <c r="G7" s="15" t="n">
        <v>0.1</v>
      </c>
      <c r="H7" s="15" t="inlineStr">
        <is>
          <t>Давление воды на устье скважины</t>
        </is>
      </c>
      <c r="I7" s="15" t="inlineStr">
        <is>
          <t>Артезианская скважина № 2</t>
        </is>
      </c>
      <c r="J7" s="15" t="inlineStr">
        <is>
          <t>АСУ, А и ТМ (КЦ №6)</t>
        </is>
      </c>
      <c r="K7" s="15" t="n">
        <v>2012</v>
      </c>
      <c r="L7" s="15" t="inlineStr">
        <is>
          <t>1 раз в 5 лет</t>
        </is>
      </c>
      <c r="M7" s="33" t="n"/>
      <c r="N7" s="34" t="n"/>
    </row>
    <row r="8" customFormat="1" s="229">
      <c r="A8" s="223">
        <f>IF(B8&lt;&gt;"", COUNTA($B$2:B8), "")</f>
        <v/>
      </c>
      <c r="B8" s="224" t="inlineStr">
        <is>
          <t>Манометр технический</t>
        </is>
      </c>
      <c r="C8" s="223" t="inlineStr">
        <is>
          <t>ДМ 8008-ВУ-У2</t>
        </is>
      </c>
      <c r="D8" s="225" t="n">
        <v>15164</v>
      </c>
      <c r="E8" s="226" t="n">
        <v>2018</v>
      </c>
      <c r="F8" s="227" t="inlineStr">
        <is>
          <t>0..6 кгс/см2</t>
        </is>
      </c>
      <c r="G8" s="223" t="n">
        <v>1.5</v>
      </c>
      <c r="H8" s="223" t="inlineStr">
        <is>
          <t>Р воды в скважине</t>
        </is>
      </c>
      <c r="I8" s="223" t="inlineStr">
        <is>
          <t>Артезианская скважина № 3</t>
        </is>
      </c>
      <c r="J8" s="223" t="inlineStr">
        <is>
          <t>АСУ,А и ТМ (КЦ № 6)</t>
        </is>
      </c>
      <c r="K8" s="223" t="n">
        <v>2019</v>
      </c>
      <c r="L8" s="223" t="n">
        <v>12</v>
      </c>
      <c r="M8" s="223" t="inlineStr">
        <is>
          <t>2К26</t>
        </is>
      </c>
      <c r="N8" s="228" t="inlineStr">
        <is>
          <t>К</t>
        </is>
      </c>
    </row>
    <row r="9">
      <c r="A9" s="15">
        <f>IF(B9&lt;&gt;"", COUNTA($B$2:B9), "")</f>
        <v/>
      </c>
      <c r="B9" s="15" t="inlineStr">
        <is>
          <t>Расходомер</t>
        </is>
      </c>
      <c r="C9" s="15" t="inlineStr">
        <is>
          <t>Взлет ЭР</t>
        </is>
      </c>
      <c r="D9" s="15" t="n">
        <v>10320120</v>
      </c>
      <c r="E9" s="3" t="inlineStr">
        <is>
          <t>2012</t>
        </is>
      </c>
      <c r="F9" s="17" t="n"/>
      <c r="G9" s="15" t="n">
        <v>2</v>
      </c>
      <c r="H9" s="15" t="inlineStr">
        <is>
          <t>Расход воды</t>
        </is>
      </c>
      <c r="I9" s="15" t="inlineStr">
        <is>
          <t>Артезианская скважина № 3</t>
        </is>
      </c>
      <c r="J9" s="15" t="inlineStr">
        <is>
          <t>АСУ, А и ТМ (КЦ №6)</t>
        </is>
      </c>
      <c r="K9" s="15" t="n">
        <v>2012</v>
      </c>
      <c r="L9" s="15" t="inlineStr">
        <is>
          <t>1 раз в 4 года</t>
        </is>
      </c>
      <c r="M9" s="33" t="n"/>
      <c r="N9" s="34" t="n"/>
    </row>
    <row r="10" ht="22.5" customHeight="1" s="151">
      <c r="A10" s="15">
        <f>IF(B10&lt;&gt;"", COUNTA($B$2:B10), "")</f>
        <v/>
      </c>
      <c r="B10" s="15" t="inlineStr">
        <is>
          <t>Преобразователь избыточного давления</t>
        </is>
      </c>
      <c r="C10" s="15" t="inlineStr">
        <is>
          <t>Yokogawa EJX530A</t>
        </is>
      </c>
      <c r="D10" s="15" t="inlineStr">
        <is>
          <t>91M427407</t>
        </is>
      </c>
      <c r="E10" s="3" t="inlineStr">
        <is>
          <t>2012</t>
        </is>
      </c>
      <c r="F10" s="17" t="inlineStr">
        <is>
          <t>0,04..2 МПа</t>
        </is>
      </c>
      <c r="G10" s="15" t="n">
        <v>0.1</v>
      </c>
      <c r="H10" s="15" t="inlineStr">
        <is>
          <t>Давление воды на устье скважины</t>
        </is>
      </c>
      <c r="I10" s="15" t="inlineStr">
        <is>
          <t>Артезианская скважина № 3</t>
        </is>
      </c>
      <c r="J10" s="15" t="inlineStr">
        <is>
          <t>АСУ, А и ТМ (КЦ №6)</t>
        </is>
      </c>
      <c r="K10" s="15" t="n">
        <v>2012</v>
      </c>
      <c r="L10" s="15" t="inlineStr">
        <is>
          <t>1 раз в 5 лет</t>
        </is>
      </c>
      <c r="M10" s="33" t="n"/>
      <c r="N10" s="34" t="n"/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Лист18"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M2" sqref="M2:M4"/>
    </sheetView>
  </sheetViews>
  <sheetFormatPr baseColWidth="8" defaultRowHeight="15"/>
  <cols>
    <col width="3.140625" bestFit="1" customWidth="1" style="151" min="1" max="1"/>
    <col width="11" bestFit="1" customWidth="1" style="151" min="2" max="2"/>
    <col width="5.28515625" bestFit="1" customWidth="1" style="151" min="3" max="3"/>
    <col width="8" bestFit="1" customWidth="1" style="151" min="4" max="4"/>
    <col width="6.5703125" bestFit="1" customWidth="1" style="151" min="5" max="5"/>
    <col width="9.140625" bestFit="1" customWidth="1" style="151" min="6" max="6"/>
    <col width="7.42578125" bestFit="1" customWidth="1" style="151" min="7" max="7"/>
    <col width="8" bestFit="1" customWidth="1" style="151" min="8" max="8"/>
    <col width="9.42578125" bestFit="1" customWidth="1" style="151" min="9" max="9"/>
    <col width="17.42578125" bestFit="1" customWidth="1" style="151" min="10" max="10"/>
    <col width="8" bestFit="1" customWidth="1" style="151" min="11" max="11"/>
    <col width="9" bestFit="1" customWidth="1" style="151" min="12" max="12"/>
    <col width="8.85546875" bestFit="1" customWidth="1" style="151" min="13" max="13"/>
    <col width="9" bestFit="1" customWidth="1" style="151" min="14" max="1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>
      <c r="A2" s="15">
        <f>IF(B2&lt;&gt;"", COUNTA($B$2:B2), "")</f>
        <v/>
      </c>
      <c r="B2" s="15" t="inlineStr">
        <is>
          <t>Мультиметр</t>
        </is>
      </c>
      <c r="C2" s="15" t="inlineStr">
        <is>
          <t>APPA</t>
        </is>
      </c>
      <c r="D2" s="3" t="inlineStr">
        <is>
          <t>13151531</t>
        </is>
      </c>
      <c r="E2" s="15" t="n">
        <v>2009</v>
      </c>
      <c r="F2" s="15" t="inlineStr">
        <is>
          <t>1000В  10А</t>
        </is>
      </c>
      <c r="G2" s="15" t="n">
        <v>0.25</v>
      </c>
      <c r="H2" s="3" t="n"/>
      <c r="I2" s="15" t="inlineStr">
        <is>
          <t>Переносной</t>
        </is>
      </c>
      <c r="J2" s="15" t="inlineStr">
        <is>
          <t>АСУ,А и ТМ (КЦ № 6)</t>
        </is>
      </c>
      <c r="K2" s="15" t="n">
        <v>2008</v>
      </c>
      <c r="L2" s="15" t="n">
        <v>12</v>
      </c>
      <c r="M2" s="3" t="n"/>
      <c r="N2" s="70" t="n"/>
    </row>
    <row r="3">
      <c r="A3" s="15">
        <f>IF(B3&lt;&gt;"", COUNTA($B$2:B3), "")</f>
        <v/>
      </c>
      <c r="B3" s="15" t="inlineStr">
        <is>
          <t>Мультиметр</t>
        </is>
      </c>
      <c r="C3" s="15" t="inlineStr">
        <is>
          <t>APPA</t>
        </is>
      </c>
      <c r="D3" s="3" t="inlineStr">
        <is>
          <t>22354888</t>
        </is>
      </c>
      <c r="E3" s="15" t="n">
        <v>2009</v>
      </c>
      <c r="F3" s="15" t="inlineStr">
        <is>
          <t>1000В  10А</t>
        </is>
      </c>
      <c r="G3" s="15" t="n">
        <v>0.25</v>
      </c>
      <c r="H3" s="3" t="n"/>
      <c r="I3" s="15" t="inlineStr">
        <is>
          <t>Переносной</t>
        </is>
      </c>
      <c r="J3" s="15" t="inlineStr">
        <is>
          <t>АСУ,А и ТМ (КЦ № 6)</t>
        </is>
      </c>
      <c r="K3" s="15" t="n">
        <v>2008</v>
      </c>
      <c r="L3" s="15" t="n">
        <v>12</v>
      </c>
      <c r="M3" s="3" t="n"/>
      <c r="N3" s="70" t="n"/>
    </row>
    <row r="4">
      <c r="A4" s="15">
        <f>IF(B4&lt;&gt;"", COUNTA($B$2:B4), "")</f>
        <v/>
      </c>
      <c r="B4" s="15" t="inlineStr">
        <is>
          <t>Мультиметр</t>
        </is>
      </c>
      <c r="C4" s="15" t="inlineStr">
        <is>
          <t>APPA</t>
        </is>
      </c>
      <c r="D4" s="3" t="inlineStr">
        <is>
          <t>64454654</t>
        </is>
      </c>
      <c r="E4" s="15" t="n">
        <v>2009</v>
      </c>
      <c r="F4" s="15" t="inlineStr">
        <is>
          <t>1000В  10А</t>
        </is>
      </c>
      <c r="G4" s="15" t="n">
        <v>0.25</v>
      </c>
      <c r="H4" s="3" t="n"/>
      <c r="I4" s="15" t="inlineStr">
        <is>
          <t>Переносной</t>
        </is>
      </c>
      <c r="J4" s="15" t="inlineStr">
        <is>
          <t>АСУ,А и ТМ (КЦ № 6)</t>
        </is>
      </c>
      <c r="K4" s="15" t="n">
        <v>2008</v>
      </c>
      <c r="L4" s="15" t="n">
        <v>12</v>
      </c>
      <c r="M4" s="3" t="n"/>
      <c r="N4" s="70" t="n"/>
    </row>
  </sheetData>
  <conditionalFormatting sqref="D2:D4">
    <cfRule type="duplicateValues" priority="2" dxfId="25"/>
  </conditionalFormatting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Лист19">
    <outlinePr summaryBelow="1" summaryRight="1"/>
    <pageSetUpPr fitToPage="1"/>
  </sheetPr>
  <dimension ref="A1:N134"/>
  <sheetViews>
    <sheetView workbookViewId="0">
      <pane ySplit="1" topLeftCell="A2" activePane="bottomLeft" state="frozen"/>
      <selection pane="bottomLeft" activeCell="F19" sqref="F19"/>
    </sheetView>
  </sheetViews>
  <sheetFormatPr baseColWidth="8" defaultRowHeight="15"/>
  <cols>
    <col width="3.7109375" bestFit="1" customWidth="1" style="151" min="1" max="1"/>
    <col width="17.5703125" bestFit="1" customWidth="1" style="151" min="2" max="2"/>
    <col width="14.5703125" bestFit="1" customWidth="1" style="151" min="3" max="3"/>
    <col width="9.28515625" bestFit="1" customWidth="1" style="151" min="4" max="4"/>
    <col width="6.5703125" bestFit="1" customWidth="1" style="151" min="5" max="5"/>
    <col width="11" bestFit="1" customWidth="1" style="151" min="6" max="6"/>
    <col width="7.42578125" bestFit="1" customWidth="1" style="151" min="7" max="7"/>
    <col width="20.85546875" bestFit="1" customWidth="1" style="151" min="8" max="8"/>
    <col width="11.28515625" bestFit="1" customWidth="1" style="151" min="9" max="9"/>
    <col width="11.140625" bestFit="1" customWidth="1" style="151" min="10" max="10"/>
    <col width="8" bestFit="1" customWidth="1" style="151" min="11" max="11"/>
    <col width="7.28515625" bestFit="1" customWidth="1" style="151" min="12" max="12"/>
    <col width="8.85546875" bestFit="1" customWidth="1" style="151" min="13" max="13"/>
    <col width="9" bestFit="1" customWidth="1" style="151" min="14" max="14"/>
    <col width="9.140625" customWidth="1" style="151" min="15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 ht="22.5" customHeight="1" s="151">
      <c r="A2" s="15">
        <f>IF(B2&lt;&gt;"", COUNTA($B$2:B2), "")</f>
        <v/>
      </c>
      <c r="B2" s="280" t="inlineStr">
        <is>
          <t>Манометр технический</t>
        </is>
      </c>
      <c r="C2" s="14" t="inlineStr">
        <is>
          <t>TecSis</t>
        </is>
      </c>
      <c r="D2" s="30" t="n"/>
      <c r="E2" s="14" t="n">
        <v>2010</v>
      </c>
      <c r="F2" s="26" t="inlineStr">
        <is>
          <t xml:space="preserve">0…16 бар                   </t>
        </is>
      </c>
      <c r="G2" s="71" t="n"/>
      <c r="H2" s="15" t="inlineStr">
        <is>
          <t>Давление воды на выходе насосов №1</t>
        </is>
      </c>
      <c r="I2" s="15" t="inlineStr">
        <is>
          <t>НППВ</t>
        </is>
      </c>
      <c r="J2" s="15" t="inlineStr">
        <is>
          <t>АСУ,А и ТМ (КЦ № 6)</t>
        </is>
      </c>
      <c r="K2" s="15" t="n">
        <v>2012</v>
      </c>
      <c r="L2" s="15" t="n"/>
      <c r="M2" s="3" t="n"/>
      <c r="N2" s="70" t="n"/>
    </row>
    <row r="3" ht="22.5" customHeight="1" s="151">
      <c r="A3" s="15">
        <f>IF(B3&lt;&gt;"", COUNTA($B$2:B3), "")</f>
        <v/>
      </c>
      <c r="B3" s="280" t="inlineStr">
        <is>
          <t>Манометр технический</t>
        </is>
      </c>
      <c r="C3" s="14" t="inlineStr">
        <is>
          <t>TecSis</t>
        </is>
      </c>
      <c r="D3" s="30" t="n"/>
      <c r="E3" s="14" t="n">
        <v>2010</v>
      </c>
      <c r="F3" s="26" t="inlineStr">
        <is>
          <t xml:space="preserve">0…16 бар                   </t>
        </is>
      </c>
      <c r="G3" s="71" t="n"/>
      <c r="H3" s="15" t="inlineStr">
        <is>
          <t>Давление воды на выходе насосов №1</t>
        </is>
      </c>
      <c r="I3" s="15" t="inlineStr">
        <is>
          <t>НППВ</t>
        </is>
      </c>
      <c r="J3" s="15" t="inlineStr">
        <is>
          <t>АСУ,А и ТМ (КЦ № 6)</t>
        </is>
      </c>
      <c r="K3" s="15" t="n">
        <v>2012</v>
      </c>
      <c r="L3" s="15" t="n"/>
      <c r="M3" s="3" t="n"/>
      <c r="N3" s="70" t="n"/>
    </row>
    <row r="4" ht="22.5" customHeight="1" s="151">
      <c r="A4" s="15">
        <f>IF(B4&lt;&gt;"", COUNTA($B$2:B4), "")</f>
        <v/>
      </c>
      <c r="B4" s="280" t="inlineStr">
        <is>
          <t>Манометр технический</t>
        </is>
      </c>
      <c r="C4" s="14" t="inlineStr">
        <is>
          <t>TecSis</t>
        </is>
      </c>
      <c r="D4" s="30" t="n"/>
      <c r="E4" s="14" t="n">
        <v>2010</v>
      </c>
      <c r="F4" s="26" t="inlineStr">
        <is>
          <t xml:space="preserve">0…16 бар                   </t>
        </is>
      </c>
      <c r="G4" s="71" t="n"/>
      <c r="H4" s="15" t="inlineStr">
        <is>
          <t>Давление воды на выходе с насоса №1</t>
        </is>
      </c>
      <c r="I4" s="15" t="inlineStr">
        <is>
          <t>НППВ</t>
        </is>
      </c>
      <c r="J4" s="15" t="inlineStr">
        <is>
          <t>АСУ,А и ТМ (КЦ № 6)</t>
        </is>
      </c>
      <c r="K4" s="15" t="n">
        <v>2012</v>
      </c>
      <c r="L4" s="15" t="n"/>
      <c r="M4" s="3" t="n"/>
      <c r="N4" s="70" t="n"/>
    </row>
    <row r="5" ht="22.5" customHeight="1" s="151">
      <c r="A5" s="15">
        <f>IF(B5&lt;&gt;"", COUNTA($B$2:B5), "")</f>
        <v/>
      </c>
      <c r="B5" s="280" t="inlineStr">
        <is>
          <t>Манометр технический</t>
        </is>
      </c>
      <c r="C5" s="14" t="inlineStr">
        <is>
          <t>TecSis</t>
        </is>
      </c>
      <c r="D5" s="30" t="n"/>
      <c r="E5" s="14" t="n">
        <v>2010</v>
      </c>
      <c r="F5" s="26" t="inlineStr">
        <is>
          <t xml:space="preserve">0…16 бар                   </t>
        </is>
      </c>
      <c r="G5" s="71" t="n"/>
      <c r="H5" s="15" t="inlineStr">
        <is>
          <t>Давление воды на выходе с насоса №2</t>
        </is>
      </c>
      <c r="I5" s="15" t="inlineStr">
        <is>
          <t>НППВ</t>
        </is>
      </c>
      <c r="J5" s="15" t="inlineStr">
        <is>
          <t>АСУ,А и ТМ (КЦ № 6)</t>
        </is>
      </c>
      <c r="K5" s="15" t="n">
        <v>2012</v>
      </c>
      <c r="L5" s="15" t="n"/>
      <c r="M5" s="3" t="n"/>
      <c r="N5" s="70" t="n"/>
    </row>
    <row r="6" ht="22.5" customHeight="1" s="151">
      <c r="A6" s="15">
        <f>IF(B6&lt;&gt;"", COUNTA($B$2:B6), "")</f>
        <v/>
      </c>
      <c r="B6" s="280" t="inlineStr">
        <is>
          <t>Манометр технический</t>
        </is>
      </c>
      <c r="C6" s="14" t="inlineStr">
        <is>
          <t>TecSis</t>
        </is>
      </c>
      <c r="D6" s="29" t="n"/>
      <c r="E6" s="14" t="n">
        <v>2010</v>
      </c>
      <c r="F6" s="26" t="inlineStr">
        <is>
          <t xml:space="preserve">0…16 бар                   </t>
        </is>
      </c>
      <c r="G6" s="71" t="n"/>
      <c r="H6" s="15" t="inlineStr">
        <is>
          <t>Давление воды на выходе с насоса №3</t>
        </is>
      </c>
      <c r="I6" s="15" t="inlineStr">
        <is>
          <t>НППВ</t>
        </is>
      </c>
      <c r="J6" s="15" t="inlineStr">
        <is>
          <t>АСУ,А и ТМ (КЦ № 6)</t>
        </is>
      </c>
      <c r="K6" s="15" t="n">
        <v>2012</v>
      </c>
      <c r="L6" s="15" t="n"/>
      <c r="M6" s="3" t="n"/>
      <c r="N6" s="70" t="n"/>
    </row>
    <row r="7" ht="22.5" customHeight="1" s="151">
      <c r="A7" s="15">
        <f>IF(B7&lt;&gt;"", COUNTA($B$2:B7), "")</f>
        <v/>
      </c>
      <c r="B7" s="280" t="inlineStr">
        <is>
          <t>Манометр технический</t>
        </is>
      </c>
      <c r="C7" s="14" t="inlineStr">
        <is>
          <t>TecSis</t>
        </is>
      </c>
      <c r="D7" s="29" t="n"/>
      <c r="E7" s="14" t="n">
        <v>2010</v>
      </c>
      <c r="F7" s="26" t="inlineStr">
        <is>
          <t xml:space="preserve">0…16 бар                   </t>
        </is>
      </c>
      <c r="G7" s="71" t="n"/>
      <c r="H7" s="15" t="inlineStr">
        <is>
          <t>Давление воды на выходе с насоса №4</t>
        </is>
      </c>
      <c r="I7" s="15" t="inlineStr">
        <is>
          <t>НППВ</t>
        </is>
      </c>
      <c r="J7" s="15" t="inlineStr">
        <is>
          <t>АСУ,А и ТМ (КЦ № 6)</t>
        </is>
      </c>
      <c r="K7" s="15" t="n">
        <v>2012</v>
      </c>
      <c r="L7" s="15" t="n"/>
      <c r="M7" s="3" t="n"/>
      <c r="N7" s="70" t="n"/>
    </row>
    <row r="8" ht="22.5" customHeight="1" s="151">
      <c r="A8" s="15">
        <f>IF(B8&lt;&gt;"", COUNTA($B$2:B8), "")</f>
        <v/>
      </c>
      <c r="B8" s="280" t="inlineStr">
        <is>
          <t>Манометр технический</t>
        </is>
      </c>
      <c r="C8" s="14" t="inlineStr">
        <is>
          <t>TecSis</t>
        </is>
      </c>
      <c r="D8" s="29" t="n"/>
      <c r="E8" s="14" t="n">
        <v>2010</v>
      </c>
      <c r="F8" s="26" t="inlineStr">
        <is>
          <t xml:space="preserve">0…9 бар                   </t>
        </is>
      </c>
      <c r="G8" s="71" t="n"/>
      <c r="H8" s="15" t="inlineStr">
        <is>
          <t>Давление воды на входе 1-ой емкости</t>
        </is>
      </c>
      <c r="I8" s="15" t="inlineStr">
        <is>
          <t>НППВ</t>
        </is>
      </c>
      <c r="J8" s="15" t="inlineStr">
        <is>
          <t>АСУ,А и ТМ (КЦ № 6)</t>
        </is>
      </c>
      <c r="K8" s="15" t="n">
        <v>2012</v>
      </c>
      <c r="L8" s="15" t="n"/>
      <c r="M8" s="3" t="n"/>
      <c r="N8" s="70" t="n"/>
    </row>
    <row r="9" ht="22.5" customHeight="1" s="151">
      <c r="A9" s="15">
        <f>IF(B9&lt;&gt;"", COUNTA($B$2:B9), "")</f>
        <v/>
      </c>
      <c r="B9" s="280" t="inlineStr">
        <is>
          <t>Манометр технический</t>
        </is>
      </c>
      <c r="C9" s="14" t="inlineStr">
        <is>
          <t>TecSis</t>
        </is>
      </c>
      <c r="D9" s="29" t="n"/>
      <c r="E9" s="14" t="n">
        <v>2010</v>
      </c>
      <c r="F9" s="26" t="inlineStr">
        <is>
          <t xml:space="preserve">0…9 бар                   </t>
        </is>
      </c>
      <c r="G9" s="71" t="n"/>
      <c r="H9" s="15" t="inlineStr">
        <is>
          <t>Давление воды на входе 2-ой емкости</t>
        </is>
      </c>
      <c r="I9" s="15" t="inlineStr">
        <is>
          <t>НППВ</t>
        </is>
      </c>
      <c r="J9" s="15" t="inlineStr">
        <is>
          <t>АСУ,А и ТМ (КЦ № 6)</t>
        </is>
      </c>
      <c r="K9" s="15" t="n">
        <v>2012</v>
      </c>
      <c r="L9" s="15" t="n"/>
      <c r="M9" s="3" t="n"/>
      <c r="N9" s="70" t="n"/>
    </row>
    <row r="10" ht="33.75" customHeight="1" s="151">
      <c r="A10" s="15">
        <f>IF(B10&lt;&gt;"", COUNTA($B$2:B10), "")</f>
        <v/>
      </c>
      <c r="B10" s="280" t="inlineStr">
        <is>
          <t>Манометр технический</t>
        </is>
      </c>
      <c r="C10" s="14" t="inlineStr">
        <is>
          <t>TecSis</t>
        </is>
      </c>
      <c r="D10" s="29" t="n"/>
      <c r="E10" s="14" t="n">
        <v>2010</v>
      </c>
      <c r="F10" s="26" t="inlineStr">
        <is>
          <t xml:space="preserve">0…10 бар                   </t>
        </is>
      </c>
      <c r="G10" s="71" t="n"/>
      <c r="H10" s="15" t="inlineStr">
        <is>
          <t>Давление воды на выходе частотной станции подпитки</t>
        </is>
      </c>
      <c r="I10" s="15" t="inlineStr">
        <is>
          <t>НХПВ</t>
        </is>
      </c>
      <c r="J10" s="15" t="inlineStr">
        <is>
          <t>АСУ,А и ТМ (КЦ № 6)</t>
        </is>
      </c>
      <c r="K10" s="15" t="n">
        <v>2012</v>
      </c>
      <c r="L10" s="15" t="n"/>
      <c r="M10" s="3" t="n"/>
      <c r="N10" s="70" t="n"/>
    </row>
    <row r="11" ht="22.5" customHeight="1" s="151">
      <c r="A11" s="15">
        <f>IF(B11&lt;&gt;"", COUNTA($B$2:B11), "")</f>
        <v/>
      </c>
      <c r="B11" s="280" t="inlineStr">
        <is>
          <t>Манометр технический</t>
        </is>
      </c>
      <c r="C11" s="14" t="inlineStr">
        <is>
          <t>ТМ3</t>
        </is>
      </c>
      <c r="D11" s="29" t="n"/>
      <c r="E11" s="14" t="n">
        <v>2010</v>
      </c>
      <c r="F11" s="26" t="inlineStr">
        <is>
          <t xml:space="preserve">0…10 бар                   </t>
        </is>
      </c>
      <c r="G11" s="71" t="n">
        <v>2.5</v>
      </c>
      <c r="H11" s="15" t="inlineStr">
        <is>
          <t>Давление воды на входе станции промывки</t>
        </is>
      </c>
      <c r="I11" s="15" t="inlineStr">
        <is>
          <t>НХПВ</t>
        </is>
      </c>
      <c r="J11" s="15" t="inlineStr">
        <is>
          <t>АСУ,А и ТМ (КЦ № 6)</t>
        </is>
      </c>
      <c r="K11" s="15" t="n">
        <v>2012</v>
      </c>
      <c r="L11" s="15" t="n"/>
      <c r="M11" s="3" t="n"/>
      <c r="N11" s="70" t="n"/>
    </row>
    <row r="12" ht="22.5" customHeight="1" s="151">
      <c r="A12" s="15">
        <f>IF(B12&lt;&gt;"", COUNTA($B$2:B12), "")</f>
        <v/>
      </c>
      <c r="B12" s="280" t="inlineStr">
        <is>
          <t>Манометр технический</t>
        </is>
      </c>
      <c r="C12" s="14" t="inlineStr">
        <is>
          <t>ТМ3</t>
        </is>
      </c>
      <c r="D12" s="29" t="n"/>
      <c r="E12" s="14" t="n">
        <v>2010</v>
      </c>
      <c r="F12" s="26" t="inlineStr">
        <is>
          <t xml:space="preserve">0…10 бар                   </t>
        </is>
      </c>
      <c r="G12" s="71" t="n">
        <v>2.5</v>
      </c>
      <c r="H12" s="15" t="inlineStr">
        <is>
          <t>Давление воды на выходе станции промывки</t>
        </is>
      </c>
      <c r="I12" s="15" t="inlineStr">
        <is>
          <t>НХПВ</t>
        </is>
      </c>
      <c r="J12" s="15" t="inlineStr">
        <is>
          <t>АСУ,А и ТМ (КЦ № 6)</t>
        </is>
      </c>
      <c r="K12" s="15" t="n">
        <v>2012</v>
      </c>
      <c r="L12" s="15" t="n"/>
      <c r="M12" s="3" t="n"/>
      <c r="N12" s="70" t="n"/>
    </row>
    <row r="13" ht="22.5" customHeight="1" s="151">
      <c r="A13" s="15">
        <f>IF(B13&lt;&gt;"", COUNTA($B$2:B13), "")</f>
        <v/>
      </c>
      <c r="B13" s="280" t="inlineStr">
        <is>
          <t>Манометр технический</t>
        </is>
      </c>
      <c r="C13" s="14" t="inlineStr">
        <is>
          <t>YYST</t>
        </is>
      </c>
      <c r="D13" s="29" t="n"/>
      <c r="E13" s="14" t="n">
        <v>2010</v>
      </c>
      <c r="F13" s="26" t="inlineStr">
        <is>
          <t>0…1,0 МПа</t>
        </is>
      </c>
      <c r="G13" s="71" t="n"/>
      <c r="H13" s="15" t="inlineStr">
        <is>
          <t>Осмос: вход насоса</t>
        </is>
      </c>
      <c r="I13" s="15" t="inlineStr">
        <is>
          <t>НХПВ</t>
        </is>
      </c>
      <c r="J13" s="15" t="inlineStr">
        <is>
          <t>АСУ,А и ТМ (КЦ № 6)</t>
        </is>
      </c>
      <c r="K13" s="15" t="n">
        <v>2012</v>
      </c>
      <c r="L13" s="15" t="n"/>
      <c r="M13" s="3" t="n"/>
      <c r="N13" s="70" t="n"/>
    </row>
    <row r="14" ht="22.5" customHeight="1" s="151">
      <c r="A14" s="15">
        <f>IF(B14&lt;&gt;"", COUNTA($B$2:B14), "")</f>
        <v/>
      </c>
      <c r="B14" s="280" t="inlineStr">
        <is>
          <t>Манометр технический</t>
        </is>
      </c>
      <c r="C14" s="14" t="inlineStr">
        <is>
          <t>YYST</t>
        </is>
      </c>
      <c r="D14" s="14" t="n"/>
      <c r="E14" s="14" t="n">
        <v>2010</v>
      </c>
      <c r="F14" s="26" t="inlineStr">
        <is>
          <t>0…3,0 МПа</t>
        </is>
      </c>
      <c r="G14" s="71" t="n"/>
      <c r="H14" s="15" t="inlineStr">
        <is>
          <t>Осмос: выход мембран</t>
        </is>
      </c>
      <c r="I14" s="15" t="inlineStr">
        <is>
          <t>НХПВ</t>
        </is>
      </c>
      <c r="J14" s="15" t="inlineStr">
        <is>
          <t>АСУ,А и ТМ (КЦ № 6)</t>
        </is>
      </c>
      <c r="K14" s="15" t="n">
        <v>2012</v>
      </c>
      <c r="L14" s="15" t="n"/>
      <c r="M14" s="3" t="n"/>
      <c r="N14" s="70" t="n"/>
    </row>
    <row r="15" ht="22.5" customHeight="1" s="151">
      <c r="A15" s="15">
        <f>IF(B15&lt;&gt;"", COUNTA($B$2:B15), "")</f>
        <v/>
      </c>
      <c r="B15" s="280" t="inlineStr">
        <is>
          <t>Манометр технический</t>
        </is>
      </c>
      <c r="C15" s="14" t="inlineStr">
        <is>
          <t>YYST</t>
        </is>
      </c>
      <c r="D15" s="14" t="n"/>
      <c r="E15" s="14" t="n">
        <v>2010</v>
      </c>
      <c r="F15" s="26" t="inlineStr">
        <is>
          <t>0…1,0 МПа</t>
        </is>
      </c>
      <c r="G15" s="71" t="n"/>
      <c r="H15" s="15" t="inlineStr">
        <is>
          <t>Осмос: выход</t>
        </is>
      </c>
      <c r="I15" s="15" t="inlineStr">
        <is>
          <t>НХПВ</t>
        </is>
      </c>
      <c r="J15" s="15" t="inlineStr">
        <is>
          <t>АСУ,А и ТМ (КЦ № 6)</t>
        </is>
      </c>
      <c r="K15" s="15" t="n">
        <v>2012</v>
      </c>
      <c r="L15" s="15" t="n"/>
      <c r="M15" s="3" t="n"/>
      <c r="N15" s="70" t="n"/>
    </row>
    <row r="16">
      <c r="A16" s="15" t="n"/>
      <c r="B16" s="279" t="inlineStr">
        <is>
          <t>КЦ 6</t>
        </is>
      </c>
      <c r="C16" s="284" t="n"/>
      <c r="D16" s="284" t="n"/>
      <c r="E16" s="284" t="n"/>
      <c r="F16" s="284" t="n"/>
      <c r="G16" s="284" t="n"/>
      <c r="H16" s="284" t="n"/>
      <c r="I16" s="284" t="n"/>
      <c r="J16" s="284" t="n"/>
      <c r="K16" s="284" t="n"/>
      <c r="L16" s="284" t="n"/>
      <c r="M16" s="284" t="n"/>
      <c r="N16" s="285" t="n"/>
    </row>
    <row r="17" ht="22.5" customHeight="1" s="151">
      <c r="A17" s="15">
        <f>IF(B17&lt;&gt;"", COUNTA($B$2:B17), "")</f>
        <v/>
      </c>
      <c r="B17" s="200" t="inlineStr">
        <is>
          <t>Манометр технический</t>
        </is>
      </c>
      <c r="C17" s="201" t="inlineStr">
        <is>
          <t>WIKA</t>
        </is>
      </c>
      <c r="D17" s="201" t="inlineStr">
        <is>
          <t>М300</t>
        </is>
      </c>
      <c r="E17" s="202" t="n">
        <v>2010</v>
      </c>
      <c r="F17" s="26" t="inlineStr">
        <is>
          <t xml:space="preserve">0…10 бар                   </t>
        </is>
      </c>
      <c r="G17" s="201" t="n">
        <v>1.5</v>
      </c>
      <c r="H17" s="203" t="inlineStr">
        <is>
          <t xml:space="preserve">Станция для промывки двигателя </t>
        </is>
      </c>
      <c r="I17" s="204" t="inlineStr">
        <is>
          <t>ГПА 61</t>
        </is>
      </c>
      <c r="J17" s="203" t="inlineStr">
        <is>
          <t>АСУ,А и ТМ (КЦ № 6)</t>
        </is>
      </c>
      <c r="K17" s="203" t="n">
        <v>2012</v>
      </c>
      <c r="L17" s="47" t="n"/>
      <c r="M17" s="47" t="n"/>
      <c r="N17" s="47" t="n"/>
    </row>
    <row r="18" ht="22.5" customHeight="1" s="151">
      <c r="A18" s="15">
        <f>IF(B18&lt;&gt;"", COUNTA($B$2:B18), "")</f>
        <v/>
      </c>
      <c r="B18" s="280" t="inlineStr">
        <is>
          <t>Манометр технический</t>
        </is>
      </c>
      <c r="C18" s="10" t="inlineStr">
        <is>
          <t>EN 837-1</t>
        </is>
      </c>
      <c r="D18" s="10" t="n">
        <v>84999</v>
      </c>
      <c r="E18" s="14" t="n">
        <v>2010</v>
      </c>
      <c r="F18" s="26" t="inlineStr">
        <is>
          <t xml:space="preserve">0…16 бар                   </t>
        </is>
      </c>
      <c r="G18" s="17" t="inlineStr">
        <is>
          <t>2,5</t>
        </is>
      </c>
      <c r="H18" s="15" t="inlineStr">
        <is>
          <t>Давление топливного газа СК12</t>
        </is>
      </c>
      <c r="I18" s="26" t="inlineStr">
        <is>
          <t>ГПА 61</t>
        </is>
      </c>
      <c r="J18" s="15" t="inlineStr">
        <is>
          <t>АСУ,А и ТМ (КЦ № 6)</t>
        </is>
      </c>
      <c r="K18" s="15" t="n">
        <v>2012</v>
      </c>
      <c r="L18" s="47" t="n"/>
      <c r="M18" s="47" t="n"/>
      <c r="N18" s="47" t="n"/>
    </row>
    <row r="19" ht="22.5" customHeight="1" s="151">
      <c r="A19" s="15">
        <f>IF(B19&lt;&gt;"", COUNTA($B$2:B19), "")</f>
        <v/>
      </c>
      <c r="B19" s="280" t="inlineStr">
        <is>
          <t>Манометр технический</t>
        </is>
      </c>
      <c r="C19" s="10" t="inlineStr">
        <is>
          <t>EN 837-1</t>
        </is>
      </c>
      <c r="D19" s="10" t="n">
        <v>85003</v>
      </c>
      <c r="E19" s="14" t="n">
        <v>2010</v>
      </c>
      <c r="F19" s="26" t="inlineStr">
        <is>
          <t xml:space="preserve">0…100 бар                   </t>
        </is>
      </c>
      <c r="G19" s="10" t="n">
        <v>2.5</v>
      </c>
      <c r="H19" s="15" t="inlineStr">
        <is>
          <t>Давление топливного газа СК12</t>
        </is>
      </c>
      <c r="I19" s="26" t="inlineStr">
        <is>
          <t>ГПА 61</t>
        </is>
      </c>
      <c r="J19" s="15" t="inlineStr">
        <is>
          <t>АСУ,А и ТМ (КЦ № 6)</t>
        </is>
      </c>
      <c r="K19" s="15" t="n">
        <v>2012</v>
      </c>
      <c r="L19" s="47" t="n"/>
      <c r="M19" s="47" t="n"/>
      <c r="N19" s="47" t="n"/>
    </row>
    <row r="20" ht="22.5" customHeight="1" s="151">
      <c r="A20" s="15">
        <f>IF(B20&lt;&gt;"", COUNTA($B$2:B20), "")</f>
        <v/>
      </c>
      <c r="B20" s="280" t="inlineStr">
        <is>
          <t>Манометр технический</t>
        </is>
      </c>
      <c r="C20" s="14" t="inlineStr">
        <is>
          <t>Rotork</t>
        </is>
      </c>
      <c r="D20" s="29" t="inlineStr">
        <is>
          <t>15449</t>
        </is>
      </c>
      <c r="E20" s="14" t="n">
        <v>2010</v>
      </c>
      <c r="F20" s="26" t="inlineStr">
        <is>
          <t xml:space="preserve">0…160 бар                   </t>
        </is>
      </c>
      <c r="G20" s="71" t="n">
        <v>1.6</v>
      </c>
      <c r="H20" s="15" t="inlineStr">
        <is>
          <t>кран 61-2-1</t>
        </is>
      </c>
      <c r="I20" s="204" t="inlineStr">
        <is>
          <t>ГПА 61</t>
        </is>
      </c>
      <c r="J20" s="15" t="inlineStr">
        <is>
          <t>АСУ,А и ТМ (КЦ № 6)</t>
        </is>
      </c>
      <c r="K20" s="15" t="n">
        <v>2013</v>
      </c>
      <c r="L20" s="47" t="n"/>
      <c r="M20" s="47" t="n"/>
      <c r="N20" s="47" t="n"/>
    </row>
    <row r="21" ht="22.5" customHeight="1" s="151">
      <c r="A21" s="15">
        <f>IF(B21&lt;&gt;"", COUNTA($B$2:B21), "")</f>
        <v/>
      </c>
      <c r="B21" s="280" t="inlineStr">
        <is>
          <t>Манометр технический</t>
        </is>
      </c>
      <c r="C21" s="14" t="inlineStr">
        <is>
          <t>Rotork</t>
        </is>
      </c>
      <c r="D21" s="29" t="inlineStr">
        <is>
          <t>15450</t>
        </is>
      </c>
      <c r="E21" s="14" t="n">
        <v>2010</v>
      </c>
      <c r="F21" s="26" t="inlineStr">
        <is>
          <t xml:space="preserve">0…160 бар                   </t>
        </is>
      </c>
      <c r="G21" s="71" t="n">
        <v>1.6</v>
      </c>
      <c r="H21" s="15" t="inlineStr">
        <is>
          <t>кран 61-1</t>
        </is>
      </c>
      <c r="I21" s="26" t="inlineStr">
        <is>
          <t>ГПА 61</t>
        </is>
      </c>
      <c r="J21" s="15" t="inlineStr">
        <is>
          <t>АСУ,А и ТМ (КЦ № 6)</t>
        </is>
      </c>
      <c r="K21" s="15" t="n">
        <v>2013</v>
      </c>
      <c r="L21" s="47" t="n"/>
      <c r="M21" s="47" t="n"/>
      <c r="N21" s="47" t="n"/>
    </row>
    <row r="22" ht="22.5" customHeight="1" s="151">
      <c r="A22" s="15">
        <f>IF(B22&lt;&gt;"", COUNTA($B$2:B22), "")</f>
        <v/>
      </c>
      <c r="B22" s="280" t="inlineStr">
        <is>
          <t>Манометр технический</t>
        </is>
      </c>
      <c r="C22" s="14" t="inlineStr">
        <is>
          <t>Fisher</t>
        </is>
      </c>
      <c r="D22" s="29" t="inlineStr">
        <is>
          <t>15451</t>
        </is>
      </c>
      <c r="E22" s="14" t="n">
        <v>2010</v>
      </c>
      <c r="F22" s="11" t="inlineStr">
        <is>
          <t>0…160 кгс/см²</t>
        </is>
      </c>
      <c r="G22" s="71" t="n">
        <v>1.6</v>
      </c>
      <c r="H22" s="15" t="inlineStr">
        <is>
          <t>кран 61-6к</t>
        </is>
      </c>
      <c r="I22" s="26" t="inlineStr">
        <is>
          <t>ГПА 61</t>
        </is>
      </c>
      <c r="J22" s="15" t="inlineStr">
        <is>
          <t>АСУ,А и ТМ (КЦ № 6)</t>
        </is>
      </c>
      <c r="K22" s="15" t="n">
        <v>2013</v>
      </c>
      <c r="L22" s="47" t="n"/>
      <c r="M22" s="47" t="n"/>
      <c r="N22" s="47" t="n"/>
    </row>
    <row r="23" ht="22.5" customHeight="1" s="151">
      <c r="A23" s="15">
        <f>IF(B23&lt;&gt;"", COUNTA($B$2:B23), "")</f>
        <v/>
      </c>
      <c r="B23" s="280" t="inlineStr">
        <is>
          <t>Манометр технический</t>
        </is>
      </c>
      <c r="C23" s="14" t="inlineStr">
        <is>
          <t>Fisher</t>
        </is>
      </c>
      <c r="D23" s="29" t="inlineStr">
        <is>
          <t>15452</t>
        </is>
      </c>
      <c r="E23" s="14" t="n">
        <v>2010</v>
      </c>
      <c r="F23" s="11" t="inlineStr">
        <is>
          <t>0…1000 кПа</t>
        </is>
      </c>
      <c r="G23" s="71" t="n">
        <v>2.5</v>
      </c>
      <c r="H23" s="15" t="inlineStr">
        <is>
          <t>кран 61-6к</t>
        </is>
      </c>
      <c r="I23" s="204" t="inlineStr">
        <is>
          <t>ГПА 61</t>
        </is>
      </c>
      <c r="J23" s="15" t="inlineStr">
        <is>
          <t>АСУ,А и ТМ (КЦ № 6)</t>
        </is>
      </c>
      <c r="K23" s="15" t="n">
        <v>2013</v>
      </c>
      <c r="L23" s="47" t="n"/>
      <c r="M23" s="47" t="n"/>
      <c r="N23" s="47" t="n"/>
    </row>
    <row r="24" ht="22.5" customHeight="1" s="151">
      <c r="A24" s="15">
        <f>IF(B24&lt;&gt;"", COUNTA($B$2:B24), "")</f>
        <v/>
      </c>
      <c r="B24" s="280" t="inlineStr">
        <is>
          <t>Манометр технический</t>
        </is>
      </c>
      <c r="C24" s="14" t="inlineStr">
        <is>
          <t>Fisher</t>
        </is>
      </c>
      <c r="D24" s="29" t="inlineStr">
        <is>
          <t>15453</t>
        </is>
      </c>
      <c r="E24" s="14" t="n">
        <v>2010</v>
      </c>
      <c r="F24" s="11" t="inlineStr">
        <is>
          <t>0…1000 кПа</t>
        </is>
      </c>
      <c r="G24" s="71" t="n">
        <v>2.5</v>
      </c>
      <c r="H24" s="15" t="inlineStr">
        <is>
          <t>кран 61-6к</t>
        </is>
      </c>
      <c r="I24" s="26" t="inlineStr">
        <is>
          <t>ГПА 61</t>
        </is>
      </c>
      <c r="J24" s="15" t="inlineStr">
        <is>
          <t>АСУ,А и ТМ (КЦ № 6)</t>
        </is>
      </c>
      <c r="K24" s="15" t="n">
        <v>2013</v>
      </c>
      <c r="L24" s="47" t="n"/>
      <c r="M24" s="47" t="n"/>
      <c r="N24" s="47" t="n"/>
    </row>
    <row r="25" ht="22.5" customHeight="1" s="151">
      <c r="A25" s="15">
        <f>IF(B25&lt;&gt;"", COUNTA($B$2:B25), "")</f>
        <v/>
      </c>
      <c r="B25" s="280" t="inlineStr">
        <is>
          <t>Манометр технический</t>
        </is>
      </c>
      <c r="C25" s="14" t="inlineStr">
        <is>
          <t>Rotork</t>
        </is>
      </c>
      <c r="D25" s="29" t="inlineStr">
        <is>
          <t>15454</t>
        </is>
      </c>
      <c r="E25" s="14" t="n">
        <v>2010</v>
      </c>
      <c r="F25" s="26" t="inlineStr">
        <is>
          <t xml:space="preserve">0…160 бар                   </t>
        </is>
      </c>
      <c r="G25" s="71" t="n">
        <v>1.6</v>
      </c>
      <c r="H25" s="15" t="inlineStr">
        <is>
          <t>кран 61-6</t>
        </is>
      </c>
      <c r="I25" s="26" t="inlineStr">
        <is>
          <t>ГПА 61</t>
        </is>
      </c>
      <c r="J25" s="15" t="inlineStr">
        <is>
          <t>АСУ,А и ТМ (КЦ № 6)</t>
        </is>
      </c>
      <c r="K25" s="15" t="n">
        <v>2013</v>
      </c>
      <c r="L25" s="47" t="n"/>
      <c r="M25" s="47" t="n"/>
      <c r="N25" s="47" t="n"/>
    </row>
    <row r="26" ht="22.5" customHeight="1" s="151">
      <c r="A26" s="15">
        <f>IF(B26&lt;&gt;"", COUNTA($B$2:B26), "")</f>
        <v/>
      </c>
      <c r="B26" s="280" t="inlineStr">
        <is>
          <t>Манометр технический</t>
        </is>
      </c>
      <c r="C26" s="14" t="inlineStr">
        <is>
          <t>Rotork</t>
        </is>
      </c>
      <c r="D26" s="29" t="inlineStr">
        <is>
          <t>15455</t>
        </is>
      </c>
      <c r="E26" s="14" t="n">
        <v>2010</v>
      </c>
      <c r="F26" s="26" t="inlineStr">
        <is>
          <t xml:space="preserve">0…160 бар                   </t>
        </is>
      </c>
      <c r="G26" s="71" t="n">
        <v>1.6</v>
      </c>
      <c r="H26" s="15" t="inlineStr">
        <is>
          <t>кран 61-2</t>
        </is>
      </c>
      <c r="I26" s="204" t="inlineStr">
        <is>
          <t>ГПА 61</t>
        </is>
      </c>
      <c r="J26" s="15" t="inlineStr">
        <is>
          <t>АСУ,А и ТМ (КЦ № 6)</t>
        </is>
      </c>
      <c r="K26" s="15" t="n">
        <v>2013</v>
      </c>
      <c r="L26" s="47" t="n"/>
      <c r="M26" s="47" t="n"/>
      <c r="N26" s="47" t="n"/>
    </row>
    <row r="27" ht="22.5" customHeight="1" s="151">
      <c r="A27" s="15">
        <f>IF(B27&lt;&gt;"", COUNTA($B$2:B27), "")</f>
        <v/>
      </c>
      <c r="B27" s="280" t="inlineStr">
        <is>
          <t>Манометр технический</t>
        </is>
      </c>
      <c r="C27" s="10" t="inlineStr">
        <is>
          <t>WIKA</t>
        </is>
      </c>
      <c r="D27" s="10" t="inlineStr">
        <is>
          <t>М320</t>
        </is>
      </c>
      <c r="E27" s="14" t="n">
        <v>2010</v>
      </c>
      <c r="F27" s="26" t="inlineStr">
        <is>
          <t xml:space="preserve">0…10 бар                   </t>
        </is>
      </c>
      <c r="G27" s="10" t="n">
        <v>1.5</v>
      </c>
      <c r="H27" s="15" t="inlineStr">
        <is>
          <t xml:space="preserve">Станция для промывки двигателя </t>
        </is>
      </c>
      <c r="I27" s="8" t="inlineStr">
        <is>
          <t>ГПА 62</t>
        </is>
      </c>
      <c r="J27" s="15" t="inlineStr">
        <is>
          <t>АСУ,А и ТМ (КЦ № 6)</t>
        </is>
      </c>
      <c r="K27" s="15" t="n">
        <v>2012</v>
      </c>
      <c r="L27" s="47" t="n"/>
      <c r="M27" s="47" t="n"/>
      <c r="N27" s="47" t="n"/>
    </row>
    <row r="28" ht="22.5" customHeight="1" s="151">
      <c r="A28" s="15">
        <f>IF(B28&lt;&gt;"", COUNTA($B$2:B28), "")</f>
        <v/>
      </c>
      <c r="B28" s="280" t="inlineStr">
        <is>
          <t>Манометр технический</t>
        </is>
      </c>
      <c r="C28" s="10" t="inlineStr">
        <is>
          <t>EN 837-1</t>
        </is>
      </c>
      <c r="D28" s="10" t="n">
        <v>85001</v>
      </c>
      <c r="E28" s="14" t="n">
        <v>2010</v>
      </c>
      <c r="F28" s="26" t="inlineStr">
        <is>
          <t xml:space="preserve">0…16 бар                   </t>
        </is>
      </c>
      <c r="G28" s="10" t="n">
        <v>2.5</v>
      </c>
      <c r="H28" s="15" t="inlineStr">
        <is>
          <t>Давление топливного газа СК12</t>
        </is>
      </c>
      <c r="I28" s="8" t="inlineStr">
        <is>
          <t>ГПА 62</t>
        </is>
      </c>
      <c r="J28" s="15" t="inlineStr">
        <is>
          <t>АСУ,А и ТМ (КЦ № 6)</t>
        </is>
      </c>
      <c r="K28" s="15" t="n">
        <v>2012</v>
      </c>
      <c r="L28" s="47" t="n"/>
      <c r="M28" s="47" t="n"/>
      <c r="N28" s="47" t="n"/>
    </row>
    <row r="29" ht="22.5" customHeight="1" s="151">
      <c r="A29" s="15">
        <f>IF(B29&lt;&gt;"", COUNTA($B$2:B29), "")</f>
        <v/>
      </c>
      <c r="B29" s="280" t="inlineStr">
        <is>
          <t>Манометр технический</t>
        </is>
      </c>
      <c r="C29" s="10" t="inlineStr">
        <is>
          <t>EN 837-1</t>
        </is>
      </c>
      <c r="D29" s="10" t="n">
        <v>85007</v>
      </c>
      <c r="E29" s="14" t="n">
        <v>2010</v>
      </c>
      <c r="F29" s="26" t="inlineStr">
        <is>
          <t xml:space="preserve">0…100 бар                   </t>
        </is>
      </c>
      <c r="G29" s="10" t="n">
        <v>2.5</v>
      </c>
      <c r="H29" s="15" t="inlineStr">
        <is>
          <t xml:space="preserve">Давление топливного газа СК12 </t>
        </is>
      </c>
      <c r="I29" s="8" t="inlineStr">
        <is>
          <t>ГПА 62</t>
        </is>
      </c>
      <c r="J29" s="15" t="inlineStr">
        <is>
          <t>АСУ,А и ТМ (КЦ № 6)</t>
        </is>
      </c>
      <c r="K29" s="15" t="n">
        <v>2012</v>
      </c>
      <c r="L29" s="47" t="n"/>
      <c r="M29" s="47" t="n"/>
      <c r="N29" s="47" t="n"/>
    </row>
    <row r="30" ht="22.5" customHeight="1" s="151">
      <c r="A30" s="15">
        <f>IF(B30&lt;&gt;"", COUNTA($B$2:B30), "")</f>
        <v/>
      </c>
      <c r="B30" s="280" t="inlineStr">
        <is>
          <t>Манометр технический</t>
        </is>
      </c>
      <c r="C30" s="14" t="inlineStr">
        <is>
          <t>Rotork</t>
        </is>
      </c>
      <c r="D30" s="29" t="inlineStr">
        <is>
          <t>15456</t>
        </is>
      </c>
      <c r="E30" s="14" t="n">
        <v>2010</v>
      </c>
      <c r="F30" s="26" t="inlineStr">
        <is>
          <t xml:space="preserve">0…160 бар                   </t>
        </is>
      </c>
      <c r="G30" s="71" t="n">
        <v>1.6</v>
      </c>
      <c r="H30" s="15" t="inlineStr">
        <is>
          <t>кран 62-2-1</t>
        </is>
      </c>
      <c r="I30" s="8" t="inlineStr">
        <is>
          <t>ГПА 62</t>
        </is>
      </c>
      <c r="J30" s="15" t="inlineStr">
        <is>
          <t>АСУ,А и ТМ (КЦ № 6)</t>
        </is>
      </c>
      <c r="K30" s="15" t="n">
        <v>2013</v>
      </c>
      <c r="L30" s="47" t="n"/>
      <c r="M30" s="47" t="n"/>
      <c r="N30" s="47" t="n"/>
    </row>
    <row r="31" ht="22.5" customHeight="1" s="151">
      <c r="A31" s="15">
        <f>IF(B31&lt;&gt;"", COUNTA($B$2:B31), "")</f>
        <v/>
      </c>
      <c r="B31" s="280" t="inlineStr">
        <is>
          <t>Манометр технический</t>
        </is>
      </c>
      <c r="C31" s="14" t="inlineStr">
        <is>
          <t>Rotork</t>
        </is>
      </c>
      <c r="D31" s="29" t="inlineStr">
        <is>
          <t>15457</t>
        </is>
      </c>
      <c r="E31" s="14" t="n">
        <v>2010</v>
      </c>
      <c r="F31" s="26" t="inlineStr">
        <is>
          <t xml:space="preserve">0…160 бар                   </t>
        </is>
      </c>
      <c r="G31" s="71" t="n">
        <v>1.6</v>
      </c>
      <c r="H31" s="15" t="inlineStr">
        <is>
          <t>кран 62-1</t>
        </is>
      </c>
      <c r="I31" s="8" t="inlineStr">
        <is>
          <t>ГПА 62</t>
        </is>
      </c>
      <c r="J31" s="15" t="inlineStr">
        <is>
          <t>АСУ,А и ТМ (КЦ № 6)</t>
        </is>
      </c>
      <c r="K31" s="15" t="n">
        <v>2013</v>
      </c>
      <c r="L31" s="47" t="n"/>
      <c r="M31" s="47" t="n"/>
      <c r="N31" s="47" t="n"/>
    </row>
    <row r="32" ht="22.5" customHeight="1" s="151">
      <c r="A32" s="15">
        <f>IF(B32&lt;&gt;"", COUNTA($B$2:B32), "")</f>
        <v/>
      </c>
      <c r="B32" s="280" t="inlineStr">
        <is>
          <t>Манометр технический</t>
        </is>
      </c>
      <c r="C32" s="14" t="inlineStr">
        <is>
          <t>Fisher</t>
        </is>
      </c>
      <c r="D32" s="29" t="inlineStr">
        <is>
          <t>15458</t>
        </is>
      </c>
      <c r="E32" s="14" t="n">
        <v>2010</v>
      </c>
      <c r="F32" s="11" t="inlineStr">
        <is>
          <t>0…160 кгс/см²</t>
        </is>
      </c>
      <c r="G32" s="71" t="n">
        <v>1.6</v>
      </c>
      <c r="H32" s="15" t="inlineStr">
        <is>
          <t>кран 62-6к</t>
        </is>
      </c>
      <c r="I32" s="8" t="inlineStr">
        <is>
          <t>ГПА 62</t>
        </is>
      </c>
      <c r="J32" s="15" t="inlineStr">
        <is>
          <t>АСУ,А и ТМ (КЦ № 6)</t>
        </is>
      </c>
      <c r="K32" s="15" t="n">
        <v>2013</v>
      </c>
      <c r="L32" s="47" t="n"/>
      <c r="M32" s="47" t="n"/>
      <c r="N32" s="47" t="n"/>
    </row>
    <row r="33" ht="22.5" customHeight="1" s="151">
      <c r="A33" s="15">
        <f>IF(B33&lt;&gt;"", COUNTA($B$2:B33), "")</f>
        <v/>
      </c>
      <c r="B33" s="280" t="inlineStr">
        <is>
          <t>Манометр технический</t>
        </is>
      </c>
      <c r="C33" s="14" t="inlineStr">
        <is>
          <t>Fisher</t>
        </is>
      </c>
      <c r="D33" s="29" t="inlineStr">
        <is>
          <t>15459</t>
        </is>
      </c>
      <c r="E33" s="14" t="n">
        <v>2010</v>
      </c>
      <c r="F33" s="11" t="inlineStr">
        <is>
          <t>0…1000 кПа</t>
        </is>
      </c>
      <c r="G33" s="71" t="n">
        <v>2.5</v>
      </c>
      <c r="H33" s="15" t="inlineStr">
        <is>
          <t>кран 62-6к</t>
        </is>
      </c>
      <c r="I33" s="8" t="inlineStr">
        <is>
          <t>ГПА 62</t>
        </is>
      </c>
      <c r="J33" s="15" t="inlineStr">
        <is>
          <t>АСУ,А и ТМ (КЦ № 6)</t>
        </is>
      </c>
      <c r="K33" s="15" t="n">
        <v>2013</v>
      </c>
      <c r="L33" s="47" t="n"/>
      <c r="M33" s="47" t="n"/>
      <c r="N33" s="47" t="n"/>
    </row>
    <row r="34" ht="22.5" customHeight="1" s="151">
      <c r="A34" s="15">
        <f>IF(B34&lt;&gt;"", COUNTA($B$2:B34), "")</f>
        <v/>
      </c>
      <c r="B34" s="280" t="inlineStr">
        <is>
          <t>Манометр технический</t>
        </is>
      </c>
      <c r="C34" s="14" t="inlineStr">
        <is>
          <t>Fisher</t>
        </is>
      </c>
      <c r="D34" s="29" t="inlineStr">
        <is>
          <t>15460</t>
        </is>
      </c>
      <c r="E34" s="14" t="n">
        <v>2010</v>
      </c>
      <c r="F34" s="11" t="inlineStr">
        <is>
          <t>0…1000 кПа</t>
        </is>
      </c>
      <c r="G34" s="71" t="n">
        <v>2.5</v>
      </c>
      <c r="H34" s="15" t="inlineStr">
        <is>
          <t>кран 62-6к</t>
        </is>
      </c>
      <c r="I34" s="8" t="inlineStr">
        <is>
          <t>ГПА 62</t>
        </is>
      </c>
      <c r="J34" s="15" t="inlineStr">
        <is>
          <t>АСУ,А и ТМ (КЦ № 6)</t>
        </is>
      </c>
      <c r="K34" s="15" t="n">
        <v>2013</v>
      </c>
      <c r="L34" s="47" t="n"/>
      <c r="M34" s="47" t="n"/>
      <c r="N34" s="47" t="n"/>
    </row>
    <row r="35" ht="22.5" customHeight="1" s="151">
      <c r="A35" s="15">
        <f>IF(B35&lt;&gt;"", COUNTA($B$2:B35), "")</f>
        <v/>
      </c>
      <c r="B35" s="280" t="inlineStr">
        <is>
          <t>Манометр технический</t>
        </is>
      </c>
      <c r="C35" s="14" t="inlineStr">
        <is>
          <t>Rotork</t>
        </is>
      </c>
      <c r="D35" s="29" t="inlineStr">
        <is>
          <t>15461</t>
        </is>
      </c>
      <c r="E35" s="14" t="n">
        <v>2010</v>
      </c>
      <c r="F35" s="26" t="inlineStr">
        <is>
          <t xml:space="preserve">0…160 бар                   </t>
        </is>
      </c>
      <c r="G35" s="71" t="n">
        <v>1.6</v>
      </c>
      <c r="H35" s="15" t="inlineStr">
        <is>
          <t>кран 62-6</t>
        </is>
      </c>
      <c r="I35" s="8" t="inlineStr">
        <is>
          <t>ГПА 62</t>
        </is>
      </c>
      <c r="J35" s="15" t="inlineStr">
        <is>
          <t>АСУ,А и ТМ (КЦ № 6)</t>
        </is>
      </c>
      <c r="K35" s="15" t="n">
        <v>2013</v>
      </c>
      <c r="L35" s="47" t="n"/>
      <c r="M35" s="47" t="n"/>
      <c r="N35" s="47" t="n"/>
    </row>
    <row r="36" ht="22.5" customHeight="1" s="151">
      <c r="A36" s="15">
        <f>IF(B36&lt;&gt;"", COUNTA($B$2:B36), "")</f>
        <v/>
      </c>
      <c r="B36" s="280" t="inlineStr">
        <is>
          <t>Манометр технический</t>
        </is>
      </c>
      <c r="C36" s="14" t="inlineStr">
        <is>
          <t>Rotork</t>
        </is>
      </c>
      <c r="D36" s="29" t="inlineStr">
        <is>
          <t>15462</t>
        </is>
      </c>
      <c r="E36" s="14" t="n">
        <v>2010</v>
      </c>
      <c r="F36" s="26" t="inlineStr">
        <is>
          <t xml:space="preserve">0…160 бар                   </t>
        </is>
      </c>
      <c r="G36" s="71" t="n">
        <v>1.6</v>
      </c>
      <c r="H36" s="15" t="inlineStr">
        <is>
          <t>кран 62-2</t>
        </is>
      </c>
      <c r="I36" s="8" t="inlineStr">
        <is>
          <t>ГПА 62</t>
        </is>
      </c>
      <c r="J36" s="15" t="inlineStr">
        <is>
          <t>АСУ,А и ТМ (КЦ № 6)</t>
        </is>
      </c>
      <c r="K36" s="15" t="n">
        <v>2013</v>
      </c>
      <c r="L36" s="47" t="n"/>
      <c r="M36" s="47" t="n"/>
      <c r="N36" s="47" t="n"/>
    </row>
    <row r="37" ht="22.5" customHeight="1" s="151">
      <c r="A37" s="15">
        <f>IF(B37&lt;&gt;"", COUNTA($B$2:B37), "")</f>
        <v/>
      </c>
      <c r="B37" s="280" t="inlineStr">
        <is>
          <t>Манометр технический</t>
        </is>
      </c>
      <c r="C37" s="10" t="inlineStr">
        <is>
          <t>WIKA</t>
        </is>
      </c>
      <c r="D37" s="10" t="inlineStr">
        <is>
          <t>М321</t>
        </is>
      </c>
      <c r="E37" s="14" t="n">
        <v>2010</v>
      </c>
      <c r="F37" s="26" t="inlineStr">
        <is>
          <t xml:space="preserve">0…10 бар                   </t>
        </is>
      </c>
      <c r="G37" s="10" t="n">
        <v>1.5</v>
      </c>
      <c r="H37" s="15" t="inlineStr">
        <is>
          <t xml:space="preserve">Станция для промывки двигателя </t>
        </is>
      </c>
      <c r="I37" s="8" t="inlineStr">
        <is>
          <t>ГПА 63</t>
        </is>
      </c>
      <c r="J37" s="15" t="inlineStr">
        <is>
          <t>АСУ,А и ТМ (КЦ № 6)</t>
        </is>
      </c>
      <c r="K37" s="15" t="n">
        <v>2012</v>
      </c>
      <c r="L37" s="47" t="n"/>
      <c r="M37" s="47" t="n"/>
      <c r="N37" s="47" t="n"/>
    </row>
    <row r="38" ht="22.5" customHeight="1" s="151">
      <c r="A38" s="15">
        <f>IF(B38&lt;&gt;"", COUNTA($B$2:B38), "")</f>
        <v/>
      </c>
      <c r="B38" s="280" t="inlineStr">
        <is>
          <t>Манометр технический</t>
        </is>
      </c>
      <c r="C38" s="10" t="inlineStr">
        <is>
          <t>EN 837-1</t>
        </is>
      </c>
      <c r="D38" s="10" t="n">
        <v>85002</v>
      </c>
      <c r="E38" s="14" t="n">
        <v>2010</v>
      </c>
      <c r="F38" s="26" t="inlineStr">
        <is>
          <t xml:space="preserve">0…16 бар                   </t>
        </is>
      </c>
      <c r="G38" s="10" t="n">
        <v>2.5</v>
      </c>
      <c r="H38" s="15" t="inlineStr">
        <is>
          <t>Давление топливного газа СК12</t>
        </is>
      </c>
      <c r="I38" s="8" t="inlineStr">
        <is>
          <t>ГПА 63</t>
        </is>
      </c>
      <c r="J38" s="15" t="inlineStr">
        <is>
          <t>АСУ,А и ТМ (КЦ № 6)</t>
        </is>
      </c>
      <c r="K38" s="15" t="n">
        <v>2012</v>
      </c>
      <c r="L38" s="47" t="n"/>
      <c r="M38" s="47" t="n"/>
      <c r="N38" s="47" t="n"/>
    </row>
    <row r="39" ht="22.5" customHeight="1" s="151">
      <c r="A39" s="15">
        <f>IF(B39&lt;&gt;"", COUNTA($B$2:B39), "")</f>
        <v/>
      </c>
      <c r="B39" s="280" t="inlineStr">
        <is>
          <t>Манометр технический</t>
        </is>
      </c>
      <c r="C39" s="10" t="inlineStr">
        <is>
          <t>EN 837-1</t>
        </is>
      </c>
      <c r="D39" s="10" t="n">
        <v>85009</v>
      </c>
      <c r="E39" s="14" t="n">
        <v>2010</v>
      </c>
      <c r="F39" s="26" t="inlineStr">
        <is>
          <t xml:space="preserve">0…100 бар                   </t>
        </is>
      </c>
      <c r="G39" s="10" t="n">
        <v>2.5</v>
      </c>
      <c r="H39" s="15" t="inlineStr">
        <is>
          <t xml:space="preserve">Давление топливного газа СК12 </t>
        </is>
      </c>
      <c r="I39" s="8" t="inlineStr">
        <is>
          <t>ГПА 63</t>
        </is>
      </c>
      <c r="J39" s="15" t="inlineStr">
        <is>
          <t>АСУ,А и ТМ (КЦ № 6)</t>
        </is>
      </c>
      <c r="K39" s="15" t="n">
        <v>2012</v>
      </c>
      <c r="L39" s="47" t="n"/>
      <c r="M39" s="47" t="n"/>
      <c r="N39" s="47" t="n"/>
    </row>
    <row r="40" ht="22.5" customHeight="1" s="151">
      <c r="A40" s="15">
        <f>IF(B40&lt;&gt;"", COUNTA($B$2:B40), "")</f>
        <v/>
      </c>
      <c r="B40" s="280" t="inlineStr">
        <is>
          <t>Манометр технический</t>
        </is>
      </c>
      <c r="C40" s="14" t="inlineStr">
        <is>
          <t>Rotork</t>
        </is>
      </c>
      <c r="D40" s="29" t="inlineStr">
        <is>
          <t>15463</t>
        </is>
      </c>
      <c r="E40" s="14" t="n">
        <v>2010</v>
      </c>
      <c r="F40" s="26" t="inlineStr">
        <is>
          <t xml:space="preserve">0…160 бар                   </t>
        </is>
      </c>
      <c r="G40" s="71" t="n">
        <v>1.6</v>
      </c>
      <c r="H40" s="15" t="inlineStr">
        <is>
          <t>кран 63-2-1</t>
        </is>
      </c>
      <c r="I40" s="8" t="inlineStr">
        <is>
          <t>ГПА 63</t>
        </is>
      </c>
      <c r="J40" s="15" t="inlineStr">
        <is>
          <t>АСУ,А и ТМ (КЦ № 6)</t>
        </is>
      </c>
      <c r="K40" s="15" t="n">
        <v>2013</v>
      </c>
      <c r="L40" s="47" t="n"/>
      <c r="M40" s="47" t="n"/>
      <c r="N40" s="47" t="n"/>
    </row>
    <row r="41" ht="22.5" customHeight="1" s="151">
      <c r="A41" s="15">
        <f>IF(B41&lt;&gt;"", COUNTA($B$2:B41), "")</f>
        <v/>
      </c>
      <c r="B41" s="280" t="inlineStr">
        <is>
          <t>Манометр технический</t>
        </is>
      </c>
      <c r="C41" s="14" t="inlineStr">
        <is>
          <t>Rotork</t>
        </is>
      </c>
      <c r="D41" s="29" t="inlineStr">
        <is>
          <t>15464</t>
        </is>
      </c>
      <c r="E41" s="14" t="n">
        <v>2010</v>
      </c>
      <c r="F41" s="26" t="inlineStr">
        <is>
          <t xml:space="preserve">0…160 бар                   </t>
        </is>
      </c>
      <c r="G41" s="71" t="n">
        <v>1.6</v>
      </c>
      <c r="H41" s="15" t="inlineStr">
        <is>
          <t>кран 63-1</t>
        </is>
      </c>
      <c r="I41" s="8" t="inlineStr">
        <is>
          <t>ГПА 63</t>
        </is>
      </c>
      <c r="J41" s="15" t="inlineStr">
        <is>
          <t>АСУ,А и ТМ (КЦ № 6)</t>
        </is>
      </c>
      <c r="K41" s="15" t="n">
        <v>2013</v>
      </c>
      <c r="L41" s="47" t="n"/>
      <c r="M41" s="47" t="n"/>
      <c r="N41" s="47" t="n"/>
    </row>
    <row r="42" ht="22.5" customHeight="1" s="151">
      <c r="A42" s="15">
        <f>IF(B42&lt;&gt;"", COUNTA($B$2:B42), "")</f>
        <v/>
      </c>
      <c r="B42" s="280" t="inlineStr">
        <is>
          <t>Манометр технический</t>
        </is>
      </c>
      <c r="C42" s="14" t="inlineStr">
        <is>
          <t>Fisher</t>
        </is>
      </c>
      <c r="D42" s="29" t="inlineStr">
        <is>
          <t>15465</t>
        </is>
      </c>
      <c r="E42" s="14" t="n">
        <v>2010</v>
      </c>
      <c r="F42" s="11" t="inlineStr">
        <is>
          <t>0…160 кгс/см²</t>
        </is>
      </c>
      <c r="G42" s="71" t="n">
        <v>1.6</v>
      </c>
      <c r="H42" s="15" t="inlineStr">
        <is>
          <t>кран 63-6к</t>
        </is>
      </c>
      <c r="I42" s="8" t="inlineStr">
        <is>
          <t>ГПА 63</t>
        </is>
      </c>
      <c r="J42" s="15" t="inlineStr">
        <is>
          <t>АСУ,А и ТМ (КЦ № 6)</t>
        </is>
      </c>
      <c r="K42" s="15" t="n">
        <v>2013</v>
      </c>
      <c r="L42" s="47" t="n"/>
      <c r="M42" s="47" t="n"/>
      <c r="N42" s="47" t="n"/>
    </row>
    <row r="43" ht="22.5" customHeight="1" s="151">
      <c r="A43" s="15">
        <f>IF(B43&lt;&gt;"", COUNTA($B$2:B43), "")</f>
        <v/>
      </c>
      <c r="B43" s="280" t="inlineStr">
        <is>
          <t>Манометр технический</t>
        </is>
      </c>
      <c r="C43" s="14" t="inlineStr">
        <is>
          <t>Fisher</t>
        </is>
      </c>
      <c r="D43" s="29" t="inlineStr">
        <is>
          <t>15466</t>
        </is>
      </c>
      <c r="E43" s="14" t="n">
        <v>2010</v>
      </c>
      <c r="F43" s="11" t="inlineStr">
        <is>
          <t>0…1000 кПа</t>
        </is>
      </c>
      <c r="G43" s="71" t="n">
        <v>2.5</v>
      </c>
      <c r="H43" s="15" t="inlineStr">
        <is>
          <t>кран 63-6к</t>
        </is>
      </c>
      <c r="I43" s="8" t="inlineStr">
        <is>
          <t>ГПА 63</t>
        </is>
      </c>
      <c r="J43" s="15" t="inlineStr">
        <is>
          <t>АСУ,А и ТМ (КЦ № 6)</t>
        </is>
      </c>
      <c r="K43" s="15" t="n">
        <v>2013</v>
      </c>
      <c r="L43" s="47" t="n"/>
      <c r="M43" s="47" t="n"/>
      <c r="N43" s="47" t="n"/>
    </row>
    <row r="44" ht="22.5" customHeight="1" s="151">
      <c r="A44" s="15">
        <f>IF(B44&lt;&gt;"", COUNTA($B$2:B44), "")</f>
        <v/>
      </c>
      <c r="B44" s="280" t="inlineStr">
        <is>
          <t>Манометр технический</t>
        </is>
      </c>
      <c r="C44" s="14" t="inlineStr">
        <is>
          <t>Fisher</t>
        </is>
      </c>
      <c r="D44" s="29" t="inlineStr">
        <is>
          <t>15467</t>
        </is>
      </c>
      <c r="E44" s="14" t="n">
        <v>2010</v>
      </c>
      <c r="F44" s="11" t="inlineStr">
        <is>
          <t>0…1000 кПа</t>
        </is>
      </c>
      <c r="G44" s="71" t="n">
        <v>2.5</v>
      </c>
      <c r="H44" s="15" t="inlineStr">
        <is>
          <t>кран 63-6к</t>
        </is>
      </c>
      <c r="I44" s="8" t="inlineStr">
        <is>
          <t>ГПА 63</t>
        </is>
      </c>
      <c r="J44" s="15" t="inlineStr">
        <is>
          <t>АСУ,А и ТМ (КЦ № 6)</t>
        </is>
      </c>
      <c r="K44" s="15" t="n">
        <v>2013</v>
      </c>
      <c r="L44" s="47" t="n"/>
      <c r="M44" s="47" t="n"/>
      <c r="N44" s="47" t="n"/>
    </row>
    <row r="45" ht="22.5" customHeight="1" s="151">
      <c r="A45" s="15">
        <f>IF(B45&lt;&gt;"", COUNTA($B$2:B45), "")</f>
        <v/>
      </c>
      <c r="B45" s="280" t="inlineStr">
        <is>
          <t>Манометр технический</t>
        </is>
      </c>
      <c r="C45" s="14" t="inlineStr">
        <is>
          <t>Rotork</t>
        </is>
      </c>
      <c r="D45" s="29" t="inlineStr">
        <is>
          <t>15468</t>
        </is>
      </c>
      <c r="E45" s="14" t="n">
        <v>2010</v>
      </c>
      <c r="F45" s="26" t="inlineStr">
        <is>
          <t xml:space="preserve">0…160 бар                   </t>
        </is>
      </c>
      <c r="G45" s="71" t="n">
        <v>1.6</v>
      </c>
      <c r="H45" s="15" t="inlineStr">
        <is>
          <t>кран 63-6</t>
        </is>
      </c>
      <c r="I45" s="8" t="inlineStr">
        <is>
          <t>ГПА 63</t>
        </is>
      </c>
      <c r="J45" s="15" t="inlineStr">
        <is>
          <t>АСУ,А и ТМ (КЦ № 6)</t>
        </is>
      </c>
      <c r="K45" s="15" t="n">
        <v>2013</v>
      </c>
      <c r="L45" s="47" t="n"/>
      <c r="M45" s="47" t="n"/>
      <c r="N45" s="47" t="n"/>
    </row>
    <row r="46" ht="22.5" customHeight="1" s="151">
      <c r="A46" s="15">
        <f>IF(B46&lt;&gt;"", COUNTA($B$2:B46), "")</f>
        <v/>
      </c>
      <c r="B46" s="280" t="inlineStr">
        <is>
          <t>Манометр технический</t>
        </is>
      </c>
      <c r="C46" s="14" t="inlineStr">
        <is>
          <t>Rotork</t>
        </is>
      </c>
      <c r="D46" s="29" t="inlineStr">
        <is>
          <t>15469</t>
        </is>
      </c>
      <c r="E46" s="14" t="n">
        <v>2010</v>
      </c>
      <c r="F46" s="26" t="inlineStr">
        <is>
          <t xml:space="preserve">0…160 бар                   </t>
        </is>
      </c>
      <c r="G46" s="71" t="n">
        <v>1.6</v>
      </c>
      <c r="H46" s="15" t="inlineStr">
        <is>
          <t>кран 63-2</t>
        </is>
      </c>
      <c r="I46" s="8" t="inlineStr">
        <is>
          <t>ГПА 63</t>
        </is>
      </c>
      <c r="J46" s="15" t="inlineStr">
        <is>
          <t>АСУ,А и ТМ (КЦ № 6)</t>
        </is>
      </c>
      <c r="K46" s="15" t="n">
        <v>2013</v>
      </c>
      <c r="L46" s="47" t="n"/>
      <c r="M46" s="47" t="n"/>
      <c r="N46" s="47" t="n"/>
    </row>
    <row r="47" ht="22.5" customHeight="1" s="151">
      <c r="A47" s="15">
        <f>IF(B47&lt;&gt;"", COUNTA($B$2:B47), "")</f>
        <v/>
      </c>
      <c r="B47" s="280" t="inlineStr">
        <is>
          <t>Манометр технический</t>
        </is>
      </c>
      <c r="C47" s="10" t="inlineStr">
        <is>
          <t>WIKA</t>
        </is>
      </c>
      <c r="D47" s="10" t="inlineStr">
        <is>
          <t>М312</t>
        </is>
      </c>
      <c r="E47" s="14" t="n">
        <v>2010</v>
      </c>
      <c r="F47" s="26" t="inlineStr">
        <is>
          <t xml:space="preserve">0…10 бар                   </t>
        </is>
      </c>
      <c r="G47" s="17" t="inlineStr">
        <is>
          <t>1,5</t>
        </is>
      </c>
      <c r="H47" s="15" t="inlineStr">
        <is>
          <t xml:space="preserve">Станция для промывки двигателя </t>
        </is>
      </c>
      <c r="I47" s="8" t="inlineStr">
        <is>
          <t>ГПА 64</t>
        </is>
      </c>
      <c r="J47" s="15" t="inlineStr">
        <is>
          <t>АСУ,А и ТМ (КЦ № 6)</t>
        </is>
      </c>
      <c r="K47" s="15" t="n">
        <v>2012</v>
      </c>
      <c r="L47" s="47" t="n"/>
      <c r="M47" s="47" t="n"/>
      <c r="N47" s="47" t="n"/>
    </row>
    <row r="48" ht="22.5" customHeight="1" s="151">
      <c r="A48" s="15">
        <f>IF(B48&lt;&gt;"", COUNTA($B$2:B48), "")</f>
        <v/>
      </c>
      <c r="B48" s="280" t="inlineStr">
        <is>
          <t>Манометр технический</t>
        </is>
      </c>
      <c r="C48" s="10" t="inlineStr">
        <is>
          <t>EN 837-1</t>
        </is>
      </c>
      <c r="D48" s="10" t="n">
        <v>84997</v>
      </c>
      <c r="E48" s="14" t="n">
        <v>2010</v>
      </c>
      <c r="F48" s="26" t="inlineStr">
        <is>
          <t xml:space="preserve">0…16 бар                   </t>
        </is>
      </c>
      <c r="G48" s="17" t="inlineStr">
        <is>
          <t>2,5</t>
        </is>
      </c>
      <c r="H48" s="15" t="inlineStr">
        <is>
          <t>Давление топливного газа СК12</t>
        </is>
      </c>
      <c r="I48" s="8" t="inlineStr">
        <is>
          <t>ГПА 64</t>
        </is>
      </c>
      <c r="J48" s="15" t="inlineStr">
        <is>
          <t>АСУ,А и ТМ (КЦ № 6)</t>
        </is>
      </c>
      <c r="K48" s="15" t="n">
        <v>2012</v>
      </c>
      <c r="L48" s="47" t="n"/>
      <c r="M48" s="47" t="n"/>
      <c r="N48" s="47" t="n"/>
    </row>
    <row r="49" ht="22.5" customHeight="1" s="151">
      <c r="A49" s="15">
        <f>IF(B49&lt;&gt;"", COUNTA($B$2:B49), "")</f>
        <v/>
      </c>
      <c r="B49" s="280" t="inlineStr">
        <is>
          <t>Манометр технический</t>
        </is>
      </c>
      <c r="C49" s="10" t="inlineStr">
        <is>
          <t>EN 837-1</t>
        </is>
      </c>
      <c r="D49" s="71" t="n">
        <v>85010</v>
      </c>
      <c r="E49" s="14" t="n">
        <v>2010</v>
      </c>
      <c r="F49" s="26" t="inlineStr">
        <is>
          <t xml:space="preserve">0…100 бар                   </t>
        </is>
      </c>
      <c r="G49" s="17" t="inlineStr">
        <is>
          <t>2,5</t>
        </is>
      </c>
      <c r="H49" s="15" t="inlineStr">
        <is>
          <t xml:space="preserve">Давление топливного газа СК12 </t>
        </is>
      </c>
      <c r="I49" s="8" t="inlineStr">
        <is>
          <t>ГПА 64</t>
        </is>
      </c>
      <c r="J49" s="15" t="inlineStr">
        <is>
          <t>АСУ,А и ТМ (КЦ № 6)</t>
        </is>
      </c>
      <c r="K49" s="15" t="n">
        <v>2012</v>
      </c>
      <c r="L49" s="47" t="n"/>
      <c r="M49" s="47" t="n"/>
      <c r="N49" s="47" t="n"/>
    </row>
    <row r="50" ht="22.5" customHeight="1" s="151">
      <c r="A50" s="15">
        <f>IF(B50&lt;&gt;"", COUNTA($B$2:B50), "")</f>
        <v/>
      </c>
      <c r="B50" s="280" t="inlineStr">
        <is>
          <t>Манометр технический</t>
        </is>
      </c>
      <c r="C50" s="14" t="inlineStr">
        <is>
          <t>Rotork</t>
        </is>
      </c>
      <c r="D50" s="29" t="inlineStr">
        <is>
          <t>15470</t>
        </is>
      </c>
      <c r="E50" s="14" t="n">
        <v>2010</v>
      </c>
      <c r="F50" s="26" t="inlineStr">
        <is>
          <t xml:space="preserve">0…160 бар                   </t>
        </is>
      </c>
      <c r="G50" s="71" t="n">
        <v>1.6</v>
      </c>
      <c r="H50" s="15" t="inlineStr">
        <is>
          <t>кран 64-2-1</t>
        </is>
      </c>
      <c r="I50" s="8" t="inlineStr">
        <is>
          <t>ГПА 64</t>
        </is>
      </c>
      <c r="J50" s="15" t="inlineStr">
        <is>
          <t>АСУ,А и ТМ (КЦ № 6)</t>
        </is>
      </c>
      <c r="K50" s="15" t="n">
        <v>2013</v>
      </c>
      <c r="L50" s="47" t="n"/>
      <c r="M50" s="47" t="n"/>
      <c r="N50" s="47" t="n"/>
    </row>
    <row r="51" ht="22.5" customHeight="1" s="151">
      <c r="A51" s="15">
        <f>IF(B51&lt;&gt;"", COUNTA($B$2:B51), "")</f>
        <v/>
      </c>
      <c r="B51" s="280" t="inlineStr">
        <is>
          <t>Манометр технический</t>
        </is>
      </c>
      <c r="C51" s="14" t="inlineStr">
        <is>
          <t>Rotork</t>
        </is>
      </c>
      <c r="D51" s="29" t="inlineStr">
        <is>
          <t>15471</t>
        </is>
      </c>
      <c r="E51" s="14" t="n">
        <v>2010</v>
      </c>
      <c r="F51" s="26" t="inlineStr">
        <is>
          <t xml:space="preserve">0…160 бар                   </t>
        </is>
      </c>
      <c r="G51" s="71" t="n">
        <v>1.6</v>
      </c>
      <c r="H51" s="15" t="inlineStr">
        <is>
          <t>кран 64-1</t>
        </is>
      </c>
      <c r="I51" s="8" t="inlineStr">
        <is>
          <t>ГПА 64</t>
        </is>
      </c>
      <c r="J51" s="15" t="inlineStr">
        <is>
          <t>АСУ,А и ТМ (КЦ № 6)</t>
        </is>
      </c>
      <c r="K51" s="15" t="n">
        <v>2013</v>
      </c>
      <c r="L51" s="47" t="n"/>
      <c r="M51" s="47" t="n"/>
      <c r="N51" s="47" t="n"/>
    </row>
    <row r="52" ht="22.5" customHeight="1" s="151">
      <c r="A52" s="15">
        <f>IF(B52&lt;&gt;"", COUNTA($B$2:B52), "")</f>
        <v/>
      </c>
      <c r="B52" s="280" t="inlineStr">
        <is>
          <t>Манометр технический</t>
        </is>
      </c>
      <c r="C52" s="14" t="inlineStr">
        <is>
          <t>Fisher</t>
        </is>
      </c>
      <c r="D52" s="29" t="inlineStr">
        <is>
          <t>15472</t>
        </is>
      </c>
      <c r="E52" s="14" t="n">
        <v>2010</v>
      </c>
      <c r="F52" s="11" t="inlineStr">
        <is>
          <t>0…160 кгс/см²</t>
        </is>
      </c>
      <c r="G52" s="71" t="n">
        <v>1.6</v>
      </c>
      <c r="H52" s="15" t="inlineStr">
        <is>
          <t>кран 64-6к</t>
        </is>
      </c>
      <c r="I52" s="8" t="inlineStr">
        <is>
          <t>ГПА 64</t>
        </is>
      </c>
      <c r="J52" s="15" t="inlineStr">
        <is>
          <t>АСУ,А и ТМ (КЦ № 6)</t>
        </is>
      </c>
      <c r="K52" s="15" t="n">
        <v>2013</v>
      </c>
      <c r="L52" s="47" t="n"/>
      <c r="M52" s="47" t="n"/>
      <c r="N52" s="47" t="n"/>
    </row>
    <row r="53" ht="22.5" customHeight="1" s="151">
      <c r="A53" s="15">
        <f>IF(B53&lt;&gt;"", COUNTA($B$2:B53), "")</f>
        <v/>
      </c>
      <c r="B53" s="280" t="inlineStr">
        <is>
          <t>Манометр технический</t>
        </is>
      </c>
      <c r="C53" s="14" t="inlineStr">
        <is>
          <t>Fisher</t>
        </is>
      </c>
      <c r="D53" s="29" t="inlineStr">
        <is>
          <t>15473</t>
        </is>
      </c>
      <c r="E53" s="14" t="n">
        <v>2010</v>
      </c>
      <c r="F53" s="11" t="inlineStr">
        <is>
          <t>0…1000 кПа</t>
        </is>
      </c>
      <c r="G53" s="71" t="n">
        <v>2.5</v>
      </c>
      <c r="H53" s="15" t="inlineStr">
        <is>
          <t>кран 64-6к</t>
        </is>
      </c>
      <c r="I53" s="8" t="inlineStr">
        <is>
          <t>ГПА 64</t>
        </is>
      </c>
      <c r="J53" s="15" t="inlineStr">
        <is>
          <t>АСУ,А и ТМ (КЦ № 6)</t>
        </is>
      </c>
      <c r="K53" s="15" t="n">
        <v>2013</v>
      </c>
      <c r="L53" s="47" t="n"/>
      <c r="M53" s="47" t="n"/>
      <c r="N53" s="47" t="n"/>
    </row>
    <row r="54" ht="22.5" customHeight="1" s="151">
      <c r="A54" s="15">
        <f>IF(B54&lt;&gt;"", COUNTA($B$2:B54), "")</f>
        <v/>
      </c>
      <c r="B54" s="280" t="inlineStr">
        <is>
          <t>Манометр технический</t>
        </is>
      </c>
      <c r="C54" s="14" t="inlineStr">
        <is>
          <t>Fisher</t>
        </is>
      </c>
      <c r="D54" s="29" t="inlineStr">
        <is>
          <t>15474</t>
        </is>
      </c>
      <c r="E54" s="14" t="n">
        <v>2010</v>
      </c>
      <c r="F54" s="11" t="inlineStr">
        <is>
          <t>0…1000 кПа</t>
        </is>
      </c>
      <c r="G54" s="71" t="n">
        <v>2.5</v>
      </c>
      <c r="H54" s="15" t="inlineStr">
        <is>
          <t>кран 64-6к</t>
        </is>
      </c>
      <c r="I54" s="8" t="inlineStr">
        <is>
          <t>ГПА 64</t>
        </is>
      </c>
      <c r="J54" s="15" t="inlineStr">
        <is>
          <t>АСУ,А и ТМ (КЦ № 6)</t>
        </is>
      </c>
      <c r="K54" s="15" t="n">
        <v>2013</v>
      </c>
      <c r="L54" s="47" t="n"/>
      <c r="M54" s="47" t="n"/>
      <c r="N54" s="47" t="n"/>
    </row>
    <row r="55" ht="22.5" customHeight="1" s="151">
      <c r="A55" s="15">
        <f>IF(B55&lt;&gt;"", COUNTA($B$2:B55), "")</f>
        <v/>
      </c>
      <c r="B55" s="280" t="inlineStr">
        <is>
          <t>Манометр технический</t>
        </is>
      </c>
      <c r="C55" s="14" t="inlineStr">
        <is>
          <t>Rotork</t>
        </is>
      </c>
      <c r="D55" s="29" t="inlineStr">
        <is>
          <t>15475</t>
        </is>
      </c>
      <c r="E55" s="14" t="n">
        <v>2010</v>
      </c>
      <c r="F55" s="26" t="inlineStr">
        <is>
          <t xml:space="preserve">0…160 бар                   </t>
        </is>
      </c>
      <c r="G55" s="71" t="n">
        <v>1.6</v>
      </c>
      <c r="H55" s="15" t="inlineStr">
        <is>
          <t>кран 64-6</t>
        </is>
      </c>
      <c r="I55" s="8" t="inlineStr">
        <is>
          <t>ГПА 64</t>
        </is>
      </c>
      <c r="J55" s="15" t="inlineStr">
        <is>
          <t>АСУ,А и ТМ (КЦ № 6)</t>
        </is>
      </c>
      <c r="K55" s="15" t="n">
        <v>2013</v>
      </c>
      <c r="L55" s="47" t="n"/>
      <c r="M55" s="47" t="n"/>
      <c r="N55" s="47" t="n"/>
    </row>
    <row r="56" ht="22.5" customHeight="1" s="151">
      <c r="A56" s="15">
        <f>IF(B56&lt;&gt;"", COUNTA($B$2:B56), "")</f>
        <v/>
      </c>
      <c r="B56" s="280" t="inlineStr">
        <is>
          <t>Манометр технический</t>
        </is>
      </c>
      <c r="C56" s="14" t="inlineStr">
        <is>
          <t>Rotork</t>
        </is>
      </c>
      <c r="D56" s="29" t="inlineStr">
        <is>
          <t>15476</t>
        </is>
      </c>
      <c r="E56" s="14" t="n">
        <v>2010</v>
      </c>
      <c r="F56" s="26" t="inlineStr">
        <is>
          <t xml:space="preserve">0…160 бар                   </t>
        </is>
      </c>
      <c r="G56" s="71" t="n">
        <v>1.6</v>
      </c>
      <c r="H56" s="15" t="inlineStr">
        <is>
          <t>кран 64-2</t>
        </is>
      </c>
      <c r="I56" s="8" t="inlineStr">
        <is>
          <t>ГПА 64</t>
        </is>
      </c>
      <c r="J56" s="15" t="inlineStr">
        <is>
          <t>АСУ,А и ТМ (КЦ № 6)</t>
        </is>
      </c>
      <c r="K56" s="15" t="n">
        <v>2013</v>
      </c>
      <c r="L56" s="47" t="n"/>
      <c r="M56" s="47" t="n"/>
      <c r="N56" s="47" t="n"/>
    </row>
    <row r="57" ht="22.5" customHeight="1" s="151">
      <c r="A57" s="15">
        <f>IF(B57&lt;&gt;"", COUNTA($B$2:B57), "")</f>
        <v/>
      </c>
      <c r="B57" s="280" t="inlineStr">
        <is>
          <t>Манометр технический</t>
        </is>
      </c>
      <c r="C57" s="14" t="inlineStr">
        <is>
          <t>Rotork</t>
        </is>
      </c>
      <c r="D57" s="29" t="inlineStr">
        <is>
          <t>15443</t>
        </is>
      </c>
      <c r="E57" s="10" t="n">
        <v>2010</v>
      </c>
      <c r="F57" s="11" t="inlineStr">
        <is>
          <t>0..160 bar</t>
        </is>
      </c>
      <c r="G57" s="71" t="n">
        <v>1.6</v>
      </c>
      <c r="H57" s="15" t="inlineStr">
        <is>
          <t>кран 36</t>
        </is>
      </c>
      <c r="I57" s="15" t="inlineStr">
        <is>
          <t>Цех № 6</t>
        </is>
      </c>
      <c r="J57" s="15" t="inlineStr">
        <is>
          <t>АСУ,А и ТМ (КЦ № 6)</t>
        </is>
      </c>
      <c r="K57" s="15" t="n">
        <v>2013</v>
      </c>
      <c r="L57" s="47" t="n"/>
      <c r="M57" s="47" t="n"/>
      <c r="N57" s="47" t="n"/>
    </row>
    <row r="58" ht="22.5" customHeight="1" s="151">
      <c r="A58" s="15">
        <f>IF(B58&lt;&gt;"", COUNTA($B$2:B58), "")</f>
        <v/>
      </c>
      <c r="B58" s="280" t="inlineStr">
        <is>
          <t>Манометр технический</t>
        </is>
      </c>
      <c r="C58" s="14" t="inlineStr">
        <is>
          <t>EN 837-1</t>
        </is>
      </c>
      <c r="D58" s="29" t="inlineStr">
        <is>
          <t>15561</t>
        </is>
      </c>
      <c r="E58" s="10" t="n">
        <v>2010</v>
      </c>
      <c r="F58" s="26" t="inlineStr">
        <is>
          <t xml:space="preserve">0…16 бар                   </t>
        </is>
      </c>
      <c r="G58" s="71" t="n">
        <v>1.5</v>
      </c>
      <c r="H58" s="15" t="inlineStr">
        <is>
          <t>кран 36к</t>
        </is>
      </c>
      <c r="I58" s="15" t="inlineStr">
        <is>
          <t>Цех № 6</t>
        </is>
      </c>
      <c r="J58" s="15" t="inlineStr">
        <is>
          <t>АСУ,А и ТМ (КЦ № 6)</t>
        </is>
      </c>
      <c r="K58" s="15" t="n">
        <v>2013</v>
      </c>
      <c r="L58" s="47" t="n"/>
      <c r="M58" s="47" t="n"/>
      <c r="N58" s="47" t="n"/>
    </row>
    <row r="59" ht="22.5" customHeight="1" s="151">
      <c r="A59" s="15">
        <f>IF(B59&lt;&gt;"", COUNTA($B$2:B59), "")</f>
        <v/>
      </c>
      <c r="B59" s="280" t="inlineStr">
        <is>
          <t>Манометр технический</t>
        </is>
      </c>
      <c r="C59" s="14" t="inlineStr">
        <is>
          <t>Fisher</t>
        </is>
      </c>
      <c r="D59" s="29" t="inlineStr">
        <is>
          <t>15445</t>
        </is>
      </c>
      <c r="E59" s="10" t="n">
        <v>2010</v>
      </c>
      <c r="F59" s="11" t="inlineStr">
        <is>
          <t>0…160 кгс/см²</t>
        </is>
      </c>
      <c r="G59" s="71" t="n">
        <v>1.6</v>
      </c>
      <c r="H59" s="15" t="inlineStr">
        <is>
          <t>кран 36к</t>
        </is>
      </c>
      <c r="I59" s="15" t="inlineStr">
        <is>
          <t>Цех № 6</t>
        </is>
      </c>
      <c r="J59" s="15" t="inlineStr">
        <is>
          <t>АСУ,А и ТМ (КЦ № 6)</t>
        </is>
      </c>
      <c r="K59" s="15" t="n">
        <v>2013</v>
      </c>
      <c r="L59" s="47" t="n"/>
      <c r="M59" s="47" t="n"/>
      <c r="N59" s="47" t="n"/>
    </row>
    <row r="60" ht="22.5" customHeight="1" s="151">
      <c r="A60" s="15">
        <f>IF(B60&lt;&gt;"", COUNTA($B$2:B60), "")</f>
        <v/>
      </c>
      <c r="B60" s="280" t="inlineStr">
        <is>
          <t>Манометр технический</t>
        </is>
      </c>
      <c r="C60" s="14" t="inlineStr">
        <is>
          <t>Fisher</t>
        </is>
      </c>
      <c r="D60" s="29" t="inlineStr">
        <is>
          <t>15446</t>
        </is>
      </c>
      <c r="E60" s="10" t="n">
        <v>2010</v>
      </c>
      <c r="F60" s="11" t="inlineStr">
        <is>
          <t>0…1000 кПа</t>
        </is>
      </c>
      <c r="G60" s="71" t="n">
        <v>2.5</v>
      </c>
      <c r="H60" s="15" t="inlineStr">
        <is>
          <t>кран 36к</t>
        </is>
      </c>
      <c r="I60" s="15" t="inlineStr">
        <is>
          <t>Цех № 6</t>
        </is>
      </c>
      <c r="J60" s="15" t="inlineStr">
        <is>
          <t>АСУ,А и ТМ (КЦ № 6)</t>
        </is>
      </c>
      <c r="K60" s="15" t="n">
        <v>2013</v>
      </c>
      <c r="L60" s="47" t="n"/>
      <c r="M60" s="47" t="n"/>
      <c r="N60" s="47" t="n"/>
    </row>
    <row r="61" ht="22.5" customHeight="1" s="151">
      <c r="A61" s="15">
        <f>IF(B61&lt;&gt;"", COUNTA($B$2:B61), "")</f>
        <v/>
      </c>
      <c r="B61" s="280" t="inlineStr">
        <is>
          <t>Манометр технический</t>
        </is>
      </c>
      <c r="C61" s="14" t="inlineStr">
        <is>
          <t>Fisher</t>
        </is>
      </c>
      <c r="D61" s="29" t="inlineStr">
        <is>
          <t>15447</t>
        </is>
      </c>
      <c r="E61" s="10" t="n">
        <v>2010</v>
      </c>
      <c r="F61" s="11" t="inlineStr">
        <is>
          <t>0…1000 кПа</t>
        </is>
      </c>
      <c r="G61" s="71" t="n">
        <v>2.5</v>
      </c>
      <c r="H61" s="15" t="inlineStr">
        <is>
          <t>кран 36к</t>
        </is>
      </c>
      <c r="I61" s="15" t="inlineStr">
        <is>
          <t>Цех № 6</t>
        </is>
      </c>
      <c r="J61" s="15" t="inlineStr">
        <is>
          <t>АСУ,А и ТМ (КЦ № 6)</t>
        </is>
      </c>
      <c r="K61" s="15" t="n">
        <v>2013</v>
      </c>
      <c r="L61" s="47" t="n"/>
      <c r="M61" s="47" t="n"/>
      <c r="N61" s="47" t="n"/>
    </row>
    <row r="62" ht="22.5" customHeight="1" s="151">
      <c r="A62" s="15">
        <f>IF(B62&lt;&gt;"", COUNTA($B$2:B62), "")</f>
        <v/>
      </c>
      <c r="B62" s="280" t="inlineStr">
        <is>
          <t>Манометр технический</t>
        </is>
      </c>
      <c r="C62" s="14" t="inlineStr">
        <is>
          <t>Rotork</t>
        </is>
      </c>
      <c r="D62" s="29" t="inlineStr">
        <is>
          <t>15448</t>
        </is>
      </c>
      <c r="E62" s="10" t="n">
        <v>2010</v>
      </c>
      <c r="F62" s="26" t="inlineStr">
        <is>
          <t xml:space="preserve">0…160 бар                   </t>
        </is>
      </c>
      <c r="G62" s="71" t="n">
        <v>1.6</v>
      </c>
      <c r="H62" s="15" t="inlineStr">
        <is>
          <t>кран 36р</t>
        </is>
      </c>
      <c r="I62" s="15" t="inlineStr">
        <is>
          <t>Цех № 6</t>
        </is>
      </c>
      <c r="J62" s="15" t="inlineStr">
        <is>
          <t>АСУ,А и ТМ (КЦ № 6)</t>
        </is>
      </c>
      <c r="K62" s="15" t="n">
        <v>2013</v>
      </c>
      <c r="L62" s="47" t="n"/>
      <c r="M62" s="47" t="n"/>
      <c r="N62" s="47" t="n"/>
    </row>
    <row r="63" ht="22.5" customHeight="1" s="151">
      <c r="A63" s="15">
        <f>IF(B63&lt;&gt;"", COUNTA($B$2:B63), "")</f>
        <v/>
      </c>
      <c r="B63" s="280" t="inlineStr">
        <is>
          <t>Манометр технический</t>
        </is>
      </c>
      <c r="C63" s="14" t="inlineStr">
        <is>
          <t>Rotork</t>
        </is>
      </c>
      <c r="D63" s="29" t="inlineStr">
        <is>
          <t>15477</t>
        </is>
      </c>
      <c r="E63" s="10" t="n">
        <v>2010</v>
      </c>
      <c r="F63" s="26" t="inlineStr">
        <is>
          <t xml:space="preserve">0…160 бар                   </t>
        </is>
      </c>
      <c r="G63" s="71" t="n">
        <v>1.6</v>
      </c>
      <c r="H63" s="15" t="inlineStr">
        <is>
          <t>кран 86</t>
        </is>
      </c>
      <c r="I63" s="15" t="inlineStr">
        <is>
          <t>Цех № 6</t>
        </is>
      </c>
      <c r="J63" s="15" t="inlineStr">
        <is>
          <t>АСУ,А и ТМ (КЦ № 6)</t>
        </is>
      </c>
      <c r="K63" s="15" t="n">
        <v>2013</v>
      </c>
      <c r="L63" s="47" t="n"/>
      <c r="M63" s="47" t="n"/>
      <c r="N63" s="47" t="n"/>
    </row>
    <row r="64" ht="22.5" customHeight="1" s="151">
      <c r="A64" s="15">
        <f>IF(B64&lt;&gt;"", COUNTA($B$2:B64), "")</f>
        <v/>
      </c>
      <c r="B64" s="280" t="inlineStr">
        <is>
          <t>Манометр технический</t>
        </is>
      </c>
      <c r="C64" s="14" t="inlineStr">
        <is>
          <t>Rotork</t>
        </is>
      </c>
      <c r="D64" s="29" t="inlineStr">
        <is>
          <t>15478</t>
        </is>
      </c>
      <c r="E64" s="10" t="n">
        <v>2010</v>
      </c>
      <c r="F64" s="26" t="inlineStr">
        <is>
          <t xml:space="preserve">0…160 бар                   </t>
        </is>
      </c>
      <c r="G64" s="71" t="n">
        <v>1.6</v>
      </c>
      <c r="H64" s="15" t="inlineStr">
        <is>
          <t>кран 76</t>
        </is>
      </c>
      <c r="I64" s="15" t="inlineStr">
        <is>
          <t>Цех № 6</t>
        </is>
      </c>
      <c r="J64" s="15" t="inlineStr">
        <is>
          <t>АСУ,А и ТМ (КЦ № 6)</t>
        </is>
      </c>
      <c r="K64" s="15" t="n">
        <v>2013</v>
      </c>
      <c r="L64" s="47" t="n"/>
      <c r="M64" s="47" t="n"/>
      <c r="N64" s="47" t="n"/>
    </row>
    <row r="65" ht="22.5" customHeight="1" s="151">
      <c r="A65" s="15">
        <f>IF(B65&lt;&gt;"", COUNTA($B$2:B65), "")</f>
        <v/>
      </c>
      <c r="B65" s="280" t="inlineStr">
        <is>
          <t>Манометр технический</t>
        </is>
      </c>
      <c r="C65" s="26" t="inlineStr">
        <is>
          <t>EN837-1</t>
        </is>
      </c>
      <c r="D65" s="10" t="n">
        <v>15479</v>
      </c>
      <c r="E65" s="10" t="n">
        <v>2010</v>
      </c>
      <c r="F65" s="26" t="inlineStr">
        <is>
          <t xml:space="preserve">0…250 бар                   </t>
        </is>
      </c>
      <c r="G65" s="26" t="n">
        <v>1.6</v>
      </c>
      <c r="H65" s="15" t="inlineStr">
        <is>
          <t xml:space="preserve">Кран 7-1 </t>
        </is>
      </c>
      <c r="I65" s="15" t="inlineStr">
        <is>
          <t>Узел подключения</t>
        </is>
      </c>
      <c r="J65" s="15" t="inlineStr">
        <is>
          <t>АСУ,А и ТМ (КЦ № 6)</t>
        </is>
      </c>
      <c r="K65" s="15" t="n">
        <v>2012</v>
      </c>
      <c r="L65" s="47" t="n"/>
      <c r="M65" s="47" t="n"/>
      <c r="N65" s="47" t="n"/>
    </row>
    <row r="66" ht="22.5" customHeight="1" s="151">
      <c r="A66" s="15">
        <f>IF(B66&lt;&gt;"", COUNTA($B$2:B66), "")</f>
        <v/>
      </c>
      <c r="B66" s="280" t="inlineStr">
        <is>
          <t>Манометр технический</t>
        </is>
      </c>
      <c r="C66" s="26" t="inlineStr">
        <is>
          <t>EN837-1</t>
        </is>
      </c>
      <c r="D66" s="10" t="n">
        <v>15480</v>
      </c>
      <c r="E66" s="10" t="n">
        <v>2010</v>
      </c>
      <c r="F66" s="26" t="inlineStr">
        <is>
          <t xml:space="preserve">0…250 бар                   </t>
        </is>
      </c>
      <c r="G66" s="26" t="n">
        <v>1.6</v>
      </c>
      <c r="H66" s="15" t="inlineStr">
        <is>
          <t xml:space="preserve">Кран 17 </t>
        </is>
      </c>
      <c r="I66" s="15" t="inlineStr">
        <is>
          <t>Узел подключения</t>
        </is>
      </c>
      <c r="J66" s="15" t="inlineStr">
        <is>
          <t>АСУ,А и ТМ (КЦ № 6)</t>
        </is>
      </c>
      <c r="K66" s="15" t="n">
        <v>2012</v>
      </c>
      <c r="L66" s="47" t="n"/>
      <c r="M66" s="47" t="n"/>
      <c r="N66" s="47" t="n"/>
    </row>
    <row r="67" ht="22.5" customHeight="1" s="151">
      <c r="A67" s="15">
        <f>IF(B67&lt;&gt;"", COUNTA($B$2:B67), "")</f>
        <v/>
      </c>
      <c r="B67" s="280" t="inlineStr">
        <is>
          <t>Манометр технический</t>
        </is>
      </c>
      <c r="C67" s="26" t="inlineStr">
        <is>
          <t>EN837-1</t>
        </is>
      </c>
      <c r="D67" s="10" t="n">
        <v>15481</v>
      </c>
      <c r="E67" s="10" t="n">
        <v>2010</v>
      </c>
      <c r="F67" s="26" t="inlineStr">
        <is>
          <t xml:space="preserve">0…250 бар                   </t>
        </is>
      </c>
      <c r="G67" s="26" t="n">
        <v>1.6</v>
      </c>
      <c r="H67" s="15" t="inlineStr">
        <is>
          <t xml:space="preserve">Кран 8 </t>
        </is>
      </c>
      <c r="I67" s="15" t="inlineStr">
        <is>
          <t>Узел подключения</t>
        </is>
      </c>
      <c r="J67" s="15" t="inlineStr">
        <is>
          <t>АСУ,А и ТМ (КЦ № 6)</t>
        </is>
      </c>
      <c r="K67" s="15" t="n">
        <v>2012</v>
      </c>
      <c r="L67" s="47" t="n"/>
      <c r="M67" s="47" t="n"/>
      <c r="N67" s="47" t="n"/>
    </row>
    <row r="68" ht="22.5" customHeight="1" s="151">
      <c r="A68" s="15">
        <f>IF(B68&lt;&gt;"", COUNTA($B$2:B68), "")</f>
        <v/>
      </c>
      <c r="B68" s="44" t="inlineStr">
        <is>
          <t>Манометр технический</t>
        </is>
      </c>
      <c r="C68" s="205" t="inlineStr">
        <is>
          <t>EN837-1</t>
        </is>
      </c>
      <c r="D68" s="45" t="n">
        <v>15482</v>
      </c>
      <c r="E68" s="45" t="n">
        <v>2010</v>
      </c>
      <c r="F68" s="26" t="inlineStr">
        <is>
          <t xml:space="preserve">0…250 бар                   </t>
        </is>
      </c>
      <c r="G68" s="205" t="n">
        <v>1.6</v>
      </c>
      <c r="H68" s="41" t="inlineStr">
        <is>
          <t xml:space="preserve">Кран 18 </t>
        </is>
      </c>
      <c r="I68" s="41" t="inlineStr">
        <is>
          <t>Узел подключения</t>
        </is>
      </c>
      <c r="J68" s="41" t="inlineStr">
        <is>
          <t>АСУ,А и ТМ (КЦ № 6)</t>
        </is>
      </c>
      <c r="K68" s="41" t="n">
        <v>2012</v>
      </c>
      <c r="L68" s="47" t="n"/>
      <c r="M68" s="47" t="n"/>
      <c r="N68" s="47" t="n"/>
    </row>
    <row r="69">
      <c r="A69" s="15" t="n"/>
      <c r="B69" s="280" t="inlineStr">
        <is>
          <t>КЦ 7</t>
        </is>
      </c>
      <c r="C69" s="286" t="n"/>
      <c r="D69" s="286" t="n"/>
      <c r="E69" s="286" t="n"/>
      <c r="F69" s="286" t="n"/>
      <c r="G69" s="286" t="n"/>
      <c r="H69" s="286" t="n"/>
      <c r="I69" s="286" t="n"/>
      <c r="J69" s="286" t="n"/>
      <c r="K69" s="286" t="n"/>
      <c r="L69" s="286" t="n"/>
      <c r="M69" s="286" t="n"/>
      <c r="N69" s="287" t="n"/>
    </row>
    <row r="70" ht="22.5" customHeight="1" s="151">
      <c r="A70" s="15">
        <f>IF(B70&lt;&gt;"", COUNTA($B$2:B70), "")</f>
        <v/>
      </c>
      <c r="B70" s="200" t="inlineStr">
        <is>
          <t>Манометр технический</t>
        </is>
      </c>
      <c r="C70" s="14" t="inlineStr">
        <is>
          <t>EN 837-1</t>
        </is>
      </c>
      <c r="D70" s="17" t="inlineStr">
        <is>
          <t>К671</t>
        </is>
      </c>
      <c r="E70" s="70" t="n">
        <v>2018</v>
      </c>
      <c r="F70" s="26" t="inlineStr">
        <is>
          <t xml:space="preserve">0…10 бар                   </t>
        </is>
      </c>
      <c r="G70" s="71" t="n">
        <v>1.6</v>
      </c>
      <c r="H70" s="175" t="inlineStr">
        <is>
          <t>P воды в установке промывки</t>
        </is>
      </c>
      <c r="I70" s="8" t="inlineStr">
        <is>
          <t>ГПА 71</t>
        </is>
      </c>
      <c r="J70" s="15" t="inlineStr">
        <is>
          <t>АСУ,А и ТМ (КЦ № 7)</t>
        </is>
      </c>
      <c r="K70" s="15" t="inlineStr">
        <is>
          <t>2020г.</t>
        </is>
      </c>
      <c r="L70" s="47" t="n"/>
      <c r="M70" s="47" t="n"/>
      <c r="N70" s="47" t="n"/>
    </row>
    <row r="71" ht="22.5" customHeight="1" s="151">
      <c r="A71" s="15">
        <f>IF(B71&lt;&gt;"", COUNTA($B$2:B71), "")</f>
        <v/>
      </c>
      <c r="B71" s="280" t="inlineStr">
        <is>
          <t>Манометр технический</t>
        </is>
      </c>
      <c r="C71" s="14" t="inlineStr">
        <is>
          <t>EN 837-1</t>
        </is>
      </c>
      <c r="D71" s="70" t="inlineStr">
        <is>
          <t>К738</t>
        </is>
      </c>
      <c r="E71" s="70" t="n">
        <v>2018</v>
      </c>
      <c r="F71" s="26" t="inlineStr">
        <is>
          <t xml:space="preserve">0…2,5 бар                   </t>
        </is>
      </c>
      <c r="G71" s="71" t="n">
        <v>1.6</v>
      </c>
      <c r="H71" s="175" t="inlineStr">
        <is>
          <t>P м на выходе блока маслоочистки</t>
        </is>
      </c>
      <c r="I71" s="8" t="inlineStr">
        <is>
          <t>БМД 71</t>
        </is>
      </c>
      <c r="J71" s="15" t="inlineStr">
        <is>
          <t>АСУ,А и ТМ (КЦ № 7)</t>
        </is>
      </c>
      <c r="K71" s="15" t="inlineStr">
        <is>
          <t>2020г.</t>
        </is>
      </c>
      <c r="L71" s="47" t="n"/>
      <c r="M71" s="47" t="n"/>
      <c r="N71" s="47" t="n"/>
    </row>
    <row r="72" ht="22.5" customHeight="1" s="151">
      <c r="A72" s="15">
        <f>IF(B72&lt;&gt;"", COUNTA($B$2:B72), "")</f>
        <v/>
      </c>
      <c r="B72" s="280" t="inlineStr">
        <is>
          <t>Манометр технический</t>
        </is>
      </c>
      <c r="C72" s="70" t="inlineStr">
        <is>
          <t>ЭкМ160</t>
        </is>
      </c>
      <c r="D72" s="29" t="inlineStr">
        <is>
          <t>011712358</t>
        </is>
      </c>
      <c r="E72" s="70" t="n">
        <v>2018</v>
      </c>
      <c r="F72" s="70" t="inlineStr">
        <is>
          <t>0…40 МПа</t>
        </is>
      </c>
      <c r="G72" s="71" t="n">
        <v>1.5</v>
      </c>
      <c r="H72" s="175" t="inlineStr">
        <is>
          <t>P м в гидроаккумуляторе крана 2-1</t>
        </is>
      </c>
      <c r="I72" s="8" t="inlineStr">
        <is>
          <t>ГПА 71</t>
        </is>
      </c>
      <c r="J72" s="15" t="inlineStr">
        <is>
          <t>АСУ,А и ТМ (КЦ № 7)</t>
        </is>
      </c>
      <c r="K72" s="15" t="inlineStr">
        <is>
          <t>2020г.</t>
        </is>
      </c>
      <c r="L72" s="47" t="n"/>
      <c r="M72" s="47" t="n"/>
      <c r="N72" s="47" t="n"/>
    </row>
    <row r="73" ht="22.5" customHeight="1" s="151">
      <c r="A73" s="15">
        <f>IF(B73&lt;&gt;"", COUNTA($B$2:B73), "")</f>
        <v/>
      </c>
      <c r="B73" s="280" t="inlineStr">
        <is>
          <t>Манометр технический</t>
        </is>
      </c>
      <c r="C73" s="70" t="inlineStr">
        <is>
          <t>ЭкМ160</t>
        </is>
      </c>
      <c r="D73" s="29" t="inlineStr">
        <is>
          <t>011712368</t>
        </is>
      </c>
      <c r="E73" s="70" t="n">
        <v>2018</v>
      </c>
      <c r="F73" s="70" t="inlineStr">
        <is>
          <t>0…40 МПа</t>
        </is>
      </c>
      <c r="G73" s="71" t="n">
        <v>1.5</v>
      </c>
      <c r="H73" s="175" t="inlineStr">
        <is>
          <t>P м в гидроаккумуляторе крана 1-1</t>
        </is>
      </c>
      <c r="I73" s="8" t="inlineStr">
        <is>
          <t>ГПА 71</t>
        </is>
      </c>
      <c r="J73" s="15" t="inlineStr">
        <is>
          <t>АСУ,А и ТМ (КЦ № 7)</t>
        </is>
      </c>
      <c r="K73" s="15" t="inlineStr">
        <is>
          <t>2020г.</t>
        </is>
      </c>
      <c r="L73" s="47" t="n"/>
      <c r="M73" s="47" t="n"/>
      <c r="N73" s="47" t="n"/>
    </row>
    <row r="74" ht="22.5" customHeight="1" s="151">
      <c r="A74" s="15">
        <f>IF(B74&lt;&gt;"", COUNTA($B$2:B74), "")</f>
        <v/>
      </c>
      <c r="B74" s="280" t="inlineStr">
        <is>
          <t>Манометр технический</t>
        </is>
      </c>
      <c r="C74" s="70" t="inlineStr">
        <is>
          <t>ЭкМ160</t>
        </is>
      </c>
      <c r="D74" s="17" t="inlineStr">
        <is>
          <t>011712373</t>
        </is>
      </c>
      <c r="E74" s="70" t="n">
        <v>2018</v>
      </c>
      <c r="F74" s="70" t="inlineStr">
        <is>
          <t>0…40 МПа</t>
        </is>
      </c>
      <c r="G74" s="71" t="n">
        <v>1.5</v>
      </c>
      <c r="H74" s="175" t="inlineStr">
        <is>
          <t>P м в гидроаккумуляторе крана 1</t>
        </is>
      </c>
      <c r="I74" s="8" t="inlineStr">
        <is>
          <t>ГПА 71</t>
        </is>
      </c>
      <c r="J74" s="15" t="inlineStr">
        <is>
          <t>АСУ,А и ТМ (КЦ № 7)</t>
        </is>
      </c>
      <c r="K74" s="15" t="inlineStr">
        <is>
          <t>2020г.</t>
        </is>
      </c>
      <c r="L74" s="47" t="n"/>
      <c r="M74" s="47" t="n"/>
      <c r="N74" s="47" t="n"/>
    </row>
    <row r="75" ht="22.5" customHeight="1" s="151">
      <c r="A75" s="15">
        <f>IF(B75&lt;&gt;"", COUNTA($B$2:B75), "")</f>
        <v/>
      </c>
      <c r="B75" s="280" t="inlineStr">
        <is>
          <t>Манометр технический</t>
        </is>
      </c>
      <c r="C75" s="70" t="inlineStr">
        <is>
          <t>ЭкМ160</t>
        </is>
      </c>
      <c r="D75" s="17" t="inlineStr">
        <is>
          <t>011712360</t>
        </is>
      </c>
      <c r="E75" s="70" t="n">
        <v>2018</v>
      </c>
      <c r="F75" s="70" t="inlineStr">
        <is>
          <t>0…40 МПа</t>
        </is>
      </c>
      <c r="G75" s="71" t="n">
        <v>1.5</v>
      </c>
      <c r="H75" s="175" t="inlineStr">
        <is>
          <t>P м в гидроаккумуляторе крана 2</t>
        </is>
      </c>
      <c r="I75" s="8" t="inlineStr">
        <is>
          <t>ГПА 71</t>
        </is>
      </c>
      <c r="J75" s="15" t="inlineStr">
        <is>
          <t>АСУ,А и ТМ (КЦ № 7)</t>
        </is>
      </c>
      <c r="K75" s="15" t="inlineStr">
        <is>
          <t>2020г.</t>
        </is>
      </c>
      <c r="L75" s="47" t="n"/>
      <c r="M75" s="47" t="n"/>
      <c r="N75" s="47" t="n"/>
    </row>
    <row r="76" ht="22.5" customHeight="1" s="151">
      <c r="A76" s="15">
        <f>IF(B76&lt;&gt;"", COUNTA($B$2:B76), "")</f>
        <v/>
      </c>
      <c r="B76" s="280" t="inlineStr">
        <is>
          <t>Манометр технический</t>
        </is>
      </c>
      <c r="C76" s="14" t="inlineStr">
        <is>
          <t>EN 837-1</t>
        </is>
      </c>
      <c r="D76" s="70" t="n">
        <v>113550</v>
      </c>
      <c r="E76" s="70" t="n">
        <v>2018</v>
      </c>
      <c r="F76" s="26" t="inlineStr">
        <is>
          <t xml:space="preserve">0…160 бар                   </t>
        </is>
      </c>
      <c r="G76" s="71" t="n">
        <v>1.6</v>
      </c>
      <c r="H76" s="175" t="inlineStr">
        <is>
          <t>P г до регулятора высокого давления 3бис</t>
        </is>
      </c>
      <c r="I76" s="8" t="inlineStr">
        <is>
          <t>ГПА 71</t>
        </is>
      </c>
      <c r="J76" s="15" t="inlineStr">
        <is>
          <t>АСУ,А и ТМ (КЦ № 7)</t>
        </is>
      </c>
      <c r="K76" s="15" t="inlineStr">
        <is>
          <t>2020г.</t>
        </is>
      </c>
      <c r="L76" s="47" t="n"/>
      <c r="M76" s="47" t="n"/>
      <c r="N76" s="47" t="n"/>
    </row>
    <row r="77" ht="22.5" customHeight="1" s="151">
      <c r="A77" s="15">
        <f>IF(B77&lt;&gt;"", COUNTA($B$2:B77), "")</f>
        <v/>
      </c>
      <c r="B77" s="280" t="inlineStr">
        <is>
          <t>Манометр технический</t>
        </is>
      </c>
      <c r="C77" s="14" t="inlineStr">
        <is>
          <t>EN 837-1</t>
        </is>
      </c>
      <c r="D77" s="70" t="n">
        <v>113528</v>
      </c>
      <c r="E77" s="70" t="n">
        <v>2018</v>
      </c>
      <c r="F77" s="26" t="inlineStr">
        <is>
          <t xml:space="preserve">0…60 бар                   </t>
        </is>
      </c>
      <c r="G77" s="71" t="n">
        <v>1.6</v>
      </c>
      <c r="H77" s="175" t="inlineStr">
        <is>
          <t>P г после регулятора высокого давления 3бис</t>
        </is>
      </c>
      <c r="I77" s="8" t="inlineStr">
        <is>
          <t>ГПА 71</t>
        </is>
      </c>
      <c r="J77" s="15" t="inlineStr">
        <is>
          <t>АСУ,А и ТМ (КЦ № 7)</t>
        </is>
      </c>
      <c r="K77" s="15" t="inlineStr">
        <is>
          <t>2020г.</t>
        </is>
      </c>
      <c r="L77" s="47" t="n"/>
      <c r="M77" s="47" t="n"/>
      <c r="N77" s="47" t="n"/>
    </row>
    <row r="78" ht="22.5" customHeight="1" s="151">
      <c r="A78" s="15">
        <f>IF(B78&lt;&gt;"", COUNTA($B$2:B78), "")</f>
        <v/>
      </c>
      <c r="B78" s="280" t="inlineStr">
        <is>
          <t>Манометр технический</t>
        </is>
      </c>
      <c r="C78" s="70" t="inlineStr">
        <is>
          <t>Bifold</t>
        </is>
      </c>
      <c r="D78" s="70" t="inlineStr">
        <is>
          <t>36398/1195</t>
        </is>
      </c>
      <c r="E78" s="70" t="n">
        <v>2018</v>
      </c>
      <c r="F78" s="26" t="inlineStr">
        <is>
          <t xml:space="preserve">0…10 бар                   </t>
        </is>
      </c>
      <c r="G78" s="71" t="n"/>
      <c r="H78" s="175" t="inlineStr">
        <is>
          <t>Шкаф управления краном 3бис</t>
        </is>
      </c>
      <c r="I78" s="8" t="inlineStr">
        <is>
          <t>ГПА 71</t>
        </is>
      </c>
      <c r="J78" s="15" t="inlineStr">
        <is>
          <t>АСУ,А и ТМ (КЦ № 7)</t>
        </is>
      </c>
      <c r="K78" s="15" t="inlineStr">
        <is>
          <t>2020г.</t>
        </is>
      </c>
      <c r="L78" s="47" t="n"/>
      <c r="M78" s="47" t="n"/>
      <c r="N78" s="47" t="n"/>
    </row>
    <row r="79" ht="22.5" customHeight="1" s="151">
      <c r="A79" s="15">
        <f>IF(B79&lt;&gt;"", COUNTA($B$2:B79), "")</f>
        <v/>
      </c>
      <c r="B79" s="280" t="inlineStr">
        <is>
          <t>Манометр технический</t>
        </is>
      </c>
      <c r="C79" s="14" t="inlineStr">
        <is>
          <t>EN 837-1</t>
        </is>
      </c>
      <c r="D79" s="70" t="n">
        <v>113538</v>
      </c>
      <c r="E79" s="70" t="n">
        <v>2018</v>
      </c>
      <c r="F79" s="26" t="inlineStr">
        <is>
          <t xml:space="preserve">0…60 бар                   </t>
        </is>
      </c>
      <c r="G79" s="71" t="n">
        <v>1.6</v>
      </c>
      <c r="H79" s="175" t="inlineStr">
        <is>
          <t>P г в аккумуляторе крана 3бис</t>
        </is>
      </c>
      <c r="I79" s="8" t="inlineStr">
        <is>
          <t>ГПА 71</t>
        </is>
      </c>
      <c r="J79" s="15" t="inlineStr">
        <is>
          <t>АСУ,А и ТМ (КЦ № 7)</t>
        </is>
      </c>
      <c r="K79" s="15" t="inlineStr">
        <is>
          <t>2020г.</t>
        </is>
      </c>
      <c r="L79" s="47" t="n"/>
      <c r="M79" s="47" t="n"/>
      <c r="N79" s="47" t="n"/>
    </row>
    <row r="80" ht="22.5" customHeight="1" s="151">
      <c r="A80" s="15">
        <f>IF(B80&lt;&gt;"", COUNTA($B$2:B80), "")</f>
        <v/>
      </c>
      <c r="B80" s="280" t="inlineStr">
        <is>
          <t>Манометр технический</t>
        </is>
      </c>
      <c r="C80" s="70" t="inlineStr">
        <is>
          <t>EN 837-1</t>
        </is>
      </c>
      <c r="D80" s="29" t="inlineStr">
        <is>
          <t>2014113</t>
        </is>
      </c>
      <c r="E80" s="70" t="n">
        <v>2018</v>
      </c>
      <c r="F80" s="26" t="inlineStr">
        <is>
          <t xml:space="preserve">0…160 бар                   </t>
        </is>
      </c>
      <c r="G80" s="71" t="n">
        <v>1.6</v>
      </c>
      <c r="H80" s="175" t="inlineStr">
        <is>
          <t>P г до регулятора высокого давления 6к</t>
        </is>
      </c>
      <c r="I80" s="8" t="inlineStr">
        <is>
          <t>ГПА 71</t>
        </is>
      </c>
      <c r="J80" s="15" t="inlineStr">
        <is>
          <t>АСУ,А и ТМ (КЦ № 7)</t>
        </is>
      </c>
      <c r="K80" s="15" t="n"/>
      <c r="L80" s="47" t="n"/>
      <c r="M80" s="47" t="n"/>
      <c r="N80" s="47" t="n"/>
    </row>
    <row r="81" ht="22.5" customHeight="1" s="151">
      <c r="A81" s="15">
        <f>IF(B81&lt;&gt;"", COUNTA($B$2:B81), "")</f>
        <v/>
      </c>
      <c r="B81" s="280" t="inlineStr">
        <is>
          <t>Манометр технический</t>
        </is>
      </c>
      <c r="C81" s="70" t="inlineStr">
        <is>
          <t>EN 837-1</t>
        </is>
      </c>
      <c r="D81" s="29" t="inlineStr">
        <is>
          <t>700294</t>
        </is>
      </c>
      <c r="E81" s="70" t="n">
        <v>2018</v>
      </c>
      <c r="F81" s="26" t="inlineStr">
        <is>
          <t xml:space="preserve">0…40 бар                   </t>
        </is>
      </c>
      <c r="G81" s="71" t="n">
        <v>1.6</v>
      </c>
      <c r="H81" s="175" t="inlineStr">
        <is>
          <t>P г после регулятора высокого давления 6к</t>
        </is>
      </c>
      <c r="I81" s="8" t="inlineStr">
        <is>
          <t>ГПА 71</t>
        </is>
      </c>
      <c r="J81" s="15" t="inlineStr">
        <is>
          <t>АСУ,А и ТМ (КЦ № 7)</t>
        </is>
      </c>
      <c r="K81" s="15" t="n"/>
      <c r="L81" s="47" t="n"/>
      <c r="M81" s="47" t="n"/>
      <c r="N81" s="47" t="n"/>
    </row>
    <row r="82" ht="22.5" customHeight="1" s="151">
      <c r="A82" s="15">
        <f>IF(B82&lt;&gt;"", COUNTA($B$2:B82), "")</f>
        <v/>
      </c>
      <c r="B82" s="280" t="inlineStr">
        <is>
          <t>Манометр технический</t>
        </is>
      </c>
      <c r="C82" s="70" t="inlineStr">
        <is>
          <t>EN 837-1</t>
        </is>
      </c>
      <c r="D82" s="29" t="inlineStr">
        <is>
          <t>700295</t>
        </is>
      </c>
      <c r="E82" s="70" t="n">
        <v>2018</v>
      </c>
      <c r="F82" s="26" t="inlineStr">
        <is>
          <t xml:space="preserve">0…100 бар                   </t>
        </is>
      </c>
      <c r="G82" s="71" t="n">
        <v>1.6</v>
      </c>
      <c r="H82" s="175" t="inlineStr">
        <is>
          <t>P г в аккумуляторе крана 6к</t>
        </is>
      </c>
      <c r="I82" s="8" t="inlineStr">
        <is>
          <t>ГПА 71</t>
        </is>
      </c>
      <c r="J82" s="15" t="inlineStr">
        <is>
          <t>АСУ,А и ТМ (КЦ № 7)</t>
        </is>
      </c>
      <c r="K82" s="15" t="n"/>
      <c r="L82" s="47" t="n"/>
      <c r="M82" s="47" t="n"/>
      <c r="N82" s="47" t="n"/>
    </row>
    <row r="83" ht="22.5" customHeight="1" s="151">
      <c r="A83" s="15">
        <f>IF(B83&lt;&gt;"", COUNTA($B$2:B83), "")</f>
        <v/>
      </c>
      <c r="B83" s="280" t="inlineStr">
        <is>
          <t>Манометр технический</t>
        </is>
      </c>
      <c r="C83" s="70" t="inlineStr">
        <is>
          <t>Bifold</t>
        </is>
      </c>
      <c r="D83" s="17" t="inlineStr">
        <is>
          <t>36398/2391</t>
        </is>
      </c>
      <c r="E83" s="70" t="n">
        <v>2018</v>
      </c>
      <c r="F83" s="26" t="inlineStr">
        <is>
          <t xml:space="preserve">0…10 бар                   </t>
        </is>
      </c>
      <c r="G83" s="71" t="n"/>
      <c r="H83" s="175" t="inlineStr">
        <is>
          <t>P в фильтре крана 6к</t>
        </is>
      </c>
      <c r="I83" s="8" t="inlineStr">
        <is>
          <t>ГПА 71</t>
        </is>
      </c>
      <c r="J83" s="15" t="inlineStr">
        <is>
          <t>АСУ,А и ТМ (КЦ № 7)</t>
        </is>
      </c>
      <c r="K83" s="15" t="n"/>
      <c r="L83" s="47" t="n"/>
      <c r="M83" s="47" t="n"/>
      <c r="N83" s="47" t="n"/>
    </row>
    <row r="84" ht="22.5" customHeight="1" s="151">
      <c r="A84" s="15">
        <f>IF(B84&lt;&gt;"", COUNTA($B$2:B84), "")</f>
        <v/>
      </c>
      <c r="B84" s="280" t="inlineStr">
        <is>
          <t>Манометр технический</t>
        </is>
      </c>
      <c r="C84" s="70" t="inlineStr">
        <is>
          <t>Bifold</t>
        </is>
      </c>
      <c r="D84" s="29" t="inlineStr">
        <is>
          <t>700296</t>
        </is>
      </c>
      <c r="E84" s="70" t="n">
        <v>2018</v>
      </c>
      <c r="F84" s="26" t="inlineStr">
        <is>
          <t xml:space="preserve">0…8 бар                   </t>
        </is>
      </c>
      <c r="G84" s="71" t="n"/>
      <c r="H84" s="175" t="inlineStr">
        <is>
          <t>Шкаф управления краном 6к</t>
        </is>
      </c>
      <c r="I84" s="8" t="inlineStr">
        <is>
          <t>ГПА 71</t>
        </is>
      </c>
      <c r="J84" s="15" t="inlineStr">
        <is>
          <t>АСУ,А и ТМ (КЦ № 7)</t>
        </is>
      </c>
      <c r="K84" s="15" t="n"/>
      <c r="L84" s="47" t="n"/>
      <c r="M84" s="47" t="n"/>
      <c r="N84" s="47" t="n"/>
    </row>
    <row r="85" ht="22.5" customHeight="1" s="151">
      <c r="A85" s="15">
        <f>IF(B85&lt;&gt;"", COUNTA($B$2:B85), "")</f>
        <v/>
      </c>
      <c r="B85" s="280" t="inlineStr">
        <is>
          <t>Манометр технический</t>
        </is>
      </c>
      <c r="C85" s="70" t="inlineStr">
        <is>
          <t>Bifold</t>
        </is>
      </c>
      <c r="D85" s="29" t="inlineStr">
        <is>
          <t>700297</t>
        </is>
      </c>
      <c r="E85" s="70" t="n">
        <v>2018</v>
      </c>
      <c r="F85" s="26" t="inlineStr">
        <is>
          <t xml:space="preserve">0…8 бар                   </t>
        </is>
      </c>
      <c r="G85" s="71" t="n"/>
      <c r="H85" s="175" t="inlineStr">
        <is>
          <t>Шкаф управления краном 6к</t>
        </is>
      </c>
      <c r="I85" s="8" t="inlineStr">
        <is>
          <t>ГПА 71</t>
        </is>
      </c>
      <c r="J85" s="15" t="inlineStr">
        <is>
          <t>АСУ,А и ТМ (КЦ № 7)</t>
        </is>
      </c>
      <c r="K85" s="15" t="n"/>
      <c r="L85" s="47" t="n"/>
      <c r="M85" s="47" t="n"/>
      <c r="N85" s="47" t="n"/>
    </row>
    <row r="86" ht="22.5" customHeight="1" s="151">
      <c r="A86" s="15">
        <f>IF(B86&lt;&gt;"", COUNTA($B$2:B86), "")</f>
        <v/>
      </c>
      <c r="B86" s="280" t="inlineStr">
        <is>
          <t>Манометр технический</t>
        </is>
      </c>
      <c r="C86" s="14" t="inlineStr">
        <is>
          <t>EN 837-1</t>
        </is>
      </c>
      <c r="D86" s="17" t="inlineStr">
        <is>
          <t>К650</t>
        </is>
      </c>
      <c r="E86" s="15" t="n"/>
      <c r="F86" s="26" t="inlineStr">
        <is>
          <t xml:space="preserve">0…10 бар                   </t>
        </is>
      </c>
      <c r="G86" s="71" t="n">
        <v>1.6</v>
      </c>
      <c r="H86" s="175" t="inlineStr">
        <is>
          <t>P воды в установке промывки</t>
        </is>
      </c>
      <c r="I86" s="8" t="inlineStr">
        <is>
          <t>ГПА 72</t>
        </is>
      </c>
      <c r="J86" s="15" t="inlineStr">
        <is>
          <t>АСУ,А и ТМ (КЦ № 7)</t>
        </is>
      </c>
      <c r="K86" s="15" t="n"/>
      <c r="L86" s="47" t="n"/>
      <c r="M86" s="47" t="n"/>
      <c r="N86" s="47" t="n"/>
    </row>
    <row r="87" ht="22.5" customHeight="1" s="151">
      <c r="A87" s="15">
        <f>IF(B87&lt;&gt;"", COUNTA($B$2:B87), "")</f>
        <v/>
      </c>
      <c r="B87" s="280" t="inlineStr">
        <is>
          <t>Манометр технический</t>
        </is>
      </c>
      <c r="C87" s="14" t="inlineStr">
        <is>
          <t>EN 837-1</t>
        </is>
      </c>
      <c r="D87" s="70" t="inlineStr">
        <is>
          <t>К744</t>
        </is>
      </c>
      <c r="E87" s="15" t="n"/>
      <c r="F87" s="26" t="inlineStr">
        <is>
          <t xml:space="preserve">0…2,5 бар                   </t>
        </is>
      </c>
      <c r="G87" s="71" t="n">
        <v>1.6</v>
      </c>
      <c r="H87" s="175" t="inlineStr">
        <is>
          <t>P м на выходе блока маслоочистки</t>
        </is>
      </c>
      <c r="I87" s="8" t="inlineStr">
        <is>
          <t>ГПА 72</t>
        </is>
      </c>
      <c r="J87" s="15" t="inlineStr">
        <is>
          <t>АСУ,А и ТМ (КЦ № 7)</t>
        </is>
      </c>
      <c r="K87" s="15" t="n"/>
      <c r="L87" s="47" t="n"/>
      <c r="M87" s="47" t="n"/>
      <c r="N87" s="47" t="n"/>
    </row>
    <row r="88" ht="22.5" customHeight="1" s="151">
      <c r="A88" s="15">
        <f>IF(B88&lt;&gt;"", COUNTA($B$2:B88), "")</f>
        <v/>
      </c>
      <c r="B88" s="280" t="inlineStr">
        <is>
          <t>Манометр технический</t>
        </is>
      </c>
      <c r="C88" s="70" t="inlineStr">
        <is>
          <t>ЭкМ160</t>
        </is>
      </c>
      <c r="D88" s="29" t="inlineStr">
        <is>
          <t>011801507</t>
        </is>
      </c>
      <c r="E88" s="70" t="n"/>
      <c r="F88" s="70" t="inlineStr">
        <is>
          <t>0…40 МПа</t>
        </is>
      </c>
      <c r="G88" s="71" t="n">
        <v>1.5</v>
      </c>
      <c r="H88" s="175" t="inlineStr">
        <is>
          <t>P м в гидроаккумуляторе крана 2-1</t>
        </is>
      </c>
      <c r="I88" s="8" t="inlineStr">
        <is>
          <t>ГПА 72</t>
        </is>
      </c>
      <c r="J88" s="15" t="inlineStr">
        <is>
          <t>АСУ,А и ТМ (КЦ № 7)</t>
        </is>
      </c>
      <c r="K88" s="15" t="n"/>
      <c r="L88" s="47" t="n"/>
      <c r="M88" s="47" t="n"/>
      <c r="N88" s="47" t="n"/>
    </row>
    <row r="89" ht="22.5" customHeight="1" s="151">
      <c r="A89" s="15">
        <f>IF(B89&lt;&gt;"", COUNTA($B$2:B89), "")</f>
        <v/>
      </c>
      <c r="B89" s="280" t="inlineStr">
        <is>
          <t>Манометр технический</t>
        </is>
      </c>
      <c r="C89" s="70" t="inlineStr">
        <is>
          <t>ЭкМ160</t>
        </is>
      </c>
      <c r="D89" s="29" t="inlineStr">
        <is>
          <t>011801505</t>
        </is>
      </c>
      <c r="E89" s="70" t="n"/>
      <c r="F89" s="70" t="inlineStr">
        <is>
          <t>0…40 МПа</t>
        </is>
      </c>
      <c r="G89" s="71" t="n">
        <v>1.5</v>
      </c>
      <c r="H89" s="175" t="inlineStr">
        <is>
          <t>P м в гидроаккумуляторе крана 1-1</t>
        </is>
      </c>
      <c r="I89" s="8" t="inlineStr">
        <is>
          <t>ГПА 72</t>
        </is>
      </c>
      <c r="J89" s="15" t="inlineStr">
        <is>
          <t>АСУ,А и ТМ (КЦ № 7)</t>
        </is>
      </c>
      <c r="K89" s="15" t="n"/>
      <c r="L89" s="47" t="n"/>
      <c r="M89" s="47" t="n"/>
      <c r="N89" s="47" t="n"/>
    </row>
    <row r="90" ht="22.5" customHeight="1" s="151">
      <c r="A90" s="15">
        <f>IF(B90&lt;&gt;"", COUNTA($B$2:B90), "")</f>
        <v/>
      </c>
      <c r="B90" s="280" t="inlineStr">
        <is>
          <t>Манометр технический</t>
        </is>
      </c>
      <c r="C90" s="70" t="inlineStr">
        <is>
          <t>ЭкМ160</t>
        </is>
      </c>
      <c r="D90" s="17" t="inlineStr">
        <is>
          <t>011712397</t>
        </is>
      </c>
      <c r="E90" s="15" t="n"/>
      <c r="F90" s="70" t="inlineStr">
        <is>
          <t>0…40 МПа</t>
        </is>
      </c>
      <c r="G90" s="71" t="n">
        <v>1.5</v>
      </c>
      <c r="H90" s="175" t="inlineStr">
        <is>
          <t>P м в гидроаккумуляторе крана 1</t>
        </is>
      </c>
      <c r="I90" s="8" t="inlineStr">
        <is>
          <t>ГПА 72</t>
        </is>
      </c>
      <c r="J90" s="15" t="inlineStr">
        <is>
          <t>АСУ,А и ТМ (КЦ № 7)</t>
        </is>
      </c>
      <c r="K90" s="15" t="n"/>
      <c r="L90" s="47" t="n"/>
      <c r="M90" s="47" t="n"/>
      <c r="N90" s="47" t="n"/>
    </row>
    <row r="91" ht="22.5" customHeight="1" s="151">
      <c r="A91" s="15">
        <f>IF(B91&lt;&gt;"", COUNTA($B$2:B91), "")</f>
        <v/>
      </c>
      <c r="B91" s="280" t="inlineStr">
        <is>
          <t>Манометр технический</t>
        </is>
      </c>
      <c r="C91" s="70" t="inlineStr">
        <is>
          <t>ЭкМ160</t>
        </is>
      </c>
      <c r="D91" s="17" t="inlineStr">
        <is>
          <t>011712370</t>
        </is>
      </c>
      <c r="E91" s="15" t="n"/>
      <c r="F91" s="70" t="inlineStr">
        <is>
          <t>0…40 МПа</t>
        </is>
      </c>
      <c r="G91" s="71" t="n">
        <v>1.5</v>
      </c>
      <c r="H91" s="175" t="inlineStr">
        <is>
          <t>P м в гидроаккумуляторе крана 2</t>
        </is>
      </c>
      <c r="I91" s="8" t="inlineStr">
        <is>
          <t>ГПА 72</t>
        </is>
      </c>
      <c r="J91" s="15" t="inlineStr">
        <is>
          <t>АСУ,А и ТМ (КЦ № 7)</t>
        </is>
      </c>
      <c r="K91" s="15" t="n"/>
      <c r="L91" s="47" t="n"/>
      <c r="M91" s="47" t="n"/>
      <c r="N91" s="47" t="n"/>
    </row>
    <row r="92" ht="22.5" customHeight="1" s="151">
      <c r="A92" s="15">
        <f>IF(B92&lt;&gt;"", COUNTA($B$2:B92), "")</f>
        <v/>
      </c>
      <c r="B92" s="280" t="inlineStr">
        <is>
          <t>Манометр технический</t>
        </is>
      </c>
      <c r="C92" s="14" t="inlineStr">
        <is>
          <t>EN 837-1</t>
        </is>
      </c>
      <c r="D92" s="70" t="n">
        <v>113548</v>
      </c>
      <c r="E92" s="70" t="n"/>
      <c r="F92" s="26" t="inlineStr">
        <is>
          <t xml:space="preserve">0…160 бар                   </t>
        </is>
      </c>
      <c r="G92" s="71" t="n">
        <v>1.6</v>
      </c>
      <c r="H92" s="175" t="inlineStr">
        <is>
          <t>P г до регулятора высокого давления 3бис</t>
        </is>
      </c>
      <c r="I92" s="8" t="inlineStr">
        <is>
          <t>ГПА 72</t>
        </is>
      </c>
      <c r="J92" s="15" t="inlineStr">
        <is>
          <t>АСУ,А и ТМ (КЦ № 7)</t>
        </is>
      </c>
      <c r="K92" s="15" t="n"/>
      <c r="L92" s="47" t="n"/>
      <c r="M92" s="47" t="n"/>
      <c r="N92" s="47" t="n"/>
    </row>
    <row r="93" ht="22.5" customHeight="1" s="151">
      <c r="A93" s="15">
        <f>IF(B93&lt;&gt;"", COUNTA($B$2:B93), "")</f>
        <v/>
      </c>
      <c r="B93" s="280" t="inlineStr">
        <is>
          <t>Манометр технический</t>
        </is>
      </c>
      <c r="C93" s="14" t="inlineStr">
        <is>
          <t>EN 837-1</t>
        </is>
      </c>
      <c r="D93" s="70" t="n">
        <v>113542</v>
      </c>
      <c r="E93" s="70" t="n"/>
      <c r="F93" s="26" t="inlineStr">
        <is>
          <t xml:space="preserve">0…40 бар                   </t>
        </is>
      </c>
      <c r="G93" s="71" t="n">
        <v>1.6</v>
      </c>
      <c r="H93" s="175" t="inlineStr">
        <is>
          <t>P г после регулятора высокого давления 3бис</t>
        </is>
      </c>
      <c r="I93" s="8" t="inlineStr">
        <is>
          <t>ГПА 72</t>
        </is>
      </c>
      <c r="J93" s="15" t="inlineStr">
        <is>
          <t>АСУ,А и ТМ (КЦ № 7)</t>
        </is>
      </c>
      <c r="K93" s="15" t="n"/>
      <c r="L93" s="47" t="n"/>
      <c r="M93" s="47" t="n"/>
      <c r="N93" s="47" t="n"/>
    </row>
    <row r="94" ht="22.5" customHeight="1" s="151">
      <c r="A94" s="15">
        <f>IF(B94&lt;&gt;"", COUNTA($B$2:B94), "")</f>
        <v/>
      </c>
      <c r="B94" s="280" t="inlineStr">
        <is>
          <t>Манометр технический</t>
        </is>
      </c>
      <c r="C94" s="70" t="inlineStr">
        <is>
          <t>Bifold</t>
        </is>
      </c>
      <c r="D94" s="70" t="inlineStr">
        <is>
          <t>36398/1199</t>
        </is>
      </c>
      <c r="E94" s="70" t="n"/>
      <c r="F94" s="26" t="inlineStr">
        <is>
          <t xml:space="preserve">0…10 бар                   </t>
        </is>
      </c>
      <c r="G94" s="71" t="n"/>
      <c r="H94" s="175" t="inlineStr">
        <is>
          <t>Шкаф управления краном 3бис</t>
        </is>
      </c>
      <c r="I94" s="8" t="inlineStr">
        <is>
          <t>ГПА 72</t>
        </is>
      </c>
      <c r="J94" s="15" t="inlineStr">
        <is>
          <t>АСУ,А и ТМ (КЦ № 7)</t>
        </is>
      </c>
      <c r="K94" s="15" t="n"/>
      <c r="L94" s="47" t="n"/>
      <c r="M94" s="47" t="n"/>
      <c r="N94" s="47" t="n"/>
    </row>
    <row r="95" ht="22.5" customHeight="1" s="151">
      <c r="A95" s="15">
        <f>IF(B95&lt;&gt;"", COUNTA($B$2:B95), "")</f>
        <v/>
      </c>
      <c r="B95" s="280" t="inlineStr">
        <is>
          <t>Манометр технический</t>
        </is>
      </c>
      <c r="C95" s="14" t="inlineStr">
        <is>
          <t>EN 837-1</t>
        </is>
      </c>
      <c r="D95" s="70" t="n">
        <v>113541</v>
      </c>
      <c r="E95" s="70" t="n"/>
      <c r="F95" s="26" t="inlineStr">
        <is>
          <t xml:space="preserve">0…60 бар                   </t>
        </is>
      </c>
      <c r="G95" s="71" t="n">
        <v>1.6</v>
      </c>
      <c r="H95" s="175" t="inlineStr">
        <is>
          <t>P г в аккумуляторе крана 3бис</t>
        </is>
      </c>
      <c r="I95" s="8" t="inlineStr">
        <is>
          <t>ГПА 72</t>
        </is>
      </c>
      <c r="J95" s="15" t="inlineStr">
        <is>
          <t>АСУ,А и ТМ (КЦ № 7)</t>
        </is>
      </c>
      <c r="K95" s="15" t="n"/>
      <c r="L95" s="47" t="n"/>
      <c r="M95" s="47" t="n"/>
      <c r="N95" s="47" t="n"/>
    </row>
    <row r="96" ht="22.5" customHeight="1" s="151">
      <c r="A96" s="15">
        <f>IF(B96&lt;&gt;"", COUNTA($B$2:B96), "")</f>
        <v/>
      </c>
      <c r="B96" s="280" t="inlineStr">
        <is>
          <t>Манометр технический</t>
        </is>
      </c>
      <c r="C96" s="70" t="inlineStr">
        <is>
          <t>EN 837-1</t>
        </is>
      </c>
      <c r="D96" s="29" t="inlineStr">
        <is>
          <t>2026243</t>
        </is>
      </c>
      <c r="E96" s="70" t="n"/>
      <c r="F96" s="26" t="inlineStr">
        <is>
          <t xml:space="preserve">0…160 бар                   </t>
        </is>
      </c>
      <c r="G96" s="71" t="n">
        <v>1.6</v>
      </c>
      <c r="H96" s="175" t="inlineStr">
        <is>
          <t>P г до регулятора высокого давления 6к</t>
        </is>
      </c>
      <c r="I96" s="8" t="inlineStr">
        <is>
          <t>ГПА 72</t>
        </is>
      </c>
      <c r="J96" s="15" t="inlineStr">
        <is>
          <t>АСУ,А и ТМ (КЦ № 7)</t>
        </is>
      </c>
      <c r="K96" s="15" t="n"/>
      <c r="L96" s="47" t="n"/>
      <c r="M96" s="47" t="n"/>
      <c r="N96" s="47" t="n"/>
    </row>
    <row r="97" ht="22.5" customHeight="1" s="151">
      <c r="A97" s="15">
        <f>IF(B97&lt;&gt;"", COUNTA($B$2:B97), "")</f>
        <v/>
      </c>
      <c r="B97" s="280" t="inlineStr">
        <is>
          <t>Манометр технический</t>
        </is>
      </c>
      <c r="C97" s="70" t="inlineStr">
        <is>
          <t>EN 837-1</t>
        </is>
      </c>
      <c r="D97" s="29" t="inlineStr">
        <is>
          <t>2030441</t>
        </is>
      </c>
      <c r="E97" s="70" t="n"/>
      <c r="F97" s="26" t="inlineStr">
        <is>
          <t xml:space="preserve">0…40 бар                   </t>
        </is>
      </c>
      <c r="G97" s="71" t="n">
        <v>1.6</v>
      </c>
      <c r="H97" s="175" t="inlineStr">
        <is>
          <t>P г после регулятора высокого давления 6к</t>
        </is>
      </c>
      <c r="I97" s="8" t="inlineStr">
        <is>
          <t>ГПА 72</t>
        </is>
      </c>
      <c r="J97" s="15" t="inlineStr">
        <is>
          <t>АСУ,А и ТМ (КЦ № 7)</t>
        </is>
      </c>
      <c r="K97" s="15" t="n"/>
      <c r="L97" s="47" t="n"/>
      <c r="M97" s="47" t="n"/>
      <c r="N97" s="47" t="n"/>
    </row>
    <row r="98" ht="22.5" customHeight="1" s="151">
      <c r="A98" s="15">
        <f>IF(B98&lt;&gt;"", COUNTA($B$2:B98), "")</f>
        <v/>
      </c>
      <c r="B98" s="280" t="inlineStr">
        <is>
          <t>Манометр технический</t>
        </is>
      </c>
      <c r="C98" s="70" t="inlineStr">
        <is>
          <t>EN 837-1</t>
        </is>
      </c>
      <c r="D98" s="17" t="inlineStr">
        <is>
          <t>7000261</t>
        </is>
      </c>
      <c r="E98" s="15" t="n"/>
      <c r="F98" s="26" t="inlineStr">
        <is>
          <t xml:space="preserve">0…100 бар                   </t>
        </is>
      </c>
      <c r="G98" s="71" t="n">
        <v>1.6</v>
      </c>
      <c r="H98" s="175" t="inlineStr">
        <is>
          <t>P г в аккумуляторе крана 6к</t>
        </is>
      </c>
      <c r="I98" s="8" t="inlineStr">
        <is>
          <t>ГПА 72</t>
        </is>
      </c>
      <c r="J98" s="15" t="inlineStr">
        <is>
          <t>АСУ,А и ТМ (КЦ № 7)</t>
        </is>
      </c>
      <c r="K98" s="15" t="n"/>
      <c r="L98" s="47" t="n"/>
      <c r="M98" s="47" t="n"/>
      <c r="N98" s="47" t="n"/>
    </row>
    <row r="99" ht="22.5" customHeight="1" s="151">
      <c r="A99" s="15">
        <f>IF(B99&lt;&gt;"", COUNTA($B$2:B99), "")</f>
        <v/>
      </c>
      <c r="B99" s="280" t="inlineStr">
        <is>
          <t>Манометр технический</t>
        </is>
      </c>
      <c r="C99" s="70" t="inlineStr">
        <is>
          <t>Bifold</t>
        </is>
      </c>
      <c r="D99" s="17" t="inlineStr">
        <is>
          <t>36398/2372</t>
        </is>
      </c>
      <c r="E99" s="15" t="n"/>
      <c r="F99" s="26" t="inlineStr">
        <is>
          <t xml:space="preserve">0…10 бар                   </t>
        </is>
      </c>
      <c r="G99" s="71" t="n"/>
      <c r="H99" s="175" t="inlineStr">
        <is>
          <t>P в фильтре крана 6к</t>
        </is>
      </c>
      <c r="I99" s="8" t="inlineStr">
        <is>
          <t>ГПА 72</t>
        </is>
      </c>
      <c r="J99" s="15" t="inlineStr">
        <is>
          <t>АСУ,А и ТМ (КЦ № 7)</t>
        </is>
      </c>
      <c r="K99" s="15" t="n"/>
      <c r="L99" s="47" t="n"/>
      <c r="M99" s="47" t="n"/>
      <c r="N99" s="47" t="n"/>
    </row>
    <row r="100" ht="22.5" customHeight="1" s="151">
      <c r="A100" s="15">
        <f>IF(B100&lt;&gt;"", COUNTA($B$2:B100), "")</f>
        <v/>
      </c>
      <c r="B100" s="280" t="inlineStr">
        <is>
          <t>Манометр технический</t>
        </is>
      </c>
      <c r="C100" s="70" t="inlineStr">
        <is>
          <t>Bifold</t>
        </is>
      </c>
      <c r="D100" s="14" t="n">
        <v>700298</v>
      </c>
      <c r="E100" s="70" t="n"/>
      <c r="F100" s="26" t="inlineStr">
        <is>
          <t xml:space="preserve">0…8 бар                   </t>
        </is>
      </c>
      <c r="G100" s="71" t="n"/>
      <c r="H100" s="175" t="inlineStr">
        <is>
          <t>Шкаф управления краном 6к</t>
        </is>
      </c>
      <c r="I100" s="8" t="inlineStr">
        <is>
          <t>ГПА 72</t>
        </is>
      </c>
      <c r="J100" s="15" t="inlineStr">
        <is>
          <t>АСУ,А и ТМ (КЦ № 7)</t>
        </is>
      </c>
      <c r="K100" s="15" t="n"/>
      <c r="L100" s="47" t="n"/>
      <c r="M100" s="47" t="n"/>
      <c r="N100" s="47" t="n"/>
    </row>
    <row r="101" ht="22.5" customHeight="1" s="151">
      <c r="A101" s="15">
        <f>IF(B101&lt;&gt;"", COUNTA($B$2:B101), "")</f>
        <v/>
      </c>
      <c r="B101" s="280" t="inlineStr">
        <is>
          <t>Манометр технический</t>
        </is>
      </c>
      <c r="C101" s="70" t="inlineStr">
        <is>
          <t>Bifold</t>
        </is>
      </c>
      <c r="D101" s="14" t="n">
        <v>700299</v>
      </c>
      <c r="E101" s="15" t="n"/>
      <c r="F101" s="26" t="inlineStr">
        <is>
          <t xml:space="preserve">0…8 бар                   </t>
        </is>
      </c>
      <c r="G101" s="71" t="n"/>
      <c r="H101" s="175" t="inlineStr">
        <is>
          <t>Шкаф управления краном 6к</t>
        </is>
      </c>
      <c r="I101" s="8" t="inlineStr">
        <is>
          <t>ГПА 72</t>
        </is>
      </c>
      <c r="J101" s="15" t="inlineStr">
        <is>
          <t>АСУ,А и ТМ (КЦ № 7)</t>
        </is>
      </c>
      <c r="K101" s="15" t="n"/>
      <c r="L101" s="47" t="n"/>
      <c r="M101" s="47" t="n"/>
      <c r="N101" s="47" t="n"/>
    </row>
    <row r="102" ht="22.5" customHeight="1" s="151">
      <c r="A102" s="15">
        <f>IF(B102&lt;&gt;"", COUNTA($B$2:B102), "")</f>
        <v/>
      </c>
      <c r="B102" s="280" t="inlineStr">
        <is>
          <t>Манометр технический</t>
        </is>
      </c>
      <c r="C102" s="14" t="inlineStr">
        <is>
          <t>EN 837-1</t>
        </is>
      </c>
      <c r="D102" s="17" t="inlineStr">
        <is>
          <t>К771</t>
        </is>
      </c>
      <c r="E102" s="15" t="n"/>
      <c r="F102" s="26" t="inlineStr">
        <is>
          <t xml:space="preserve">0…10 бар                   </t>
        </is>
      </c>
      <c r="G102" s="71" t="n">
        <v>1.6</v>
      </c>
      <c r="H102" s="175" t="inlineStr">
        <is>
          <t>P воды в установке промывки</t>
        </is>
      </c>
      <c r="I102" s="8" t="inlineStr">
        <is>
          <t>ГПА 73</t>
        </is>
      </c>
      <c r="J102" s="15" t="inlineStr">
        <is>
          <t>АСУ,А и ТМ (КЦ № 7)</t>
        </is>
      </c>
      <c r="K102" s="15" t="n"/>
      <c r="L102" s="47" t="n"/>
      <c r="M102" s="47" t="n"/>
      <c r="N102" s="47" t="n"/>
    </row>
    <row r="103" ht="22.5" customHeight="1" s="151">
      <c r="A103" s="15">
        <f>IF(B103&lt;&gt;"", COUNTA($B$2:B103), "")</f>
        <v/>
      </c>
      <c r="B103" s="280" t="inlineStr">
        <is>
          <t>Манометр технический</t>
        </is>
      </c>
      <c r="C103" s="14" t="inlineStr">
        <is>
          <t>EN 837-1</t>
        </is>
      </c>
      <c r="D103" s="70" t="inlineStr">
        <is>
          <t>К742</t>
        </is>
      </c>
      <c r="E103" s="15" t="n"/>
      <c r="F103" s="26" t="inlineStr">
        <is>
          <t xml:space="preserve">0…2,5 бар                   </t>
        </is>
      </c>
      <c r="G103" s="71" t="n">
        <v>1.6</v>
      </c>
      <c r="H103" s="175" t="inlineStr">
        <is>
          <t>P м на выходе блока маслоочистки</t>
        </is>
      </c>
      <c r="I103" s="8" t="inlineStr">
        <is>
          <t>ГПА 73</t>
        </is>
      </c>
      <c r="J103" s="15" t="inlineStr">
        <is>
          <t>АСУ,А и ТМ (КЦ № 7)</t>
        </is>
      </c>
      <c r="K103" s="15" t="n"/>
      <c r="L103" s="47" t="n"/>
      <c r="M103" s="47" t="n"/>
      <c r="N103" s="47" t="n"/>
    </row>
    <row r="104" ht="22.5" customHeight="1" s="151">
      <c r="A104" s="15">
        <f>IF(B104&lt;&gt;"", COUNTA($B$2:B104), "")</f>
        <v/>
      </c>
      <c r="B104" s="280" t="inlineStr">
        <is>
          <t>Манометр технический</t>
        </is>
      </c>
      <c r="C104" s="70" t="inlineStr">
        <is>
          <t>ЭкМ160</t>
        </is>
      </c>
      <c r="D104" s="29" t="inlineStr">
        <is>
          <t>011712363</t>
        </is>
      </c>
      <c r="E104" s="70" t="n"/>
      <c r="F104" s="70" t="inlineStr">
        <is>
          <t>0…40 МПа</t>
        </is>
      </c>
      <c r="G104" s="71" t="n">
        <v>1.5</v>
      </c>
      <c r="H104" s="175" t="inlineStr">
        <is>
          <t>P м в гидроаккумуляторе крана 2-1</t>
        </is>
      </c>
      <c r="I104" s="8" t="inlineStr">
        <is>
          <t>ГПА 73</t>
        </is>
      </c>
      <c r="J104" s="15" t="inlineStr">
        <is>
          <t>АСУ,А и ТМ (КЦ № 7)</t>
        </is>
      </c>
      <c r="K104" s="15" t="n"/>
      <c r="L104" s="47" t="n"/>
      <c r="M104" s="47" t="n"/>
      <c r="N104" s="47" t="n"/>
    </row>
    <row r="105" ht="22.5" customHeight="1" s="151">
      <c r="A105" s="15">
        <f>IF(B105&lt;&gt;"", COUNTA($B$2:B105), "")</f>
        <v/>
      </c>
      <c r="B105" s="280" t="inlineStr">
        <is>
          <t>Манометр технический</t>
        </is>
      </c>
      <c r="C105" s="70" t="inlineStr">
        <is>
          <t>ЭкМ160</t>
        </is>
      </c>
      <c r="D105" s="29" t="inlineStr">
        <is>
          <t>011802718</t>
        </is>
      </c>
      <c r="E105" s="70" t="n"/>
      <c r="F105" s="70" t="inlineStr">
        <is>
          <t>0…40 МПа</t>
        </is>
      </c>
      <c r="G105" s="71" t="n">
        <v>1.5</v>
      </c>
      <c r="H105" s="175" t="inlineStr">
        <is>
          <t>P м в гидроаккумуляторе крана 1-1</t>
        </is>
      </c>
      <c r="I105" s="8" t="inlineStr">
        <is>
          <t>ГПА 73</t>
        </is>
      </c>
      <c r="J105" s="15" t="inlineStr">
        <is>
          <t>АСУ,А и ТМ (КЦ № 7)</t>
        </is>
      </c>
      <c r="K105" s="15" t="n"/>
      <c r="L105" s="47" t="n"/>
      <c r="M105" s="47" t="n"/>
      <c r="N105" s="47" t="n"/>
    </row>
    <row r="106" ht="22.5" customHeight="1" s="151">
      <c r="A106" s="15">
        <f>IF(B106&lt;&gt;"", COUNTA($B$2:B106), "")</f>
        <v/>
      </c>
      <c r="B106" s="280" t="inlineStr">
        <is>
          <t>Манометр технический</t>
        </is>
      </c>
      <c r="C106" s="70" t="inlineStr">
        <is>
          <t>ЭкМ160</t>
        </is>
      </c>
      <c r="D106" s="17" t="inlineStr">
        <is>
          <t>011712383</t>
        </is>
      </c>
      <c r="E106" s="15" t="n"/>
      <c r="F106" s="70" t="inlineStr">
        <is>
          <t>0…40 МПа</t>
        </is>
      </c>
      <c r="G106" s="71" t="n">
        <v>1.5</v>
      </c>
      <c r="H106" s="175" t="inlineStr">
        <is>
          <t>P м в гидроаккумуляторе крана 1</t>
        </is>
      </c>
      <c r="I106" s="8" t="inlineStr">
        <is>
          <t>ГПА 73</t>
        </is>
      </c>
      <c r="J106" s="15" t="inlineStr">
        <is>
          <t>АСУ,А и ТМ (КЦ № 7)</t>
        </is>
      </c>
      <c r="K106" s="15" t="n"/>
      <c r="L106" s="47" t="n"/>
      <c r="M106" s="47" t="n"/>
      <c r="N106" s="47" t="n"/>
    </row>
    <row r="107" ht="22.5" customHeight="1" s="151">
      <c r="A107" s="15">
        <f>IF(B107&lt;&gt;"", COUNTA($B$2:B107), "")</f>
        <v/>
      </c>
      <c r="B107" s="280" t="inlineStr">
        <is>
          <t>Манометр технический</t>
        </is>
      </c>
      <c r="C107" s="70" t="inlineStr">
        <is>
          <t>ЭкМ160</t>
        </is>
      </c>
      <c r="D107" s="17" t="inlineStr">
        <is>
          <t>011712362</t>
        </is>
      </c>
      <c r="E107" s="15" t="n"/>
      <c r="F107" s="70" t="inlineStr">
        <is>
          <t>0…40 МПа</t>
        </is>
      </c>
      <c r="G107" s="71" t="n">
        <v>1.5</v>
      </c>
      <c r="H107" s="175" t="inlineStr">
        <is>
          <t>P м в гидроаккумуляторе крана 2</t>
        </is>
      </c>
      <c r="I107" s="8" t="inlineStr">
        <is>
          <t>ГПА 73</t>
        </is>
      </c>
      <c r="J107" s="15" t="inlineStr">
        <is>
          <t>АСУ,А и ТМ (КЦ № 7)</t>
        </is>
      </c>
      <c r="K107" s="15" t="n"/>
      <c r="L107" s="47" t="n"/>
      <c r="M107" s="47" t="n"/>
      <c r="N107" s="47" t="n"/>
    </row>
    <row r="108" ht="22.5" customHeight="1" s="151">
      <c r="A108" s="15">
        <f>IF(B108&lt;&gt;"", COUNTA($B$2:B108), "")</f>
        <v/>
      </c>
      <c r="B108" s="280" t="inlineStr">
        <is>
          <t>Манометр технический</t>
        </is>
      </c>
      <c r="C108" s="14" t="inlineStr">
        <is>
          <t>EN 837-1</t>
        </is>
      </c>
      <c r="D108" s="70" t="n">
        <v>113543</v>
      </c>
      <c r="E108" s="70" t="n"/>
      <c r="F108" s="26" t="inlineStr">
        <is>
          <t xml:space="preserve">0…160 бар                   </t>
        </is>
      </c>
      <c r="G108" s="71" t="n">
        <v>1.6</v>
      </c>
      <c r="H108" s="175" t="inlineStr">
        <is>
          <t>P г до регулятора высокого давления 3бис</t>
        </is>
      </c>
      <c r="I108" s="8" t="inlineStr">
        <is>
          <t>ГПА 73</t>
        </is>
      </c>
      <c r="J108" s="15" t="inlineStr">
        <is>
          <t>АСУ,А и ТМ (КЦ № 7)</t>
        </is>
      </c>
      <c r="K108" s="15" t="n"/>
      <c r="L108" s="47" t="n"/>
      <c r="M108" s="47" t="n"/>
      <c r="N108" s="47" t="n"/>
    </row>
    <row r="109" ht="22.5" customHeight="1" s="151">
      <c r="A109" s="15">
        <f>IF(B109&lt;&gt;"", COUNTA($B$2:B109), "")</f>
        <v/>
      </c>
      <c r="B109" s="280" t="inlineStr">
        <is>
          <t>Манометр технический</t>
        </is>
      </c>
      <c r="C109" s="14" t="inlineStr">
        <is>
          <t>EN 837-1</t>
        </is>
      </c>
      <c r="D109" s="70" t="n">
        <v>2038956</v>
      </c>
      <c r="E109" s="70" t="n"/>
      <c r="F109" s="26" t="inlineStr">
        <is>
          <t xml:space="preserve">0…60 бар                   </t>
        </is>
      </c>
      <c r="G109" s="71" t="n">
        <v>1.6</v>
      </c>
      <c r="H109" s="175" t="inlineStr">
        <is>
          <t>P г после регулятора высокого давления 3бис</t>
        </is>
      </c>
      <c r="I109" s="8" t="inlineStr">
        <is>
          <t>ГПА 73</t>
        </is>
      </c>
      <c r="J109" s="15" t="inlineStr">
        <is>
          <t>АСУ,А и ТМ (КЦ № 7)</t>
        </is>
      </c>
      <c r="K109" s="15" t="n"/>
      <c r="L109" s="47" t="n"/>
      <c r="M109" s="47" t="n"/>
      <c r="N109" s="47" t="n"/>
    </row>
    <row r="110" ht="22.5" customHeight="1" s="151">
      <c r="A110" s="15">
        <f>IF(B110&lt;&gt;"", COUNTA($B$2:B110), "")</f>
        <v/>
      </c>
      <c r="B110" s="280" t="inlineStr">
        <is>
          <t>Манометр технический</t>
        </is>
      </c>
      <c r="C110" s="70" t="inlineStr">
        <is>
          <t>Bifold</t>
        </is>
      </c>
      <c r="D110" s="70" t="inlineStr">
        <is>
          <t>34728/1493</t>
        </is>
      </c>
      <c r="E110" s="70" t="n"/>
      <c r="F110" s="26" t="inlineStr">
        <is>
          <t xml:space="preserve">0…10 бар                   </t>
        </is>
      </c>
      <c r="G110" s="71" t="n"/>
      <c r="H110" s="175" t="inlineStr">
        <is>
          <t>Шкаф управления краном 3бис</t>
        </is>
      </c>
      <c r="I110" s="8" t="inlineStr">
        <is>
          <t>ГПА 73</t>
        </is>
      </c>
      <c r="J110" s="15" t="inlineStr">
        <is>
          <t>АСУ,А и ТМ (КЦ № 7)</t>
        </is>
      </c>
      <c r="K110" s="15" t="n"/>
      <c r="L110" s="47" t="n"/>
      <c r="M110" s="47" t="n"/>
      <c r="N110" s="47" t="n"/>
    </row>
    <row r="111" ht="22.5" customHeight="1" s="151">
      <c r="A111" s="15">
        <f>IF(B111&lt;&gt;"", COUNTA($B$2:B111), "")</f>
        <v/>
      </c>
      <c r="B111" s="280" t="inlineStr">
        <is>
          <t>Манометр технический</t>
        </is>
      </c>
      <c r="C111" s="14" t="inlineStr">
        <is>
          <t>EN 837-1</t>
        </is>
      </c>
      <c r="D111" s="70" t="n">
        <v>113535</v>
      </c>
      <c r="E111" s="70" t="n"/>
      <c r="F111" s="26" t="inlineStr">
        <is>
          <t xml:space="preserve">0…60 бар                   </t>
        </is>
      </c>
      <c r="G111" s="71" t="n">
        <v>1.6</v>
      </c>
      <c r="H111" s="175" t="inlineStr">
        <is>
          <t>P г в аккумуляторе крана 3бис</t>
        </is>
      </c>
      <c r="I111" s="8" t="inlineStr">
        <is>
          <t>ГПА 73</t>
        </is>
      </c>
      <c r="J111" s="15" t="inlineStr">
        <is>
          <t>АСУ,А и ТМ (КЦ № 7)</t>
        </is>
      </c>
      <c r="K111" s="15" t="n"/>
      <c r="L111" s="47" t="n"/>
      <c r="M111" s="47" t="n"/>
      <c r="N111" s="47" t="n"/>
    </row>
    <row r="112" ht="22.5" customHeight="1" s="151">
      <c r="A112" s="15">
        <f>IF(B112&lt;&gt;"", COUNTA($B$2:B112), "")</f>
        <v/>
      </c>
      <c r="B112" s="280" t="inlineStr">
        <is>
          <t>Манометр технический</t>
        </is>
      </c>
      <c r="C112" s="70" t="inlineStr">
        <is>
          <t>EN 837-1</t>
        </is>
      </c>
      <c r="D112" s="29" t="inlineStr">
        <is>
          <t>700300</t>
        </is>
      </c>
      <c r="E112" s="70" t="n"/>
      <c r="F112" s="26" t="inlineStr">
        <is>
          <t xml:space="preserve">0…160 бар                   </t>
        </is>
      </c>
      <c r="G112" s="71" t="n">
        <v>1.6</v>
      </c>
      <c r="H112" s="175" t="inlineStr">
        <is>
          <t>P г до регулятора высокого давления   6к</t>
        </is>
      </c>
      <c r="I112" s="8" t="inlineStr">
        <is>
          <t>ГПА 73</t>
        </is>
      </c>
      <c r="J112" s="15" t="inlineStr">
        <is>
          <t>АСУ,А и ТМ (КЦ № 7)</t>
        </is>
      </c>
      <c r="K112" s="15" t="n"/>
      <c r="L112" s="47" t="n"/>
      <c r="M112" s="47" t="n"/>
      <c r="N112" s="47" t="n"/>
    </row>
    <row r="113" ht="22.5" customHeight="1" s="151">
      <c r="A113" s="15">
        <f>IF(B113&lt;&gt;"", COUNTA($B$2:B113), "")</f>
        <v/>
      </c>
      <c r="B113" s="280" t="inlineStr">
        <is>
          <t>Манометр технический</t>
        </is>
      </c>
      <c r="C113" s="70" t="inlineStr">
        <is>
          <t>EN 837-1</t>
        </is>
      </c>
      <c r="D113" s="29" t="inlineStr">
        <is>
          <t>700301</t>
        </is>
      </c>
      <c r="E113" s="70" t="n"/>
      <c r="F113" s="26" t="inlineStr">
        <is>
          <t xml:space="preserve">0…40 бар                   </t>
        </is>
      </c>
      <c r="G113" s="71" t="n">
        <v>1.6</v>
      </c>
      <c r="H113" s="175" t="inlineStr">
        <is>
          <t>P г после регулятора высокого давления   6к</t>
        </is>
      </c>
      <c r="I113" s="8" t="inlineStr">
        <is>
          <t>ГПА 73</t>
        </is>
      </c>
      <c r="J113" s="15" t="inlineStr">
        <is>
          <t>АСУ,А и ТМ (КЦ № 7)</t>
        </is>
      </c>
      <c r="K113" s="15" t="n"/>
      <c r="L113" s="47" t="n"/>
      <c r="M113" s="47" t="n"/>
      <c r="N113" s="47" t="n"/>
    </row>
    <row r="114" ht="22.5" customHeight="1" s="151">
      <c r="A114" s="15">
        <f>IF(B114&lt;&gt;"", COUNTA($B$2:B114), "")</f>
        <v/>
      </c>
      <c r="B114" s="280" t="inlineStr">
        <is>
          <t>Манометр технический</t>
        </is>
      </c>
      <c r="C114" s="70" t="inlineStr">
        <is>
          <t>EN 837-1</t>
        </is>
      </c>
      <c r="D114" s="29" t="inlineStr">
        <is>
          <t>700302</t>
        </is>
      </c>
      <c r="E114" s="15" t="n"/>
      <c r="F114" s="26" t="inlineStr">
        <is>
          <t xml:space="preserve">0…100 бар                   </t>
        </is>
      </c>
      <c r="G114" s="71" t="n">
        <v>1.6</v>
      </c>
      <c r="H114" s="175" t="inlineStr">
        <is>
          <t>P г в аккумуляторе крана 6к</t>
        </is>
      </c>
      <c r="I114" s="8" t="inlineStr">
        <is>
          <t>ГПА 73</t>
        </is>
      </c>
      <c r="J114" s="15" t="inlineStr">
        <is>
          <t>АСУ,А и ТМ (КЦ № 7)</t>
        </is>
      </c>
      <c r="K114" s="15" t="n"/>
      <c r="L114" s="47" t="n"/>
      <c r="M114" s="47" t="n"/>
      <c r="N114" s="47" t="n"/>
    </row>
    <row r="115" ht="22.5" customHeight="1" s="151">
      <c r="A115" s="15">
        <f>IF(B115&lt;&gt;"", COUNTA($B$2:B115), "")</f>
        <v/>
      </c>
      <c r="B115" s="280" t="inlineStr">
        <is>
          <t>Манометр технический</t>
        </is>
      </c>
      <c r="C115" s="70" t="inlineStr">
        <is>
          <t>Bifold</t>
        </is>
      </c>
      <c r="D115" s="29" t="inlineStr">
        <is>
          <t>36398/2377</t>
        </is>
      </c>
      <c r="E115" s="15" t="n"/>
      <c r="F115" s="26" t="inlineStr">
        <is>
          <t xml:space="preserve">0…10 бар                   </t>
        </is>
      </c>
      <c r="G115" s="71" t="n"/>
      <c r="H115" s="175" t="inlineStr">
        <is>
          <t>P в фильтре крана 6к</t>
        </is>
      </c>
      <c r="I115" s="8" t="inlineStr">
        <is>
          <t>ГПА 73</t>
        </is>
      </c>
      <c r="J115" s="15" t="inlineStr">
        <is>
          <t>АСУ,А и ТМ (КЦ № 7)</t>
        </is>
      </c>
      <c r="K115" s="15" t="n"/>
      <c r="L115" s="47" t="n"/>
      <c r="M115" s="47" t="n"/>
      <c r="N115" s="47" t="n"/>
    </row>
    <row r="116" ht="22.5" customHeight="1" s="151">
      <c r="A116" s="15">
        <f>IF(B116&lt;&gt;"", COUNTA($B$2:B116), "")</f>
        <v/>
      </c>
      <c r="B116" s="280" t="inlineStr">
        <is>
          <t>Манометр технический</t>
        </is>
      </c>
      <c r="C116" s="70" t="inlineStr">
        <is>
          <t>Bifold</t>
        </is>
      </c>
      <c r="D116" s="29" t="inlineStr">
        <is>
          <t>700303</t>
        </is>
      </c>
      <c r="E116" s="70" t="n"/>
      <c r="F116" s="26" t="inlineStr">
        <is>
          <t xml:space="preserve">0…8 бар                   </t>
        </is>
      </c>
      <c r="G116" s="71" t="n"/>
      <c r="H116" s="175" t="inlineStr">
        <is>
          <t>Шкаф управления краном 6к</t>
        </is>
      </c>
      <c r="I116" s="8" t="inlineStr">
        <is>
          <t>ГПА 73</t>
        </is>
      </c>
      <c r="J116" s="15" t="inlineStr">
        <is>
          <t>АСУ,А и ТМ (КЦ № 7)</t>
        </is>
      </c>
      <c r="K116" s="15" t="n"/>
      <c r="L116" s="47" t="n"/>
      <c r="M116" s="47" t="n"/>
      <c r="N116" s="47" t="n"/>
    </row>
    <row r="117" ht="22.5" customHeight="1" s="151">
      <c r="A117" s="15">
        <f>IF(B117&lt;&gt;"", COUNTA($B$2:B117), "")</f>
        <v/>
      </c>
      <c r="B117" s="280" t="inlineStr">
        <is>
          <t>Манометр технический</t>
        </is>
      </c>
      <c r="C117" s="70" t="inlineStr">
        <is>
          <t>Bifold</t>
        </is>
      </c>
      <c r="D117" s="29" t="inlineStr">
        <is>
          <t>700304</t>
        </is>
      </c>
      <c r="E117" s="15" t="n"/>
      <c r="F117" s="26" t="inlineStr">
        <is>
          <t xml:space="preserve">0…8 бар                   </t>
        </is>
      </c>
      <c r="G117" s="71" t="n"/>
      <c r="H117" s="175" t="inlineStr">
        <is>
          <t>Шкаф управления краном 6к</t>
        </is>
      </c>
      <c r="I117" s="8" t="inlineStr">
        <is>
          <t>ГПА 73</t>
        </is>
      </c>
      <c r="J117" s="15" t="inlineStr">
        <is>
          <t>АСУ,А и ТМ (КЦ № 7)</t>
        </is>
      </c>
      <c r="K117" s="15" t="n"/>
      <c r="L117" s="47" t="n"/>
      <c r="M117" s="47" t="n"/>
      <c r="N117" s="47" t="n"/>
    </row>
    <row r="118" ht="22.5" customHeight="1" s="151">
      <c r="A118" s="15">
        <f>IF(B118&lt;&gt;"", COUNTA($B$2:B118), "")</f>
        <v/>
      </c>
      <c r="B118" s="280" t="inlineStr">
        <is>
          <t>Манометр технический</t>
        </is>
      </c>
      <c r="C118" s="15" t="inlineStr">
        <is>
          <t>EN 837-1</t>
        </is>
      </c>
      <c r="D118" s="14" t="n">
        <v>700305</v>
      </c>
      <c r="E118" s="14" t="n"/>
      <c r="F118" s="26" t="inlineStr">
        <is>
          <t xml:space="preserve">0…100 бар                   </t>
        </is>
      </c>
      <c r="G118" s="71" t="n">
        <v>1.6</v>
      </c>
      <c r="H118" s="15" t="inlineStr">
        <is>
          <t>Шкаф управления краном 36к</t>
        </is>
      </c>
      <c r="I118" s="15" t="inlineStr">
        <is>
          <t>Промплощадка</t>
        </is>
      </c>
      <c r="J118" s="15" t="inlineStr">
        <is>
          <t>АСУ,А и ТМ (КЦ № 7)</t>
        </is>
      </c>
      <c r="K118" s="15" t="n"/>
      <c r="L118" s="47" t="n"/>
      <c r="M118" s="47" t="n"/>
      <c r="N118" s="47" t="n"/>
    </row>
    <row r="119" ht="22.5" customHeight="1" s="151">
      <c r="A119" s="15">
        <f>IF(B119&lt;&gt;"", COUNTA($B$2:B119), "")</f>
        <v/>
      </c>
      <c r="B119" s="280" t="inlineStr">
        <is>
          <t>Манометр технический</t>
        </is>
      </c>
      <c r="C119" s="15" t="inlineStr">
        <is>
          <t>EN 837-1</t>
        </is>
      </c>
      <c r="D119" s="14" t="n">
        <v>700306</v>
      </c>
      <c r="E119" s="15" t="n"/>
      <c r="F119" s="26" t="inlineStr">
        <is>
          <t xml:space="preserve">0…40 бар                   </t>
        </is>
      </c>
      <c r="G119" s="71" t="n">
        <v>1.6</v>
      </c>
      <c r="H119" s="15" t="inlineStr">
        <is>
          <t>Шкаф управления краном 36к</t>
        </is>
      </c>
      <c r="I119" s="15" t="inlineStr">
        <is>
          <t>Промплощадка</t>
        </is>
      </c>
      <c r="J119" s="15" t="inlineStr">
        <is>
          <t>АСУ,А и ТМ (КЦ № 7)</t>
        </is>
      </c>
      <c r="K119" s="15" t="n"/>
      <c r="L119" s="47" t="n"/>
      <c r="M119" s="47" t="n"/>
      <c r="N119" s="47" t="n"/>
    </row>
    <row r="120" ht="22.5" customHeight="1" s="151">
      <c r="A120" s="15">
        <f>IF(B120&lt;&gt;"", COUNTA($B$2:B120), "")</f>
        <v/>
      </c>
      <c r="B120" s="280" t="inlineStr">
        <is>
          <t>Манометр технический</t>
        </is>
      </c>
      <c r="C120" s="14" t="inlineStr">
        <is>
          <t>Bifold</t>
        </is>
      </c>
      <c r="D120" s="15" t="inlineStr">
        <is>
          <t>36398/2379</t>
        </is>
      </c>
      <c r="E120" s="70" t="n"/>
      <c r="F120" s="26" t="inlineStr">
        <is>
          <t xml:space="preserve">0…40 бар                   </t>
        </is>
      </c>
      <c r="G120" s="71" t="n"/>
      <c r="H120" s="15" t="inlineStr">
        <is>
          <t>Шкаф управления краном 36к</t>
        </is>
      </c>
      <c r="I120" s="15" t="inlineStr">
        <is>
          <t>Промплощадка</t>
        </is>
      </c>
      <c r="J120" s="15" t="inlineStr">
        <is>
          <t>АСУ,А и ТМ (КЦ № 7)</t>
        </is>
      </c>
      <c r="K120" s="15" t="n"/>
      <c r="L120" s="47" t="n"/>
      <c r="M120" s="47" t="n"/>
      <c r="N120" s="47" t="n"/>
    </row>
    <row r="121" ht="22.5" customHeight="1" s="151">
      <c r="A121" s="15">
        <f>IF(B121&lt;&gt;"", COUNTA($B$2:B121), "")</f>
        <v/>
      </c>
      <c r="B121" s="280" t="inlineStr">
        <is>
          <t>Манометр технический</t>
        </is>
      </c>
      <c r="C121" s="14" t="inlineStr">
        <is>
          <t>Bifold</t>
        </is>
      </c>
      <c r="D121" s="14" t="n">
        <v>700307</v>
      </c>
      <c r="E121" s="70" t="n"/>
      <c r="F121" s="26" t="inlineStr">
        <is>
          <t xml:space="preserve">0…8 бар                   </t>
        </is>
      </c>
      <c r="G121" s="71" t="n"/>
      <c r="H121" s="15" t="inlineStr">
        <is>
          <t>Шкаф управления краном 36к</t>
        </is>
      </c>
      <c r="I121" s="15" t="inlineStr">
        <is>
          <t>Промплощадка</t>
        </is>
      </c>
      <c r="J121" s="15" t="inlineStr">
        <is>
          <t>АСУ,А и ТМ (КЦ № 7)</t>
        </is>
      </c>
      <c r="K121" s="15" t="n"/>
      <c r="L121" s="47" t="n"/>
      <c r="M121" s="47" t="n"/>
      <c r="N121" s="47" t="n"/>
    </row>
    <row r="122" ht="22.5" customHeight="1" s="151">
      <c r="A122" s="15">
        <f>IF(B122&lt;&gt;"", COUNTA($B$2:B122), "")</f>
        <v/>
      </c>
      <c r="B122" s="280" t="inlineStr">
        <is>
          <t>Манометр технический</t>
        </is>
      </c>
      <c r="C122" s="14" t="inlineStr">
        <is>
          <t>Bifold</t>
        </is>
      </c>
      <c r="D122" s="14" t="n">
        <v>700308</v>
      </c>
      <c r="E122" s="70" t="n"/>
      <c r="F122" s="26" t="inlineStr">
        <is>
          <t xml:space="preserve">0…8 бар                   </t>
        </is>
      </c>
      <c r="G122" s="71" t="n"/>
      <c r="H122" s="15" t="inlineStr">
        <is>
          <t>Шкаф управления краном 36к</t>
        </is>
      </c>
      <c r="I122" s="15" t="inlineStr">
        <is>
          <t>Промплощадка</t>
        </is>
      </c>
      <c r="J122" s="15" t="inlineStr">
        <is>
          <t>АСУ,А и ТМ (КЦ № 7)</t>
        </is>
      </c>
      <c r="K122" s="15" t="n"/>
      <c r="L122" s="47" t="n"/>
      <c r="M122" s="47" t="n"/>
      <c r="N122" s="47" t="n"/>
    </row>
    <row r="123" ht="22.5" customHeight="1" s="151">
      <c r="A123" s="15">
        <f>IF(B123&lt;&gt;"", COUNTA($B$2:B123), "")</f>
        <v/>
      </c>
      <c r="B123" s="280" t="inlineStr">
        <is>
          <t>Манометр технический</t>
        </is>
      </c>
      <c r="C123" s="70" t="inlineStr">
        <is>
          <t>ЭкМ160</t>
        </is>
      </c>
      <c r="D123" s="29" t="inlineStr">
        <is>
          <t>011711571</t>
        </is>
      </c>
      <c r="E123" s="70" t="n"/>
      <c r="F123" s="70" t="inlineStr">
        <is>
          <t>0…40 МПа</t>
        </is>
      </c>
      <c r="G123" s="71" t="n">
        <v>1.5</v>
      </c>
      <c r="H123" s="175" t="inlineStr">
        <is>
          <t>P м в гидроаккумуляторе крана 36</t>
        </is>
      </c>
      <c r="I123" s="15" t="inlineStr">
        <is>
          <t>Промплощадка</t>
        </is>
      </c>
      <c r="J123" s="15" t="inlineStr">
        <is>
          <t>АСУ,А и ТМ (КЦ № 7)</t>
        </is>
      </c>
      <c r="K123" s="15" t="n"/>
      <c r="L123" s="47" t="n"/>
      <c r="M123" s="47" t="n"/>
      <c r="N123" s="47" t="n"/>
    </row>
    <row r="124" ht="22.5" customHeight="1" s="151">
      <c r="A124" s="15">
        <f>IF(B124&lt;&gt;"", COUNTA($B$2:B124), "")</f>
        <v/>
      </c>
      <c r="B124" s="280" t="inlineStr">
        <is>
          <t>Манометр технический</t>
        </is>
      </c>
      <c r="C124" s="70" t="inlineStr">
        <is>
          <t>ЭкМ160</t>
        </is>
      </c>
      <c r="D124" s="17" t="inlineStr">
        <is>
          <t>011712386</t>
        </is>
      </c>
      <c r="E124" s="15" t="n"/>
      <c r="F124" s="70" t="inlineStr">
        <is>
          <t>0…40 МПа</t>
        </is>
      </c>
      <c r="G124" s="71" t="n">
        <v>1.5</v>
      </c>
      <c r="H124" s="175" t="inlineStr">
        <is>
          <t>P м в гидроаккумуляторе крана 77</t>
        </is>
      </c>
      <c r="I124" s="15" t="inlineStr">
        <is>
          <t>Промплощадка</t>
        </is>
      </c>
      <c r="J124" s="15" t="inlineStr">
        <is>
          <t>АСУ,А и ТМ (КЦ № 7)</t>
        </is>
      </c>
      <c r="K124" s="15" t="n"/>
      <c r="L124" s="47" t="n"/>
      <c r="M124" s="47" t="n"/>
      <c r="N124" s="47" t="n"/>
    </row>
    <row r="125" ht="22.5" customHeight="1" s="151">
      <c r="A125" s="15">
        <f>IF(B125&lt;&gt;"", COUNTA($B$2:B125), "")</f>
        <v/>
      </c>
      <c r="B125" s="280" t="inlineStr">
        <is>
          <t>Манометр технический</t>
        </is>
      </c>
      <c r="C125" s="70" t="inlineStr">
        <is>
          <t>ЭкМ160</t>
        </is>
      </c>
      <c r="D125" s="17" t="inlineStr">
        <is>
          <t>011712354</t>
        </is>
      </c>
      <c r="E125" s="15" t="n"/>
      <c r="F125" s="70" t="inlineStr">
        <is>
          <t>0…40 МПа</t>
        </is>
      </c>
      <c r="G125" s="71" t="n">
        <v>1.5</v>
      </c>
      <c r="H125" s="175" t="inlineStr">
        <is>
          <t>P м в гидроаккумуляторе крана 78</t>
        </is>
      </c>
      <c r="I125" s="15" t="inlineStr">
        <is>
          <t>Промплощадка</t>
        </is>
      </c>
      <c r="J125" s="15" t="inlineStr">
        <is>
          <t>АСУ,А и ТМ (КЦ № 7)</t>
        </is>
      </c>
      <c r="K125" s="15" t="n"/>
      <c r="L125" s="47" t="n"/>
      <c r="M125" s="47" t="n"/>
      <c r="N125" s="47" t="n"/>
    </row>
    <row r="126" ht="22.5" customHeight="1" s="151">
      <c r="A126" s="15">
        <f>IF(B126&lt;&gt;"", COUNTA($B$2:B126), "")</f>
        <v/>
      </c>
      <c r="B126" s="280" t="inlineStr">
        <is>
          <t>Манометр технический</t>
        </is>
      </c>
      <c r="C126" s="14" t="inlineStr">
        <is>
          <t>без названия</t>
        </is>
      </c>
      <c r="D126" s="29" t="inlineStr">
        <is>
          <t>7000277</t>
        </is>
      </c>
      <c r="E126" s="70" t="n"/>
      <c r="F126" s="26" t="inlineStr">
        <is>
          <t xml:space="preserve">0…16 бар                   </t>
        </is>
      </c>
      <c r="G126" s="71" t="n"/>
      <c r="H126" s="15" t="inlineStr">
        <is>
          <t>Переносной компрессор</t>
        </is>
      </c>
      <c r="I126" s="15" t="inlineStr">
        <is>
          <t>УТО</t>
        </is>
      </c>
      <c r="J126" s="15" t="inlineStr">
        <is>
          <t>АСУ,А и ТМ (КЦ № 7)</t>
        </is>
      </c>
      <c r="K126" s="15" t="n"/>
      <c r="L126" s="47" t="n"/>
      <c r="M126" s="47" t="n"/>
      <c r="N126" s="47" t="n"/>
    </row>
    <row r="127" ht="22.5" customHeight="1" s="151">
      <c r="A127" s="15">
        <f>IF(B127&lt;&gt;"", COUNTA($B$2:B127), "")</f>
        <v/>
      </c>
      <c r="B127" s="280" t="inlineStr">
        <is>
          <t>Манометр технический</t>
        </is>
      </c>
      <c r="C127" s="14" t="inlineStr">
        <is>
          <t>без названия</t>
        </is>
      </c>
      <c r="D127" s="29" t="inlineStr">
        <is>
          <t>7000278</t>
        </is>
      </c>
      <c r="E127" s="70" t="n"/>
      <c r="F127" s="26" t="inlineStr">
        <is>
          <t xml:space="preserve">0…16 бар                   </t>
        </is>
      </c>
      <c r="G127" s="71" t="n"/>
      <c r="H127" s="15" t="inlineStr">
        <is>
          <t>Переносной компрессор</t>
        </is>
      </c>
      <c r="I127" s="15" t="inlineStr">
        <is>
          <t>УТО</t>
        </is>
      </c>
      <c r="J127" s="15" t="inlineStr">
        <is>
          <t>АСУ,А и ТМ (КЦ № 7)</t>
        </is>
      </c>
      <c r="K127" s="15" t="n"/>
      <c r="L127" s="47" t="n"/>
      <c r="M127" s="47" t="n"/>
      <c r="N127" s="47" t="n"/>
    </row>
    <row r="128" ht="22.5" customHeight="1" s="151">
      <c r="A128" s="15">
        <f>IF(B128&lt;&gt;"", COUNTA($B$2:B128), "")</f>
        <v/>
      </c>
      <c r="B128" s="280" t="inlineStr">
        <is>
          <t>Манометр технический</t>
        </is>
      </c>
      <c r="C128" s="14" t="inlineStr">
        <is>
          <t>EN 837-1</t>
        </is>
      </c>
      <c r="D128" s="29" t="inlineStr">
        <is>
          <t>700229</t>
        </is>
      </c>
      <c r="E128" s="70" t="n"/>
      <c r="F128" s="26" t="inlineStr">
        <is>
          <t xml:space="preserve">0…250 бар                   </t>
        </is>
      </c>
      <c r="G128" s="71" t="n">
        <v>1.6</v>
      </c>
      <c r="H128" s="15" t="inlineStr">
        <is>
          <t>Р в гидросистеме</t>
        </is>
      </c>
      <c r="I128" s="15" t="inlineStr">
        <is>
          <t>УТО</t>
        </is>
      </c>
      <c r="J128" s="15" t="inlineStr">
        <is>
          <t>АСУ,А и ТМ (КЦ № 7)</t>
        </is>
      </c>
      <c r="K128" s="15" t="n"/>
      <c r="L128" s="47" t="n"/>
      <c r="M128" s="47" t="n"/>
      <c r="N128" s="47" t="n"/>
    </row>
    <row r="129" ht="22.5" customHeight="1" s="151">
      <c r="A129" s="15">
        <f>IF(B129&lt;&gt;"", COUNTA($B$2:B129), "")</f>
        <v/>
      </c>
      <c r="B129" s="280" t="inlineStr">
        <is>
          <t>Манометр технический</t>
        </is>
      </c>
      <c r="C129" s="14" t="inlineStr">
        <is>
          <t>EN 837-1</t>
        </is>
      </c>
      <c r="D129" s="29" t="inlineStr">
        <is>
          <t>700228</t>
        </is>
      </c>
      <c r="E129" s="70" t="n"/>
      <c r="F129" s="26" t="inlineStr">
        <is>
          <t xml:space="preserve">0…12 бар                   </t>
        </is>
      </c>
      <c r="G129" s="71" t="n">
        <v>1.6</v>
      </c>
      <c r="H129" s="15" t="inlineStr">
        <is>
          <t>Р в маслобаке</t>
        </is>
      </c>
      <c r="I129" s="15" t="inlineStr">
        <is>
          <t>УТО</t>
        </is>
      </c>
      <c r="J129" s="15" t="inlineStr">
        <is>
          <t>АСУ,А и ТМ (КЦ № 7)</t>
        </is>
      </c>
      <c r="K129" s="15" t="n"/>
      <c r="L129" s="47" t="n"/>
      <c r="M129" s="47" t="n"/>
      <c r="N129" s="47" t="n"/>
    </row>
    <row r="130" ht="22.5" customHeight="1" s="151">
      <c r="A130" s="15">
        <f>IF(B130&lt;&gt;"", COUNTA($B$2:B130), "")</f>
        <v/>
      </c>
      <c r="B130" s="280" t="inlineStr">
        <is>
          <t>Манометр технический</t>
        </is>
      </c>
      <c r="C130" s="175" t="inlineStr">
        <is>
          <t>ДМ 2005Сг1Eх-УЗ</t>
        </is>
      </c>
      <c r="D130" s="70" t="n">
        <v>163257</v>
      </c>
      <c r="E130" s="70" t="n">
        <v>2010</v>
      </c>
      <c r="F130" s="11" t="inlineStr">
        <is>
          <t>0…400 кгс/см²</t>
        </is>
      </c>
      <c r="G130" s="175" t="n">
        <v>1.5</v>
      </c>
      <c r="H130" s="15" t="inlineStr">
        <is>
          <t>Кран 8</t>
        </is>
      </c>
      <c r="I130" s="15" t="inlineStr">
        <is>
          <t>Узел подключения</t>
        </is>
      </c>
      <c r="J130" s="15" t="inlineStr">
        <is>
          <t>АСУ,А и ТМ (КЦ № 7)</t>
        </is>
      </c>
      <c r="K130" s="15" t="n">
        <v>2012</v>
      </c>
      <c r="L130" s="47" t="n"/>
      <c r="M130" s="47" t="n"/>
      <c r="N130" s="47" t="n"/>
    </row>
    <row r="131" ht="22.5" customHeight="1" s="151">
      <c r="A131" s="15">
        <f>IF(B131&lt;&gt;"", COUNTA($B$2:B131), "")</f>
        <v/>
      </c>
      <c r="B131" s="280" t="inlineStr">
        <is>
          <t>Манометр технический</t>
        </is>
      </c>
      <c r="C131" s="175" t="inlineStr">
        <is>
          <t>ДМ 2005Сг1Eх-УЗ</t>
        </is>
      </c>
      <c r="D131" s="70" t="n">
        <v>163255</v>
      </c>
      <c r="E131" s="70" t="n">
        <v>2010</v>
      </c>
      <c r="F131" s="11" t="inlineStr">
        <is>
          <t>0…400 кгс/см²</t>
        </is>
      </c>
      <c r="G131" s="175" t="n">
        <v>1.5</v>
      </c>
      <c r="H131" s="15" t="inlineStr">
        <is>
          <t>Кран 18</t>
        </is>
      </c>
      <c r="I131" s="15" t="inlineStr">
        <is>
          <t>Узел подключения</t>
        </is>
      </c>
      <c r="J131" s="15" t="inlineStr">
        <is>
          <t>АСУ,А и ТМ (КЦ № 7)</t>
        </is>
      </c>
      <c r="K131" s="15" t="n">
        <v>2012</v>
      </c>
      <c r="L131" s="47" t="n"/>
      <c r="M131" s="47" t="n"/>
      <c r="N131" s="47" t="n"/>
    </row>
    <row r="132" ht="22.5" customHeight="1" s="151">
      <c r="A132" s="15">
        <f>IF(B132&lt;&gt;"", COUNTA($B$2:B132), "")</f>
        <v/>
      </c>
      <c r="B132" s="280" t="inlineStr">
        <is>
          <t>Манометр технический</t>
        </is>
      </c>
      <c r="C132" s="175" t="inlineStr">
        <is>
          <t>ДМ 2005Сг1Eх-УЗ</t>
        </is>
      </c>
      <c r="D132" s="70" t="n">
        <v>163254</v>
      </c>
      <c r="E132" s="70" t="n">
        <v>2010</v>
      </c>
      <c r="F132" s="11" t="inlineStr">
        <is>
          <t>0…400 кгс/см²</t>
        </is>
      </c>
      <c r="G132" s="175" t="n">
        <v>1.5</v>
      </c>
      <c r="H132" s="15" t="inlineStr">
        <is>
          <t>Кран 7</t>
        </is>
      </c>
      <c r="I132" s="15" t="inlineStr">
        <is>
          <t>Узел подключения</t>
        </is>
      </c>
      <c r="J132" s="15" t="inlineStr">
        <is>
          <t>АСУ,А и ТМ (КЦ № 7)</t>
        </is>
      </c>
      <c r="K132" s="15" t="n">
        <v>2012</v>
      </c>
      <c r="L132" s="47" t="n"/>
      <c r="M132" s="47" t="n"/>
      <c r="N132" s="47" t="n"/>
    </row>
    <row r="133" ht="22.5" customHeight="1" s="151">
      <c r="A133" s="15">
        <f>IF(B133&lt;&gt;"", COUNTA($B$2:B133), "")</f>
        <v/>
      </c>
      <c r="B133" s="280" t="inlineStr">
        <is>
          <t>Манометр технический</t>
        </is>
      </c>
      <c r="C133" s="175" t="inlineStr">
        <is>
          <t>ДМ 2005Сг1Eх-УЗ</t>
        </is>
      </c>
      <c r="D133" s="70" t="n">
        <v>118408</v>
      </c>
      <c r="E133" s="70" t="n">
        <v>2010</v>
      </c>
      <c r="F133" s="11" t="inlineStr">
        <is>
          <t>0…400 кгс/см²</t>
        </is>
      </c>
      <c r="G133" s="175" t="n">
        <v>1.5</v>
      </c>
      <c r="H133" s="15" t="inlineStr">
        <is>
          <t>Кран 7-1</t>
        </is>
      </c>
      <c r="I133" s="15" t="inlineStr">
        <is>
          <t>Узел подключения</t>
        </is>
      </c>
      <c r="J133" s="15" t="inlineStr">
        <is>
          <t>АСУ,А и ТМ (КЦ № 7)</t>
        </is>
      </c>
      <c r="K133" s="15" t="n">
        <v>2012</v>
      </c>
      <c r="L133" s="47" t="n"/>
      <c r="M133" s="47" t="n"/>
      <c r="N133" s="47" t="n"/>
    </row>
    <row r="134" ht="22.5" customHeight="1" s="151">
      <c r="A134" s="15">
        <f>IF(B134&lt;&gt;"", COUNTA($B$2:B134), "")</f>
        <v/>
      </c>
      <c r="B134" s="280" t="inlineStr">
        <is>
          <t>Манометр технический</t>
        </is>
      </c>
      <c r="C134" s="175" t="inlineStr">
        <is>
          <t>ДМ 2005Сг1Eх-УЗ</t>
        </is>
      </c>
      <c r="D134" s="17" t="inlineStr">
        <is>
          <t>163256</t>
        </is>
      </c>
      <c r="E134" s="70" t="n">
        <v>2010</v>
      </c>
      <c r="F134" s="11" t="inlineStr">
        <is>
          <t>0…400 кгс/см²</t>
        </is>
      </c>
      <c r="G134" s="175" t="n">
        <v>1.5</v>
      </c>
      <c r="H134" s="15" t="inlineStr">
        <is>
          <t>Кран 17</t>
        </is>
      </c>
      <c r="I134" s="15" t="inlineStr">
        <is>
          <t>Узел подключения</t>
        </is>
      </c>
      <c r="J134" s="15" t="inlineStr">
        <is>
          <t>АСУ,А и ТМ (КЦ № 7)</t>
        </is>
      </c>
      <c r="K134" s="15" t="n">
        <v>2012</v>
      </c>
      <c r="L134" s="47" t="n"/>
      <c r="M134" s="47" t="n"/>
      <c r="N134" s="47" t="n"/>
    </row>
  </sheetData>
  <mergeCells count="2">
    <mergeCell ref="B69:N69"/>
    <mergeCell ref="B16:N16"/>
  </mergeCells>
  <conditionalFormatting sqref="D87">
    <cfRule type="duplicateValues" priority="7" dxfId="16"/>
  </conditionalFormatting>
  <conditionalFormatting sqref="D98:D99 D101">
    <cfRule type="duplicateValues" priority="6" dxfId="16"/>
  </conditionalFormatting>
  <conditionalFormatting sqref="D102">
    <cfRule type="duplicateValues" priority="5" dxfId="16"/>
  </conditionalFormatting>
  <conditionalFormatting sqref="D103">
    <cfRule type="duplicateValues" priority="4" dxfId="16"/>
  </conditionalFormatting>
  <conditionalFormatting sqref="D86">
    <cfRule type="duplicateValues" priority="3" dxfId="16"/>
  </conditionalFormatting>
  <conditionalFormatting sqref="D90:D91">
    <cfRule type="duplicateValues" priority="2" dxfId="16"/>
  </conditionalFormatting>
  <conditionalFormatting sqref="D106:D107">
    <cfRule type="duplicateValues" priority="1" dxfId="16"/>
  </conditionalFormatting>
  <conditionalFormatting sqref="D124:D125">
    <cfRule type="duplicateValues" priority="114" dxfId="16"/>
  </conditionalFormatting>
  <pageMargins left="0.7" right="0.7" top="0.75" bottom="0.75" header="0.3" footer="0.3"/>
  <pageSetup orientation="portrait" paperSize="9" scale="59"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G6" sqref="G6"/>
    </sheetView>
  </sheetViews>
  <sheetFormatPr baseColWidth="8" defaultRowHeight="15"/>
  <cols>
    <col width="17.5703125" bestFit="1" customWidth="1" style="151" min="1" max="1"/>
    <col width="14.5703125" bestFit="1" customWidth="1" style="151" min="2" max="2"/>
    <col width="9.28515625" bestFit="1" customWidth="1" style="151" min="3" max="3"/>
    <col width="6.5703125" bestFit="1" customWidth="1" style="151" min="4" max="4"/>
    <col width="11" bestFit="1" customWidth="1" style="151" min="5" max="5"/>
    <col width="7.42578125" bestFit="1" customWidth="1" style="151" min="6" max="6"/>
    <col width="20.85546875" bestFit="1" customWidth="1" style="151" min="7" max="7"/>
    <col width="11.28515625" bestFit="1" customWidth="1" style="151" min="8" max="8"/>
  </cols>
  <sheetData>
    <row r="1" ht="22.5" customHeight="1" s="151">
      <c r="A1" s="280" t="inlineStr">
        <is>
          <t>Манометр технический</t>
        </is>
      </c>
      <c r="B1" s="70" t="inlineStr">
        <is>
          <t>Bifold</t>
        </is>
      </c>
      <c r="C1" s="70" t="inlineStr">
        <is>
          <t>36398/1195</t>
        </is>
      </c>
      <c r="D1" s="70" t="n">
        <v>2018</v>
      </c>
      <c r="E1" s="26" t="inlineStr">
        <is>
          <t xml:space="preserve">0…10 бар                   </t>
        </is>
      </c>
      <c r="F1" s="71" t="n"/>
      <c r="G1" s="175" t="inlineStr">
        <is>
          <t>Шкаф управления краном 3бис</t>
        </is>
      </c>
      <c r="H1" s="8" t="inlineStr">
        <is>
          <t>ГПА 71</t>
        </is>
      </c>
    </row>
    <row r="2" ht="22.5" customHeight="1" s="151">
      <c r="A2" s="280" t="inlineStr">
        <is>
          <t>Манометр технический</t>
        </is>
      </c>
      <c r="B2" s="14" t="inlineStr">
        <is>
          <t>EN 837-1</t>
        </is>
      </c>
      <c r="C2" s="70" t="n">
        <v>113538</v>
      </c>
      <c r="D2" s="70" t="n">
        <v>2018</v>
      </c>
      <c r="E2" s="26" t="inlineStr">
        <is>
          <t xml:space="preserve">0…60 бар                   </t>
        </is>
      </c>
      <c r="F2" s="71" t="n">
        <v>1.6</v>
      </c>
      <c r="G2" s="175" t="inlineStr">
        <is>
          <t>P г в аккумуляторе крана 3бис</t>
        </is>
      </c>
      <c r="H2" s="8" t="inlineStr">
        <is>
          <t>ГПА 71</t>
        </is>
      </c>
    </row>
    <row r="3" ht="22.5" customHeight="1" s="151">
      <c r="A3" s="280" t="inlineStr">
        <is>
          <t>Манометр технический</t>
        </is>
      </c>
      <c r="B3" s="14" t="inlineStr">
        <is>
          <t>EN 837-1</t>
        </is>
      </c>
      <c r="C3" s="70" t="n">
        <v>113548</v>
      </c>
      <c r="D3" s="70" t="n"/>
      <c r="E3" s="26" t="inlineStr">
        <is>
          <t xml:space="preserve">0…160 бар                   </t>
        </is>
      </c>
      <c r="F3" s="71" t="n">
        <v>1.6</v>
      </c>
      <c r="G3" s="175" t="inlineStr">
        <is>
          <t>P г до регулятора высокого давления 3бис</t>
        </is>
      </c>
      <c r="H3" s="8" t="inlineStr">
        <is>
          <t>ГПА 72</t>
        </is>
      </c>
    </row>
    <row r="4" ht="22.5" customHeight="1" s="151">
      <c r="A4" s="280" t="inlineStr">
        <is>
          <t>Манометр технический</t>
        </is>
      </c>
      <c r="B4" s="14" t="inlineStr">
        <is>
          <t>EN 837-1</t>
        </is>
      </c>
      <c r="C4" s="70" t="n">
        <v>113542</v>
      </c>
      <c r="D4" s="70" t="n"/>
      <c r="E4" s="26" t="inlineStr">
        <is>
          <t xml:space="preserve">0…60 бар                   </t>
        </is>
      </c>
      <c r="F4" s="71" t="n">
        <v>1.6</v>
      </c>
      <c r="G4" s="175" t="inlineStr">
        <is>
          <t>P г после регулятора высокого давления 3бис</t>
        </is>
      </c>
      <c r="H4" s="8" t="inlineStr">
        <is>
          <t>ГПА 72</t>
        </is>
      </c>
    </row>
    <row r="5" ht="22.5" customHeight="1" s="151">
      <c r="A5" s="280" t="inlineStr">
        <is>
          <t>Манометр технический</t>
        </is>
      </c>
      <c r="B5" s="70" t="inlineStr">
        <is>
          <t>Bifold</t>
        </is>
      </c>
      <c r="C5" s="70" t="inlineStr">
        <is>
          <t>34728/1493</t>
        </is>
      </c>
      <c r="D5" s="70" t="n"/>
      <c r="E5" s="26" t="inlineStr">
        <is>
          <t xml:space="preserve">0…10 бар                   </t>
        </is>
      </c>
      <c r="F5" s="71" t="n"/>
      <c r="G5" s="175" t="inlineStr">
        <is>
          <t>Шкаф управления краном 3бис</t>
        </is>
      </c>
      <c r="H5" s="8" t="inlineStr">
        <is>
          <t>ГПА 73</t>
        </is>
      </c>
    </row>
    <row r="6" ht="22.5" customHeight="1" s="151">
      <c r="A6" s="280" t="inlineStr">
        <is>
          <t>Манометр технический</t>
        </is>
      </c>
      <c r="B6" s="14" t="inlineStr">
        <is>
          <t>EN 837-1</t>
        </is>
      </c>
      <c r="C6" s="70" t="n">
        <v>113535</v>
      </c>
      <c r="D6" s="70" t="n"/>
      <c r="E6" s="26" t="inlineStr">
        <is>
          <t xml:space="preserve">0…60 бар                   </t>
        </is>
      </c>
      <c r="F6" s="71" t="n">
        <v>1.6</v>
      </c>
      <c r="G6" s="175" t="inlineStr">
        <is>
          <t>P г в аккумуляторе крана 3бис</t>
        </is>
      </c>
      <c r="H6" s="8" t="inlineStr">
        <is>
          <t>ГПА 73</t>
        </is>
      </c>
    </row>
    <row r="7" ht="22.5" customHeight="1" s="151">
      <c r="A7" s="280" t="inlineStr">
        <is>
          <t>Манометр технический</t>
        </is>
      </c>
      <c r="B7" s="15" t="inlineStr">
        <is>
          <t>EN 837-1</t>
        </is>
      </c>
      <c r="C7" s="14" t="n">
        <v>700305</v>
      </c>
      <c r="D7" s="14" t="n"/>
      <c r="E7" s="26" t="inlineStr">
        <is>
          <t xml:space="preserve">0…10 бар                   </t>
        </is>
      </c>
      <c r="F7" s="71" t="n">
        <v>1.6</v>
      </c>
      <c r="G7" s="15" t="inlineStr">
        <is>
          <t>Шкаф управления краном 36к</t>
        </is>
      </c>
      <c r="H7" s="15" t="inlineStr">
        <is>
          <t>Промплощадка</t>
        </is>
      </c>
    </row>
    <row r="8" ht="22.5" customHeight="1" s="151">
      <c r="A8" s="280" t="inlineStr">
        <is>
          <t>Манометр технический</t>
        </is>
      </c>
      <c r="B8" s="15" t="inlineStr">
        <is>
          <t>EN 837-1</t>
        </is>
      </c>
      <c r="C8" s="14" t="n">
        <v>700306</v>
      </c>
      <c r="D8" s="15" t="n"/>
      <c r="E8" s="26" t="inlineStr">
        <is>
          <t xml:space="preserve">0…2,5 бар                   </t>
        </is>
      </c>
      <c r="F8" s="71" t="n">
        <v>1.6</v>
      </c>
      <c r="G8" s="15" t="inlineStr">
        <is>
          <t>Шкаф управления краном 36к</t>
        </is>
      </c>
      <c r="H8" s="15" t="inlineStr">
        <is>
          <t>Промплощадка</t>
        </is>
      </c>
    </row>
    <row r="9" ht="22.5" customHeight="1" s="151">
      <c r="A9" s="280" t="inlineStr">
        <is>
          <t>Манометр технический</t>
        </is>
      </c>
      <c r="B9" s="14" t="inlineStr">
        <is>
          <t>Bifold</t>
        </is>
      </c>
      <c r="C9" s="15" t="inlineStr">
        <is>
          <t>36398/2379</t>
        </is>
      </c>
      <c r="D9" s="70" t="n"/>
      <c r="E9" s="26" t="inlineStr">
        <is>
          <t xml:space="preserve">0…10 бар                   </t>
        </is>
      </c>
      <c r="F9" s="71" t="n"/>
      <c r="G9" s="15" t="inlineStr">
        <is>
          <t>Шкаф управления краном 36к</t>
        </is>
      </c>
      <c r="H9" s="15" t="inlineStr">
        <is>
          <t>Промплощадка</t>
        </is>
      </c>
    </row>
    <row r="10" ht="22.5" customHeight="1" s="151">
      <c r="A10" s="280" t="inlineStr">
        <is>
          <t>Манометр технический</t>
        </is>
      </c>
      <c r="B10" s="14" t="inlineStr">
        <is>
          <t>Bifold</t>
        </is>
      </c>
      <c r="C10" s="14" t="n">
        <v>700307</v>
      </c>
      <c r="D10" s="70" t="n"/>
      <c r="E10" s="26" t="inlineStr">
        <is>
          <t xml:space="preserve">0…8 бар                   </t>
        </is>
      </c>
      <c r="F10" s="71" t="n"/>
      <c r="G10" s="15" t="inlineStr">
        <is>
          <t>Шкаф управления краном 36к</t>
        </is>
      </c>
      <c r="H10" s="15" t="inlineStr">
        <is>
          <t>Промплощадка</t>
        </is>
      </c>
    </row>
    <row r="11" ht="22.5" customHeight="1" s="151">
      <c r="A11" s="280" t="inlineStr">
        <is>
          <t>Манометр технический</t>
        </is>
      </c>
      <c r="B11" s="14" t="inlineStr">
        <is>
          <t>Bifold</t>
        </is>
      </c>
      <c r="C11" s="14" t="n">
        <v>700308</v>
      </c>
      <c r="D11" s="70" t="n"/>
      <c r="E11" s="26" t="inlineStr">
        <is>
          <t xml:space="preserve">0…8 бар                   </t>
        </is>
      </c>
      <c r="F11" s="71" t="n"/>
      <c r="G11" s="15" t="inlineStr">
        <is>
          <t>Шкаф управления краном 36к</t>
        </is>
      </c>
      <c r="H11" s="15" t="inlineStr">
        <is>
          <t>Промплощадка</t>
        </is>
      </c>
    </row>
    <row r="12" ht="22.5" customHeight="1" s="151">
      <c r="A12" s="280" t="inlineStr">
        <is>
          <t>Манометр технический</t>
        </is>
      </c>
      <c r="B12" s="70" t="inlineStr">
        <is>
          <t>ЭкМ160</t>
        </is>
      </c>
      <c r="C12" s="29" t="inlineStr">
        <is>
          <t>011711571</t>
        </is>
      </c>
      <c r="D12" s="70" t="n"/>
      <c r="E12" s="70" t="inlineStr">
        <is>
          <t>0…40 МПа</t>
        </is>
      </c>
      <c r="F12" s="71" t="n">
        <v>1.5</v>
      </c>
      <c r="G12" s="175" t="inlineStr">
        <is>
          <t>P м в гидроаккумуляторе крана 36</t>
        </is>
      </c>
      <c r="H12" s="15" t="inlineStr">
        <is>
          <t>Промплощадка</t>
        </is>
      </c>
    </row>
  </sheetData>
  <pageMargins left="0.7" right="0.7" top="0.75" bottom="0.75" header="0.3" footer="0.3"/>
  <pageSetup orientation="landscape" paperSize="9"/>
</worksheet>
</file>

<file path=xl/worksheets/sheet21.xml><?xml version="1.0" encoding="utf-8"?>
<worksheet xmlns="http://schemas.openxmlformats.org/spreadsheetml/2006/main">
  <sheetPr codeName="Лист20">
    <outlinePr summaryBelow="1" summaryRight="1"/>
    <pageSetUpPr/>
  </sheetPr>
  <dimension ref="A1:N298"/>
  <sheetViews>
    <sheetView zoomScaleNormal="100" workbookViewId="0">
      <pane ySplit="1" topLeftCell="A68" activePane="bottomLeft" state="frozen"/>
      <selection pane="bottomLeft" activeCell="D68" sqref="D68"/>
    </sheetView>
  </sheetViews>
  <sheetFormatPr baseColWidth="8" defaultRowHeight="11.25"/>
  <cols>
    <col width="3.5703125" bestFit="1" customWidth="1" style="144" min="1" max="1"/>
    <col width="22.28515625" bestFit="1" customWidth="1" style="144" min="2" max="2"/>
    <col width="13.42578125" bestFit="1" customWidth="1" style="144" min="3" max="3"/>
    <col width="8.7109375" bestFit="1" customWidth="1" style="149" min="4" max="4"/>
    <col width="6.5703125" bestFit="1" customWidth="1" style="144" min="5" max="5"/>
    <col width="11.5703125" bestFit="1" customWidth="1" style="144" min="6" max="6"/>
    <col width="7.42578125" bestFit="1" customWidth="1" style="144" min="7" max="7"/>
    <col width="10" bestFit="1" customWidth="1" style="144" min="8" max="8"/>
    <col width="10.5703125" bestFit="1" customWidth="1" style="144" min="9" max="9"/>
    <col width="11.7109375" bestFit="1" customWidth="1" style="144" min="10" max="10"/>
    <col width="16.28515625" bestFit="1" customWidth="1" style="144" min="11" max="11"/>
    <col width="9.140625" customWidth="1" style="108" min="12" max="12"/>
    <col width="67.7109375" bestFit="1" customWidth="1" style="108" min="13" max="13"/>
    <col width="9.140625" customWidth="1" style="108" min="14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3" t="inlineStr">
        <is>
          <t>Заводской номер</t>
        </is>
      </c>
      <c r="E1" s="3" t="inlineStr">
        <is>
          <t>Год 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Тип резьбы</t>
        </is>
      </c>
      <c r="I1" s="15" t="inlineStr">
        <is>
          <t>Межповерочный интервал, мес.</t>
        </is>
      </c>
      <c r="J1" s="3" t="inlineStr">
        <is>
          <t>Дата последней поверки / калибровки</t>
        </is>
      </c>
      <c r="K1" s="175" t="inlineStr">
        <is>
          <t>Ориентация 
штуцера</t>
        </is>
      </c>
    </row>
    <row r="2">
      <c r="A2" s="140">
        <f>IF(B2&lt;&gt;"", COUNTA($B$2:B2), "")</f>
        <v/>
      </c>
      <c r="B2" s="140" t="inlineStr">
        <is>
          <t>Манометр электроконтактный</t>
        </is>
      </c>
      <c r="C2" s="140" t="inlineStr">
        <is>
          <t>ДМ2010СгУ2</t>
        </is>
      </c>
      <c r="D2" s="141" t="inlineStr">
        <is>
          <t>б/н</t>
        </is>
      </c>
      <c r="E2" s="140" t="n"/>
      <c r="F2" s="140" t="inlineStr">
        <is>
          <t>0...10 МПа</t>
        </is>
      </c>
      <c r="G2" s="140" t="n">
        <v>1.5</v>
      </c>
      <c r="H2" s="140" t="inlineStr">
        <is>
          <t>Метрическая</t>
        </is>
      </c>
      <c r="I2" s="140" t="n">
        <v>12</v>
      </c>
      <c r="J2" s="140" t="inlineStr">
        <is>
          <t>отсутствует</t>
        </is>
      </c>
      <c r="K2" s="140" t="inlineStr">
        <is>
          <t>Радиальный</t>
        </is>
      </c>
    </row>
    <row r="3">
      <c r="A3" s="140">
        <f>IF(B3&lt;&gt;"", COUNTA($B$2:B3), "")</f>
        <v/>
      </c>
      <c r="B3" s="140" t="inlineStr">
        <is>
          <t>Манометр технический</t>
        </is>
      </c>
      <c r="C3" s="140" t="inlineStr">
        <is>
          <t>ДМ8008-Вуф</t>
        </is>
      </c>
      <c r="D3" s="141" t="inlineStr">
        <is>
          <t>008736</t>
        </is>
      </c>
      <c r="E3" s="140" t="n"/>
      <c r="F3" s="140" t="inlineStr">
        <is>
          <t>0...16 МПа</t>
        </is>
      </c>
      <c r="G3" s="140" t="n">
        <v>1</v>
      </c>
      <c r="H3" s="140" t="inlineStr">
        <is>
          <t>Метрическая</t>
        </is>
      </c>
      <c r="I3" s="140" t="n">
        <v>12</v>
      </c>
      <c r="J3" s="140" t="inlineStr">
        <is>
          <t>2К24</t>
        </is>
      </c>
      <c r="K3" s="140" t="inlineStr">
        <is>
          <t>Радиальный</t>
        </is>
      </c>
    </row>
    <row r="4">
      <c r="A4" s="140">
        <f>IF(B4&lt;&gt;"", COUNTA($B$2:B4), "")</f>
        <v/>
      </c>
      <c r="B4" s="140" t="inlineStr">
        <is>
          <t>Манометр технический</t>
        </is>
      </c>
      <c r="C4" s="140" t="inlineStr">
        <is>
          <t>ДМ8008-Вуф</t>
        </is>
      </c>
      <c r="D4" s="141" t="inlineStr">
        <is>
          <t>010356</t>
        </is>
      </c>
      <c r="E4" s="140" t="n"/>
      <c r="F4" s="140" t="inlineStr">
        <is>
          <t>0...16 МПа</t>
        </is>
      </c>
      <c r="G4" s="140" t="n">
        <v>1</v>
      </c>
      <c r="H4" s="140" t="inlineStr">
        <is>
          <t>Метрическая</t>
        </is>
      </c>
      <c r="I4" s="140" t="n">
        <v>12</v>
      </c>
      <c r="J4" s="140" t="inlineStr">
        <is>
          <t>2К24</t>
        </is>
      </c>
      <c r="K4" s="140" t="inlineStr">
        <is>
          <t>Радиальный</t>
        </is>
      </c>
    </row>
    <row r="5">
      <c r="A5" s="140">
        <f>IF(B5&lt;&gt;"", COUNTA($B$2:B5), "")</f>
        <v/>
      </c>
      <c r="B5" s="140" t="inlineStr">
        <is>
          <t>Манометр технический</t>
        </is>
      </c>
      <c r="C5" s="140" t="inlineStr">
        <is>
          <t>ДМ8008-Вуф</t>
        </is>
      </c>
      <c r="D5" s="141" t="inlineStr">
        <is>
          <t>008622</t>
        </is>
      </c>
      <c r="E5" s="140" t="n"/>
      <c r="F5" s="140" t="inlineStr">
        <is>
          <t>0...16 МПа</t>
        </is>
      </c>
      <c r="G5" s="140" t="n">
        <v>1</v>
      </c>
      <c r="H5" s="140" t="inlineStr">
        <is>
          <t>Метрическая</t>
        </is>
      </c>
      <c r="I5" s="140" t="n">
        <v>12</v>
      </c>
      <c r="J5" s="140" t="inlineStr">
        <is>
          <t>2К24</t>
        </is>
      </c>
      <c r="K5" s="140" t="inlineStr">
        <is>
          <t>Радиальный</t>
        </is>
      </c>
    </row>
    <row r="6">
      <c r="A6" s="140">
        <f>IF(B6&lt;&gt;"", COUNTA($B$2:B6), "")</f>
        <v/>
      </c>
      <c r="B6" s="140" t="inlineStr">
        <is>
          <t>Манометр технический</t>
        </is>
      </c>
      <c r="C6" s="140" t="inlineStr">
        <is>
          <t>ДМ8008-Вуф</t>
        </is>
      </c>
      <c r="D6" s="141" t="inlineStr">
        <is>
          <t>008657</t>
        </is>
      </c>
      <c r="E6" s="140" t="n"/>
      <c r="F6" s="140" t="inlineStr">
        <is>
          <t>0...16 МПа</t>
        </is>
      </c>
      <c r="G6" s="140" t="n">
        <v>1</v>
      </c>
      <c r="H6" s="140" t="inlineStr">
        <is>
          <t>Метрическая</t>
        </is>
      </c>
      <c r="I6" s="140" t="n">
        <v>12</v>
      </c>
      <c r="J6" s="140" t="inlineStr">
        <is>
          <t>2К24</t>
        </is>
      </c>
      <c r="K6" s="140" t="inlineStr">
        <is>
          <t>Радиальный</t>
        </is>
      </c>
    </row>
    <row r="7">
      <c r="A7" s="140">
        <f>IF(B7&lt;&gt;"", COUNTA($B$2:B7), "")</f>
        <v/>
      </c>
      <c r="B7" s="140" t="inlineStr">
        <is>
          <t>Манометр технический</t>
        </is>
      </c>
      <c r="C7" s="140" t="inlineStr">
        <is>
          <t>ДМ8008-Вуф</t>
        </is>
      </c>
      <c r="D7" s="141" t="inlineStr">
        <is>
          <t>008759</t>
        </is>
      </c>
      <c r="E7" s="140" t="n"/>
      <c r="F7" s="140" t="inlineStr">
        <is>
          <t>0...16 МПа</t>
        </is>
      </c>
      <c r="G7" s="140" t="n">
        <v>1</v>
      </c>
      <c r="H7" s="140" t="inlineStr">
        <is>
          <t>Метрическая</t>
        </is>
      </c>
      <c r="I7" s="140" t="n">
        <v>12</v>
      </c>
      <c r="J7" s="140" t="inlineStr">
        <is>
          <t>2К24</t>
        </is>
      </c>
      <c r="K7" s="140" t="inlineStr">
        <is>
          <t>Радиальный</t>
        </is>
      </c>
    </row>
    <row r="8">
      <c r="A8" s="140">
        <f>IF(B8&lt;&gt;"", COUNTA($B$2:B8), "")</f>
        <v/>
      </c>
      <c r="B8" s="140" t="inlineStr">
        <is>
          <t>Манометр технический</t>
        </is>
      </c>
      <c r="C8" s="140" t="inlineStr">
        <is>
          <t>ДМ8008-Вуф</t>
        </is>
      </c>
      <c r="D8" s="141" t="inlineStr">
        <is>
          <t>007562</t>
        </is>
      </c>
      <c r="E8" s="140" t="n"/>
      <c r="F8" s="140" t="inlineStr">
        <is>
          <t>0...16 МПа</t>
        </is>
      </c>
      <c r="G8" s="140" t="n">
        <v>1</v>
      </c>
      <c r="H8" s="140" t="inlineStr">
        <is>
          <t>Метрическая</t>
        </is>
      </c>
      <c r="I8" s="140" t="n">
        <v>12</v>
      </c>
      <c r="J8" s="140" t="inlineStr">
        <is>
          <t>2К24</t>
        </is>
      </c>
      <c r="K8" s="140" t="inlineStr">
        <is>
          <t>Радиальный</t>
        </is>
      </c>
    </row>
    <row r="9">
      <c r="A9" s="140">
        <f>IF(B9&lt;&gt;"", COUNTA($B$2:B9), "")</f>
        <v/>
      </c>
      <c r="B9" s="140" t="inlineStr">
        <is>
          <t>Манометр технический</t>
        </is>
      </c>
      <c r="C9" s="140" t="inlineStr">
        <is>
          <t>ДМ8008-Вуф</t>
        </is>
      </c>
      <c r="D9" s="141" t="inlineStr">
        <is>
          <t>008780</t>
        </is>
      </c>
      <c r="E9" s="140" t="n"/>
      <c r="F9" s="140" t="inlineStr">
        <is>
          <t>0...16 МПа</t>
        </is>
      </c>
      <c r="G9" s="140" t="n">
        <v>1</v>
      </c>
      <c r="H9" s="140" t="inlineStr">
        <is>
          <t>Метрическая</t>
        </is>
      </c>
      <c r="I9" s="140" t="n">
        <v>12</v>
      </c>
      <c r="J9" s="140" t="inlineStr">
        <is>
          <t>2К24</t>
        </is>
      </c>
      <c r="K9" s="140" t="inlineStr">
        <is>
          <t>Радиальный</t>
        </is>
      </c>
    </row>
    <row r="10">
      <c r="A10" s="140">
        <f>IF(B10&lt;&gt;"", COUNTA($B$2:B10), "")</f>
        <v/>
      </c>
      <c r="B10" s="140" t="inlineStr">
        <is>
          <t>Манометр технический</t>
        </is>
      </c>
      <c r="C10" s="140" t="inlineStr">
        <is>
          <t>ДМ8008-Вуф</t>
        </is>
      </c>
      <c r="D10" s="141" t="inlineStr">
        <is>
          <t>010164</t>
        </is>
      </c>
      <c r="E10" s="140" t="n"/>
      <c r="F10" s="140" t="inlineStr">
        <is>
          <t>0...16 МПа</t>
        </is>
      </c>
      <c r="G10" s="140" t="n">
        <v>1</v>
      </c>
      <c r="H10" s="140" t="inlineStr">
        <is>
          <t>Метрическая</t>
        </is>
      </c>
      <c r="I10" s="140" t="n">
        <v>12</v>
      </c>
      <c r="J10" s="140" t="inlineStr">
        <is>
          <t>2К24</t>
        </is>
      </c>
      <c r="K10" s="140" t="inlineStr">
        <is>
          <t>Радиальный</t>
        </is>
      </c>
    </row>
    <row r="11">
      <c r="A11" s="140">
        <f>IF(B11&lt;&gt;"", COUNTA($B$2:B11), "")</f>
        <v/>
      </c>
      <c r="B11" s="140" t="inlineStr">
        <is>
          <t>Манометр технический</t>
        </is>
      </c>
      <c r="C11" s="140" t="inlineStr">
        <is>
          <t>ДМ8008-Вуф</t>
        </is>
      </c>
      <c r="D11" s="141" t="inlineStr">
        <is>
          <t>010166</t>
        </is>
      </c>
      <c r="E11" s="140" t="n"/>
      <c r="F11" s="140" t="inlineStr">
        <is>
          <t>0...16 МПа</t>
        </is>
      </c>
      <c r="G11" s="140" t="n">
        <v>1</v>
      </c>
      <c r="H11" s="140" t="inlineStr">
        <is>
          <t>Метрическая</t>
        </is>
      </c>
      <c r="I11" s="140" t="n">
        <v>12</v>
      </c>
      <c r="J11" s="140" t="inlineStr">
        <is>
          <t>2К24</t>
        </is>
      </c>
      <c r="K11" s="140" t="inlineStr">
        <is>
          <t>Радиальный</t>
        </is>
      </c>
    </row>
    <row r="12">
      <c r="A12" s="140">
        <f>IF(B12&lt;&gt;"", COUNTA($B$2:B12), "")</f>
        <v/>
      </c>
      <c r="B12" s="140" t="inlineStr">
        <is>
          <t>Манометр технический</t>
        </is>
      </c>
      <c r="C12" s="140" t="inlineStr">
        <is>
          <t>ДМ8008-Вуф</t>
        </is>
      </c>
      <c r="D12" s="141" t="inlineStr">
        <is>
          <t>010085</t>
        </is>
      </c>
      <c r="E12" s="140" t="n"/>
      <c r="F12" s="140" t="inlineStr">
        <is>
          <t>0...16 МПа</t>
        </is>
      </c>
      <c r="G12" s="140" t="n">
        <v>1</v>
      </c>
      <c r="H12" s="140" t="inlineStr">
        <is>
          <t>Метрическая</t>
        </is>
      </c>
      <c r="I12" s="140" t="n">
        <v>12</v>
      </c>
      <c r="J12" s="140" t="inlineStr">
        <is>
          <t>2К24</t>
        </is>
      </c>
      <c r="K12" s="140" t="inlineStr">
        <is>
          <t>Радиальный</t>
        </is>
      </c>
    </row>
    <row r="13">
      <c r="A13" s="140">
        <f>IF(B13&lt;&gt;"", COUNTA($B$2:B13), "")</f>
        <v/>
      </c>
      <c r="B13" s="140" t="inlineStr">
        <is>
          <t>Манометр технический</t>
        </is>
      </c>
      <c r="C13" s="140" t="inlineStr">
        <is>
          <t>ДМ8008-Вуф</t>
        </is>
      </c>
      <c r="D13" s="141" t="inlineStr">
        <is>
          <t>007557</t>
        </is>
      </c>
      <c r="E13" s="140" t="n"/>
      <c r="F13" s="140" t="inlineStr">
        <is>
          <t>0...16 МПа</t>
        </is>
      </c>
      <c r="G13" s="140" t="n">
        <v>1</v>
      </c>
      <c r="H13" s="140" t="inlineStr">
        <is>
          <t>Метрическая</t>
        </is>
      </c>
      <c r="I13" s="140" t="n">
        <v>12</v>
      </c>
      <c r="J13" s="140" t="inlineStr">
        <is>
          <t>2К24</t>
        </is>
      </c>
      <c r="K13" s="140" t="inlineStr">
        <is>
          <t>Радиальный</t>
        </is>
      </c>
    </row>
    <row r="14">
      <c r="A14" s="140">
        <f>IF(B14&lt;&gt;"", COUNTA($B$2:B14), "")</f>
        <v/>
      </c>
      <c r="B14" s="140" t="inlineStr">
        <is>
          <t>Манометр технический</t>
        </is>
      </c>
      <c r="C14" s="140" t="inlineStr">
        <is>
          <t>ДМ8008-Вуф</t>
        </is>
      </c>
      <c r="D14" s="141" t="inlineStr">
        <is>
          <t>007600</t>
        </is>
      </c>
      <c r="E14" s="140" t="n"/>
      <c r="F14" s="140" t="inlineStr">
        <is>
          <t>0...16 МПа</t>
        </is>
      </c>
      <c r="G14" s="140" t="n">
        <v>1</v>
      </c>
      <c r="H14" s="140" t="inlineStr">
        <is>
          <t>Метрическая</t>
        </is>
      </c>
      <c r="I14" s="140" t="n">
        <v>12</v>
      </c>
      <c r="J14" s="140" t="inlineStr">
        <is>
          <t>2К24</t>
        </is>
      </c>
      <c r="K14" s="140" t="inlineStr">
        <is>
          <t>Радиальный</t>
        </is>
      </c>
    </row>
    <row r="15">
      <c r="A15" s="140">
        <f>IF(B15&lt;&gt;"", COUNTA($B$2:B15), "")</f>
        <v/>
      </c>
      <c r="B15" s="140" t="inlineStr">
        <is>
          <t>Манометр технический</t>
        </is>
      </c>
      <c r="C15" s="140" t="inlineStr">
        <is>
          <t>ТМ5</t>
        </is>
      </c>
      <c r="D15" s="141" t="n">
        <v>7000242</v>
      </c>
      <c r="E15" s="140" t="n"/>
      <c r="F15" s="140" t="inlineStr">
        <is>
          <t>0...1,6 МПа</t>
        </is>
      </c>
      <c r="G15" s="140" t="n">
        <v>1.5</v>
      </c>
      <c r="H15" s="140" t="inlineStr">
        <is>
          <t>Трубная</t>
        </is>
      </c>
      <c r="I15" s="140" t="n">
        <v>12</v>
      </c>
      <c r="J15" s="140" t="inlineStr">
        <is>
          <t>25ДЯУ</t>
        </is>
      </c>
      <c r="K15" s="140" t="inlineStr">
        <is>
          <t>Радиальный</t>
        </is>
      </c>
    </row>
    <row r="16">
      <c r="A16" s="140">
        <f>IF(B16&lt;&gt;"", COUNTA($B$2:B16), "")</f>
        <v/>
      </c>
      <c r="B16" s="140" t="inlineStr">
        <is>
          <t>Манометр технический</t>
        </is>
      </c>
      <c r="C16" s="140" t="inlineStr">
        <is>
          <t>МП4-УУ2</t>
        </is>
      </c>
      <c r="D16" s="141" t="n">
        <v>15330</v>
      </c>
      <c r="E16" s="140" t="n"/>
      <c r="F16" s="140" t="inlineStr">
        <is>
          <t>0...160 кгс/см2</t>
        </is>
      </c>
      <c r="G16" s="140" t="n">
        <v>1.5</v>
      </c>
      <c r="H16" s="140" t="inlineStr">
        <is>
          <t>Метрическая</t>
        </is>
      </c>
      <c r="I16" s="140" t="n">
        <v>12</v>
      </c>
      <c r="J16" s="140" t="inlineStr">
        <is>
          <t>25ДЯУ</t>
        </is>
      </c>
      <c r="K16" s="140" t="inlineStr">
        <is>
          <t>Осевой</t>
        </is>
      </c>
    </row>
    <row r="17">
      <c r="A17" s="140">
        <f>IF(B17&lt;&gt;"", COUNTA($B$2:B17), "")</f>
        <v/>
      </c>
      <c r="B17" s="140" t="inlineStr">
        <is>
          <t>Манометр технический</t>
        </is>
      </c>
      <c r="C17" s="140" t="inlineStr">
        <is>
          <t>МП4-УУ2</t>
        </is>
      </c>
      <c r="D17" s="141" t="n">
        <v>15346</v>
      </c>
      <c r="E17" s="140" t="n"/>
      <c r="F17" s="140" t="inlineStr">
        <is>
          <t>0...160 кгс/см2</t>
        </is>
      </c>
      <c r="G17" s="140" t="n">
        <v>1.5</v>
      </c>
      <c r="H17" s="140" t="inlineStr">
        <is>
          <t>Метрическая</t>
        </is>
      </c>
      <c r="I17" s="140" t="n">
        <v>12</v>
      </c>
      <c r="J17" s="140" t="inlineStr">
        <is>
          <t>25ДЯУ</t>
        </is>
      </c>
      <c r="K17" s="140" t="inlineStr">
        <is>
          <t>Осевой</t>
        </is>
      </c>
    </row>
    <row r="18">
      <c r="A18" s="140">
        <f>IF(B18&lt;&gt;"", COUNTA($B$2:B18), "")</f>
        <v/>
      </c>
      <c r="B18" s="140" t="inlineStr">
        <is>
          <t>Манометр технический</t>
        </is>
      </c>
      <c r="C18" s="140" t="inlineStr">
        <is>
          <t>МП4-УУ2</t>
        </is>
      </c>
      <c r="D18" s="141" t="n">
        <v>6313</v>
      </c>
      <c r="E18" s="140" t="n"/>
      <c r="F18" s="140" t="inlineStr">
        <is>
          <t>0...100 кгс/см2</t>
        </is>
      </c>
      <c r="G18" s="140" t="n">
        <v>1.5</v>
      </c>
      <c r="H18" s="140" t="inlineStr">
        <is>
          <t>Метрическая</t>
        </is>
      </c>
      <c r="I18" s="140" t="n">
        <v>12</v>
      </c>
      <c r="J18" s="140" t="inlineStr">
        <is>
          <t>23ДЯУ</t>
        </is>
      </c>
      <c r="K18" s="140" t="inlineStr">
        <is>
          <t>Радиальный</t>
        </is>
      </c>
    </row>
    <row r="19">
      <c r="A19" s="140">
        <f>IF(B19&lt;&gt;"", COUNTA($B$2:B19), "")</f>
        <v/>
      </c>
      <c r="B19" s="140" t="inlineStr">
        <is>
          <t>Манометр технический</t>
        </is>
      </c>
      <c r="C19" s="140" t="inlineStr">
        <is>
          <t>МП4-УУ2</t>
        </is>
      </c>
      <c r="D19" s="141" t="n">
        <v>212032693</v>
      </c>
      <c r="E19" s="140" t="n"/>
      <c r="F19" s="140" t="inlineStr">
        <is>
          <t>0...10 МПа</t>
        </is>
      </c>
      <c r="G19" s="140" t="n">
        <v>1</v>
      </c>
      <c r="H19" s="140" t="inlineStr">
        <is>
          <t>Метрическая</t>
        </is>
      </c>
      <c r="I19" s="140" t="n">
        <v>12</v>
      </c>
      <c r="J19" s="140" t="inlineStr">
        <is>
          <t>23ДЯУ</t>
        </is>
      </c>
      <c r="K19" s="140" t="inlineStr">
        <is>
          <t>Радиальный</t>
        </is>
      </c>
    </row>
    <row r="20">
      <c r="A20" s="140">
        <f>IF(B20&lt;&gt;"", COUNTA($B$2:B20), "")</f>
        <v/>
      </c>
      <c r="B20" s="140" t="inlineStr">
        <is>
          <t>Манометр технический</t>
        </is>
      </c>
      <c r="C20" s="140" t="inlineStr">
        <is>
          <t>МП4-У</t>
        </is>
      </c>
      <c r="D20" s="141" t="n">
        <v>5658</v>
      </c>
      <c r="E20" s="140" t="n"/>
      <c r="F20" s="140" t="inlineStr">
        <is>
          <t>0...100 кгс/см2</t>
        </is>
      </c>
      <c r="G20" s="140" t="n">
        <v>1.5</v>
      </c>
      <c r="H20" s="140" t="inlineStr">
        <is>
          <t>Метрическая</t>
        </is>
      </c>
      <c r="I20" s="140" t="n">
        <v>12</v>
      </c>
      <c r="J20" s="140" t="inlineStr">
        <is>
          <t>25ДЯУ</t>
        </is>
      </c>
      <c r="K20" s="140" t="inlineStr">
        <is>
          <t>Радиальный</t>
        </is>
      </c>
    </row>
    <row r="21">
      <c r="A21" s="140">
        <f>IF(B21&lt;&gt;"", COUNTA($B$2:B21), "")</f>
        <v/>
      </c>
      <c r="B21" s="140" t="inlineStr">
        <is>
          <t>Манометр технический</t>
        </is>
      </c>
      <c r="C21" s="140" t="inlineStr">
        <is>
          <t>МП4-УУ2</t>
        </is>
      </c>
      <c r="D21" s="141" t="n">
        <v>15253</v>
      </c>
      <c r="E21" s="140" t="n"/>
      <c r="F21" s="140" t="inlineStr">
        <is>
          <t>0...10 кгс/см2</t>
        </is>
      </c>
      <c r="G21" s="140" t="n">
        <v>1.5</v>
      </c>
      <c r="H21" s="140" t="inlineStr">
        <is>
          <t>Метрическая</t>
        </is>
      </c>
      <c r="I21" s="140" t="n">
        <v>12</v>
      </c>
      <c r="J21" s="140" t="inlineStr">
        <is>
          <t>3К23</t>
        </is>
      </c>
      <c r="K21" s="140" t="inlineStr">
        <is>
          <t>Радиальный</t>
        </is>
      </c>
    </row>
    <row r="22">
      <c r="A22" s="140">
        <f>IF(B22&lt;&gt;"", COUNTA($B$2:B22), "")</f>
        <v/>
      </c>
      <c r="B22" s="140" t="inlineStr">
        <is>
          <t>Манометр технический</t>
        </is>
      </c>
      <c r="C22" s="140" t="inlineStr">
        <is>
          <t>МП3-УУ2</t>
        </is>
      </c>
      <c r="D22" s="141" t="n">
        <v>212027980</v>
      </c>
      <c r="E22" s="140" t="n"/>
      <c r="F22" s="140" t="inlineStr">
        <is>
          <t>0...16 МПа</t>
        </is>
      </c>
      <c r="G22" s="140" t="n">
        <v>1</v>
      </c>
      <c r="H22" s="140" t="inlineStr">
        <is>
          <t>Метрическая</t>
        </is>
      </c>
      <c r="I22" s="140" t="n">
        <v>12</v>
      </c>
      <c r="J22" s="140" t="inlineStr">
        <is>
          <t>1К24</t>
        </is>
      </c>
      <c r="K22" s="140" t="inlineStr">
        <is>
          <t>Радиальный</t>
        </is>
      </c>
    </row>
    <row r="23">
      <c r="A23" s="140">
        <f>IF(B23&lt;&gt;"", COUNTA($B$2:B23), "")</f>
        <v/>
      </c>
      <c r="B23" s="140" t="inlineStr">
        <is>
          <t>Манометр технический</t>
        </is>
      </c>
      <c r="C23" s="140" t="inlineStr">
        <is>
          <t>МП3-УУ2</t>
        </is>
      </c>
      <c r="D23" s="141" t="n">
        <v>212027934</v>
      </c>
      <c r="E23" s="140" t="n"/>
      <c r="F23" s="140" t="inlineStr">
        <is>
          <t>0...16 МПа</t>
        </is>
      </c>
      <c r="G23" s="140" t="n">
        <v>1</v>
      </c>
      <c r="H23" s="140" t="inlineStr">
        <is>
          <t>Метрическая</t>
        </is>
      </c>
      <c r="I23" s="140" t="n">
        <v>12</v>
      </c>
      <c r="J23" s="140" t="inlineStr">
        <is>
          <t>25ДЯУ</t>
        </is>
      </c>
      <c r="K23" s="140" t="inlineStr">
        <is>
          <t>Радиальный</t>
        </is>
      </c>
    </row>
    <row r="24">
      <c r="A24" s="140">
        <f>IF(B24&lt;&gt;"", COUNTA($B$2:B24), "")</f>
        <v/>
      </c>
      <c r="B24" s="140" t="inlineStr">
        <is>
          <t>Манометр технический</t>
        </is>
      </c>
      <c r="C24" s="140" t="inlineStr">
        <is>
          <t>ТМ5</t>
        </is>
      </c>
      <c r="D24" s="141" t="n">
        <v>15099</v>
      </c>
      <c r="E24" s="140" t="n"/>
      <c r="F24" s="140" t="inlineStr">
        <is>
          <t>0...160 кгс/см2</t>
        </is>
      </c>
      <c r="G24" s="140" t="n">
        <v>1.5</v>
      </c>
      <c r="H24" s="140" t="inlineStr">
        <is>
          <t>Метрическая</t>
        </is>
      </c>
      <c r="I24" s="140" t="n">
        <v>12</v>
      </c>
      <c r="J24" s="140" t="inlineStr">
        <is>
          <t>1К23</t>
        </is>
      </c>
      <c r="K24" s="140" t="inlineStr">
        <is>
          <t>Радиальный</t>
        </is>
      </c>
    </row>
    <row r="25">
      <c r="A25" s="140">
        <f>IF(B25&lt;&gt;"", COUNTA($B$2:B25), "")</f>
        <v/>
      </c>
      <c r="B25" s="140" t="inlineStr">
        <is>
          <t>Манометр технический</t>
        </is>
      </c>
      <c r="C25" s="140" t="inlineStr">
        <is>
          <t>ДМ02-100-1-М</t>
        </is>
      </c>
      <c r="D25" s="141" t="n">
        <v>15218</v>
      </c>
      <c r="E25" s="140" t="n"/>
      <c r="F25" s="140" t="inlineStr">
        <is>
          <t>0...160 кгс/см2</t>
        </is>
      </c>
      <c r="G25" s="140" t="n">
        <v>1.5</v>
      </c>
      <c r="H25" s="140" t="inlineStr">
        <is>
          <t>Метрическая</t>
        </is>
      </c>
      <c r="I25" s="140" t="n">
        <v>12</v>
      </c>
      <c r="J25" s="140" t="inlineStr">
        <is>
          <t>1К23</t>
        </is>
      </c>
      <c r="K25" s="140" t="inlineStr">
        <is>
          <t>Радиальный</t>
        </is>
      </c>
    </row>
    <row r="26">
      <c r="A26" s="140">
        <f>IF(B26&lt;&gt;"", COUNTA($B$2:B26), "")</f>
        <v/>
      </c>
      <c r="B26" s="140" t="inlineStr">
        <is>
          <t>Манометр технический</t>
        </is>
      </c>
      <c r="C26" s="140" t="inlineStr">
        <is>
          <t>МП3-УТ2</t>
        </is>
      </c>
      <c r="D26" s="141" t="inlineStr">
        <is>
          <t>1322119</t>
        </is>
      </c>
      <c r="E26" s="140" t="n"/>
      <c r="F26" s="140" t="inlineStr">
        <is>
          <t>0...16 кгс/см2</t>
        </is>
      </c>
      <c r="G26" s="140" t="n">
        <v>1.5</v>
      </c>
      <c r="H26" s="140" t="inlineStr">
        <is>
          <t>Метрическая</t>
        </is>
      </c>
      <c r="I26" s="140" t="n">
        <v>12</v>
      </c>
      <c r="J26" s="140" t="inlineStr">
        <is>
          <t>23ДЯУ</t>
        </is>
      </c>
      <c r="K26" s="140" t="inlineStr">
        <is>
          <t>Радиальный</t>
        </is>
      </c>
    </row>
    <row r="27">
      <c r="A27" s="140">
        <f>IF(B27&lt;&gt;"", COUNTA($B$2:B27), "")</f>
        <v/>
      </c>
      <c r="B27" s="140" t="inlineStr">
        <is>
          <t>Манометр технический</t>
        </is>
      </c>
      <c r="C27" s="140" t="inlineStr">
        <is>
          <t>МП4-УУ2</t>
        </is>
      </c>
      <c r="D27" s="141" t="inlineStr">
        <is>
          <t>15115</t>
        </is>
      </c>
      <c r="E27" s="140" t="n"/>
      <c r="F27" s="140" t="inlineStr">
        <is>
          <t>0...16 кгс/см2</t>
        </is>
      </c>
      <c r="G27" s="140" t="n">
        <v>1.5</v>
      </c>
      <c r="H27" s="140" t="inlineStr">
        <is>
          <t>Метрическая</t>
        </is>
      </c>
      <c r="I27" s="140" t="n">
        <v>12</v>
      </c>
      <c r="J27" s="140" t="inlineStr">
        <is>
          <t>23ДЯУ</t>
        </is>
      </c>
      <c r="K27" s="140" t="inlineStr">
        <is>
          <t>Радиальный</t>
        </is>
      </c>
    </row>
    <row r="28">
      <c r="A28" s="140">
        <f>IF(B28&lt;&gt;"", COUNTA($B$2:B28), "")</f>
        <v/>
      </c>
      <c r="B28" s="140" t="inlineStr">
        <is>
          <t>Манометр технический</t>
        </is>
      </c>
      <c r="C28" s="140" t="inlineStr">
        <is>
          <t>МП4-УУ2</t>
        </is>
      </c>
      <c r="D28" s="141" t="inlineStr">
        <is>
          <t>15320</t>
        </is>
      </c>
      <c r="E28" s="140" t="n"/>
      <c r="F28" s="140" t="inlineStr">
        <is>
          <t>0...16 кгс/см2</t>
        </is>
      </c>
      <c r="G28" s="140" t="n">
        <v>1.5</v>
      </c>
      <c r="H28" s="140" t="inlineStr">
        <is>
          <t>Метрическая</t>
        </is>
      </c>
      <c r="I28" s="140" t="n">
        <v>12</v>
      </c>
      <c r="J28" s="140" t="inlineStr">
        <is>
          <t>23ДЯУ</t>
        </is>
      </c>
      <c r="K28" s="140" t="inlineStr">
        <is>
          <t>Радиальный</t>
        </is>
      </c>
    </row>
    <row r="29">
      <c r="A29" s="140">
        <f>IF(B29&lt;&gt;"", COUNTA($B$2:B29), "")</f>
        <v/>
      </c>
      <c r="B29" s="140" t="inlineStr">
        <is>
          <t>Манометр технический</t>
        </is>
      </c>
      <c r="C29" s="140" t="inlineStr">
        <is>
          <t>МП4-Уф</t>
        </is>
      </c>
      <c r="D29" s="141" t="inlineStr">
        <is>
          <t>15529</t>
        </is>
      </c>
      <c r="E29" s="140" t="n"/>
      <c r="F29" s="140" t="inlineStr">
        <is>
          <t>0...16 кгс/см2</t>
        </is>
      </c>
      <c r="G29" s="140" t="n">
        <v>1.5</v>
      </c>
      <c r="H29" s="140" t="inlineStr">
        <is>
          <t>Метрическая</t>
        </is>
      </c>
      <c r="I29" s="140" t="n">
        <v>12</v>
      </c>
      <c r="J29" s="140" t="inlineStr">
        <is>
          <t>23ДЯУ</t>
        </is>
      </c>
      <c r="K29" s="140" t="inlineStr">
        <is>
          <t>Радиальный</t>
        </is>
      </c>
    </row>
    <row r="30">
      <c r="A30" s="140">
        <f>IF(B30&lt;&gt;"", COUNTA($B$2:B30), "")</f>
        <v/>
      </c>
      <c r="B30" s="140" t="inlineStr">
        <is>
          <t>Манометр технический</t>
        </is>
      </c>
      <c r="C30" s="140" t="inlineStr">
        <is>
          <t>МП4-УУ2</t>
        </is>
      </c>
      <c r="D30" s="141" t="n">
        <v>15144</v>
      </c>
      <c r="E30" s="140" t="n"/>
      <c r="F30" s="140" t="inlineStr">
        <is>
          <t>0...16 кгс/см2</t>
        </is>
      </c>
      <c r="G30" s="140" t="n">
        <v>1.5</v>
      </c>
      <c r="H30" s="140" t="inlineStr">
        <is>
          <t>Метрическая</t>
        </is>
      </c>
      <c r="I30" s="140" t="n">
        <v>12</v>
      </c>
      <c r="J30" s="140" t="inlineStr">
        <is>
          <t>25ДЯУ</t>
        </is>
      </c>
      <c r="K30" s="140" t="inlineStr">
        <is>
          <t>Радиальный</t>
        </is>
      </c>
    </row>
    <row r="31">
      <c r="A31" s="140">
        <f>IF(B31&lt;&gt;"", COUNTA($B$2:B31), "")</f>
        <v/>
      </c>
      <c r="B31" s="140" t="inlineStr">
        <is>
          <t>Манометр технический</t>
        </is>
      </c>
      <c r="C31" s="140" t="inlineStr">
        <is>
          <t>ДМ8008-ВУ-У2</t>
        </is>
      </c>
      <c r="D31" s="141" t="n">
        <v>15160</v>
      </c>
      <c r="E31" s="140" t="n"/>
      <c r="F31" s="140" t="inlineStr">
        <is>
          <t>0…6 кгс/см2</t>
        </is>
      </c>
      <c r="G31" s="140" t="n">
        <v>1.5</v>
      </c>
      <c r="H31" s="140" t="inlineStr">
        <is>
          <t>Метрическая</t>
        </is>
      </c>
      <c r="I31" s="140" t="n">
        <v>12</v>
      </c>
      <c r="J31" s="140" t="inlineStr">
        <is>
          <t>24ДЯУ</t>
        </is>
      </c>
      <c r="K31" s="140" t="inlineStr">
        <is>
          <t>Радиальный</t>
        </is>
      </c>
    </row>
    <row r="32">
      <c r="A32" s="140">
        <f>IF(B32&lt;&gt;"", COUNTA($B$2:B32), "")</f>
        <v/>
      </c>
      <c r="B32" s="140" t="inlineStr">
        <is>
          <t>Манометр технический</t>
        </is>
      </c>
      <c r="C32" s="140" t="inlineStr">
        <is>
          <t>ДМ8008-ВУ-У2</t>
        </is>
      </c>
      <c r="D32" s="141" t="n">
        <v>15159</v>
      </c>
      <c r="E32" s="140" t="n"/>
      <c r="F32" s="140" t="inlineStr">
        <is>
          <t>0…6 кгс/см2</t>
        </is>
      </c>
      <c r="G32" s="140" t="n">
        <v>1.5</v>
      </c>
      <c r="H32" s="140" t="inlineStr">
        <is>
          <t>Метрическая</t>
        </is>
      </c>
      <c r="I32" s="140" t="n">
        <v>12</v>
      </c>
      <c r="J32" s="140" t="inlineStr">
        <is>
          <t>отсутствует</t>
        </is>
      </c>
      <c r="K32" s="140" t="inlineStr">
        <is>
          <t>Радиальный</t>
        </is>
      </c>
    </row>
    <row r="33">
      <c r="A33" s="140">
        <f>IF(B33&lt;&gt;"", COUNTA($B$2:B33), "")</f>
        <v/>
      </c>
      <c r="B33" s="140" t="inlineStr">
        <is>
          <t>Манометр технический</t>
        </is>
      </c>
      <c r="C33" s="140" t="inlineStr">
        <is>
          <t>ДМ8008-ВУ-У2</t>
        </is>
      </c>
      <c r="D33" s="141" t="n">
        <v>15165</v>
      </c>
      <c r="E33" s="140" t="n"/>
      <c r="F33" s="140" t="inlineStr">
        <is>
          <t>0…6 кгс/см2</t>
        </is>
      </c>
      <c r="G33" s="140" t="n">
        <v>1.5</v>
      </c>
      <c r="H33" s="140" t="inlineStr">
        <is>
          <t>Метрическая</t>
        </is>
      </c>
      <c r="I33" s="140" t="n">
        <v>12</v>
      </c>
      <c r="J33" s="140" t="inlineStr">
        <is>
          <t>отсутствует</t>
        </is>
      </c>
      <c r="K33" s="140" t="inlineStr">
        <is>
          <t>Радиальный</t>
        </is>
      </c>
    </row>
    <row r="34">
      <c r="A34" s="140">
        <f>IF(B34&lt;&gt;"", COUNTA($B$2:B34), "")</f>
        <v/>
      </c>
      <c r="B34" s="140" t="inlineStr">
        <is>
          <t>Манометр технический</t>
        </is>
      </c>
      <c r="C34" s="140" t="inlineStr">
        <is>
          <t>МП4-УУ2</t>
        </is>
      </c>
      <c r="D34" s="141" t="n">
        <v>15556</v>
      </c>
      <c r="E34" s="140" t="n"/>
      <c r="F34" s="140" t="inlineStr">
        <is>
          <t>0...0,6 кгс/см2</t>
        </is>
      </c>
      <c r="G34" s="140" t="n">
        <v>1.5</v>
      </c>
      <c r="H34" s="140" t="inlineStr">
        <is>
          <t>Метрическая</t>
        </is>
      </c>
      <c r="I34" s="140" t="n">
        <v>12</v>
      </c>
      <c r="J34" s="140" t="inlineStr">
        <is>
          <t>1К24</t>
        </is>
      </c>
      <c r="K34" s="140" t="inlineStr">
        <is>
          <t>Радиальный</t>
        </is>
      </c>
    </row>
    <row r="35">
      <c r="A35" s="140">
        <f>IF(B35&lt;&gt;"", COUNTA($B$2:B35), "")</f>
        <v/>
      </c>
      <c r="B35" s="140" t="inlineStr">
        <is>
          <t>Манометр технический</t>
        </is>
      </c>
      <c r="C35" s="140" t="inlineStr">
        <is>
          <t>ТМ5</t>
        </is>
      </c>
      <c r="D35" s="141" t="n">
        <v>7000230</v>
      </c>
      <c r="E35" s="140" t="n"/>
      <c r="F35" s="140" t="inlineStr">
        <is>
          <t>0...1,6 МПа</t>
        </is>
      </c>
      <c r="G35" s="140" t="n">
        <v>1.5</v>
      </c>
      <c r="H35" s="140" t="inlineStr">
        <is>
          <t>Трубная</t>
        </is>
      </c>
      <c r="I35" s="140" t="n">
        <v>12</v>
      </c>
      <c r="J35" s="140" t="inlineStr">
        <is>
          <t>23ДЯУ</t>
        </is>
      </c>
      <c r="K35" s="140" t="inlineStr">
        <is>
          <t>Радиальный</t>
        </is>
      </c>
    </row>
    <row r="36">
      <c r="A36" s="140">
        <f>IF(B36&lt;&gt;"", COUNTA($B$2:B36), "")</f>
        <v/>
      </c>
      <c r="B36" s="140" t="inlineStr">
        <is>
          <t>Манометр технический</t>
        </is>
      </c>
      <c r="C36" s="140" t="inlineStr">
        <is>
          <t>ТМ5</t>
        </is>
      </c>
      <c r="D36" s="141" t="n">
        <v>7000247</v>
      </c>
      <c r="E36" s="140" t="n"/>
      <c r="F36" s="140" t="inlineStr">
        <is>
          <t>0...1,6 МПа</t>
        </is>
      </c>
      <c r="G36" s="140" t="n">
        <v>1.5</v>
      </c>
      <c r="H36" s="140" t="inlineStr">
        <is>
          <t>Трубная</t>
        </is>
      </c>
      <c r="I36" s="140" t="n">
        <v>12</v>
      </c>
      <c r="J36" s="140" t="inlineStr">
        <is>
          <t>25ДЯУ</t>
        </is>
      </c>
      <c r="K36" s="140" t="inlineStr">
        <is>
          <t>Радиальный</t>
        </is>
      </c>
    </row>
    <row r="37">
      <c r="A37" s="140">
        <f>IF(B37&lt;&gt;"", COUNTA($B$2:B37), "")</f>
        <v/>
      </c>
      <c r="B37" s="140" t="inlineStr">
        <is>
          <t>Манометр технический</t>
        </is>
      </c>
      <c r="C37" s="140" t="inlineStr">
        <is>
          <t>ТМ5</t>
        </is>
      </c>
      <c r="D37" s="141" t="n">
        <v>7000217</v>
      </c>
      <c r="E37" s="140" t="n"/>
      <c r="F37" s="140" t="inlineStr">
        <is>
          <t>0...1,6 МПа</t>
        </is>
      </c>
      <c r="G37" s="140" t="n">
        <v>1.5</v>
      </c>
      <c r="H37" s="140" t="inlineStr">
        <is>
          <t>Трубная</t>
        </is>
      </c>
      <c r="I37" s="140" t="n">
        <v>12</v>
      </c>
      <c r="J37" s="140" t="inlineStr">
        <is>
          <t>23ДЯУ</t>
        </is>
      </c>
      <c r="K37" s="140" t="inlineStr">
        <is>
          <t>Радиальный</t>
        </is>
      </c>
    </row>
    <row r="38">
      <c r="A38" s="140">
        <f>IF(B38&lt;&gt;"", COUNTA($B$2:B38), "")</f>
        <v/>
      </c>
      <c r="B38" s="140" t="inlineStr">
        <is>
          <t>Манометр технический</t>
        </is>
      </c>
      <c r="C38" s="140" t="inlineStr">
        <is>
          <t>ТМ5</t>
        </is>
      </c>
      <c r="D38" s="141" t="n">
        <v>7000240</v>
      </c>
      <c r="E38" s="140" t="n"/>
      <c r="F38" s="140" t="inlineStr">
        <is>
          <t>0...1,6 МПа</t>
        </is>
      </c>
      <c r="G38" s="140" t="n">
        <v>1.5</v>
      </c>
      <c r="H38" s="140" t="inlineStr">
        <is>
          <t>Трубная</t>
        </is>
      </c>
      <c r="I38" s="140" t="n">
        <v>12</v>
      </c>
      <c r="J38" s="140" t="inlineStr">
        <is>
          <t>23ДЯУ</t>
        </is>
      </c>
      <c r="K38" s="140" t="inlineStr">
        <is>
          <t>Радиальный</t>
        </is>
      </c>
    </row>
    <row r="39">
      <c r="A39" s="140">
        <f>IF(B39&lt;&gt;"", COUNTA($B$2:B39), "")</f>
        <v/>
      </c>
      <c r="B39" s="140" t="inlineStr">
        <is>
          <t>Манометр технический</t>
        </is>
      </c>
      <c r="C39" s="140" t="inlineStr">
        <is>
          <t>ТМ5</t>
        </is>
      </c>
      <c r="D39" s="141" t="n">
        <v>7000223</v>
      </c>
      <c r="E39" s="140" t="n"/>
      <c r="F39" s="140" t="inlineStr">
        <is>
          <t>0...1,6 МПа</t>
        </is>
      </c>
      <c r="G39" s="140" t="n">
        <v>1.5</v>
      </c>
      <c r="H39" s="140" t="inlineStr">
        <is>
          <t>Трубная</t>
        </is>
      </c>
      <c r="I39" s="140" t="n">
        <v>12</v>
      </c>
      <c r="J39" s="140" t="inlineStr">
        <is>
          <t>23ДЯУ</t>
        </is>
      </c>
      <c r="K39" s="140" t="inlineStr">
        <is>
          <t>Радиальный</t>
        </is>
      </c>
    </row>
    <row r="40">
      <c r="A40" s="140">
        <f>IF(B40&lt;&gt;"", COUNTA($B$2:B40), "")</f>
        <v/>
      </c>
      <c r="B40" s="140" t="inlineStr">
        <is>
          <t>Манометр технический</t>
        </is>
      </c>
      <c r="C40" s="140" t="inlineStr">
        <is>
          <t>ТМ5</t>
        </is>
      </c>
      <c r="D40" s="141" t="n">
        <v>7000245</v>
      </c>
      <c r="E40" s="140" t="n"/>
      <c r="F40" s="140" t="inlineStr">
        <is>
          <t>0...1,6 МПа</t>
        </is>
      </c>
      <c r="G40" s="140" t="n">
        <v>1.5</v>
      </c>
      <c r="H40" s="140" t="inlineStr">
        <is>
          <t>Трубная</t>
        </is>
      </c>
      <c r="I40" s="140" t="n">
        <v>12</v>
      </c>
      <c r="J40" s="140" t="inlineStr">
        <is>
          <t>23ДЯУ</t>
        </is>
      </c>
      <c r="K40" s="140" t="inlineStr">
        <is>
          <t>Радиальный</t>
        </is>
      </c>
    </row>
    <row r="41">
      <c r="A41" s="140">
        <f>IF(B41&lt;&gt;"", COUNTA($B$2:B41), "")</f>
        <v/>
      </c>
      <c r="B41" s="140" t="inlineStr">
        <is>
          <t>Манометр технический</t>
        </is>
      </c>
      <c r="C41" s="140" t="inlineStr">
        <is>
          <t>ТМ5</t>
        </is>
      </c>
      <c r="D41" s="141" t="n">
        <v>7000214</v>
      </c>
      <c r="E41" s="140" t="n"/>
      <c r="F41" s="140" t="inlineStr">
        <is>
          <t>0...1,6 МПа</t>
        </is>
      </c>
      <c r="G41" s="140" t="n">
        <v>1.5</v>
      </c>
      <c r="H41" s="140" t="inlineStr">
        <is>
          <t>Трубная</t>
        </is>
      </c>
      <c r="I41" s="140" t="n">
        <v>12</v>
      </c>
      <c r="J41" s="140" t="inlineStr">
        <is>
          <t>25ДЯУ</t>
        </is>
      </c>
      <c r="K41" s="140" t="inlineStr">
        <is>
          <t>Радиальный</t>
        </is>
      </c>
    </row>
    <row r="42">
      <c r="A42" s="140">
        <f>IF(B42&lt;&gt;"", COUNTA($B$2:B42), "")</f>
        <v/>
      </c>
      <c r="B42" s="140" t="inlineStr">
        <is>
          <t>Манометр технический</t>
        </is>
      </c>
      <c r="C42" s="140" t="inlineStr">
        <is>
          <t>ТМ5</t>
        </is>
      </c>
      <c r="D42" s="141" t="n">
        <v>7000234</v>
      </c>
      <c r="E42" s="140" t="n"/>
      <c r="F42" s="140" t="inlineStr">
        <is>
          <t>0...1,6 МПа</t>
        </is>
      </c>
      <c r="G42" s="140" t="n">
        <v>1.5</v>
      </c>
      <c r="H42" s="140" t="inlineStr">
        <is>
          <t>Трубная</t>
        </is>
      </c>
      <c r="I42" s="140" t="n">
        <v>12</v>
      </c>
      <c r="J42" s="140" t="inlineStr">
        <is>
          <t>25ДЯУ</t>
        </is>
      </c>
      <c r="K42" s="140" t="inlineStr">
        <is>
          <t>Радиальный</t>
        </is>
      </c>
    </row>
    <row r="43">
      <c r="A43" s="140">
        <f>IF(B43&lt;&gt;"", COUNTA($B$2:B43), "")</f>
        <v/>
      </c>
      <c r="B43" s="140" t="inlineStr">
        <is>
          <t>Манометр технический</t>
        </is>
      </c>
      <c r="C43" s="140" t="inlineStr">
        <is>
          <t>ТМ5</t>
        </is>
      </c>
      <c r="D43" s="141" t="n">
        <v>7000226</v>
      </c>
      <c r="E43" s="140" t="n"/>
      <c r="F43" s="140" t="inlineStr">
        <is>
          <t>0...1,6 МПа</t>
        </is>
      </c>
      <c r="G43" s="140" t="n">
        <v>1.5</v>
      </c>
      <c r="H43" s="140" t="inlineStr">
        <is>
          <t>Трубная</t>
        </is>
      </c>
      <c r="I43" s="140" t="n">
        <v>12</v>
      </c>
      <c r="J43" s="140" t="inlineStr">
        <is>
          <t>25ДЯУ</t>
        </is>
      </c>
      <c r="K43" s="140" t="inlineStr">
        <is>
          <t>Радиальный</t>
        </is>
      </c>
    </row>
    <row r="44">
      <c r="A44" s="140">
        <f>IF(B44&lt;&gt;"", COUNTA($B$2:B44), "")</f>
        <v/>
      </c>
      <c r="B44" s="140" t="inlineStr">
        <is>
          <t>Манометр технический</t>
        </is>
      </c>
      <c r="C44" s="140" t="inlineStr">
        <is>
          <t>ТМ5</t>
        </is>
      </c>
      <c r="D44" s="141" t="n">
        <v>7000232</v>
      </c>
      <c r="E44" s="140" t="n"/>
      <c r="F44" s="140" t="inlineStr">
        <is>
          <t>0...1,6 МПа</t>
        </is>
      </c>
      <c r="G44" s="140" t="n">
        <v>1.5</v>
      </c>
      <c r="H44" s="140" t="inlineStr">
        <is>
          <t>Трубная</t>
        </is>
      </c>
      <c r="I44" s="140" t="n">
        <v>12</v>
      </c>
      <c r="J44" s="140" t="inlineStr">
        <is>
          <t>25ДЯУ</t>
        </is>
      </c>
      <c r="K44" s="140" t="inlineStr">
        <is>
          <t>Радиальный</t>
        </is>
      </c>
    </row>
    <row r="45">
      <c r="A45" s="140">
        <f>IF(B45&lt;&gt;"", COUNTA($B$2:B45), "")</f>
        <v/>
      </c>
      <c r="B45" s="140" t="inlineStr">
        <is>
          <t>Манометр технический</t>
        </is>
      </c>
      <c r="C45" s="140" t="inlineStr">
        <is>
          <t>ТМ5</t>
        </is>
      </c>
      <c r="D45" s="141" t="n">
        <v>7000220</v>
      </c>
      <c r="E45" s="140" t="n"/>
      <c r="F45" s="140" t="inlineStr">
        <is>
          <t>0...1,6 МПа</t>
        </is>
      </c>
      <c r="G45" s="140" t="n">
        <v>1.5</v>
      </c>
      <c r="H45" s="140" t="inlineStr">
        <is>
          <t>Трубная</t>
        </is>
      </c>
      <c r="I45" s="140" t="n">
        <v>12</v>
      </c>
      <c r="J45" s="140" t="inlineStr">
        <is>
          <t>25ДЯУ</t>
        </is>
      </c>
      <c r="K45" s="140" t="inlineStr">
        <is>
          <t>Радиальный</t>
        </is>
      </c>
    </row>
    <row r="46">
      <c r="A46" s="140">
        <f>IF(B46&lt;&gt;"", COUNTA($B$2:B46), "")</f>
        <v/>
      </c>
      <c r="B46" s="140" t="inlineStr">
        <is>
          <t>Манометр технический</t>
        </is>
      </c>
      <c r="C46" s="140" t="inlineStr">
        <is>
          <t>ТМ5</t>
        </is>
      </c>
      <c r="D46" s="141" t="n">
        <v>7000241</v>
      </c>
      <c r="E46" s="140" t="n"/>
      <c r="F46" s="140" t="inlineStr">
        <is>
          <t>0...1,6 МПа</t>
        </is>
      </c>
      <c r="G46" s="140" t="n">
        <v>1.5</v>
      </c>
      <c r="H46" s="140" t="inlineStr">
        <is>
          <t>Трубная</t>
        </is>
      </c>
      <c r="I46" s="140" t="n">
        <v>12</v>
      </c>
      <c r="J46" s="140" t="inlineStr">
        <is>
          <t>25ДЯУ</t>
        </is>
      </c>
      <c r="K46" s="140" t="inlineStr">
        <is>
          <t>Радиальный</t>
        </is>
      </c>
    </row>
    <row r="47">
      <c r="A47" s="140">
        <f>IF(B47&lt;&gt;"", COUNTA($B$2:B47), "")</f>
        <v/>
      </c>
      <c r="B47" s="140" t="inlineStr">
        <is>
          <t>Манометр технический</t>
        </is>
      </c>
      <c r="C47" s="140" t="inlineStr">
        <is>
          <t>ТМ5</t>
        </is>
      </c>
      <c r="D47" s="141" t="n">
        <v>903</v>
      </c>
      <c r="E47" s="140" t="n"/>
      <c r="F47" s="140" t="inlineStr">
        <is>
          <t>0...1,6 МПа</t>
        </is>
      </c>
      <c r="G47" s="140" t="n">
        <v>1.5</v>
      </c>
      <c r="H47" s="140" t="inlineStr">
        <is>
          <t>Трубная</t>
        </is>
      </c>
      <c r="I47" s="140" t="n">
        <v>12</v>
      </c>
      <c r="J47" s="140" t="inlineStr">
        <is>
          <t>25ДЯУ</t>
        </is>
      </c>
      <c r="K47" s="140" t="inlineStr">
        <is>
          <t>Радиальный</t>
        </is>
      </c>
    </row>
    <row r="48">
      <c r="A48" s="140">
        <f>IF(B48&lt;&gt;"", COUNTA($B$2:B48), "")</f>
        <v/>
      </c>
      <c r="B48" s="140" t="inlineStr">
        <is>
          <t>Манометр технический</t>
        </is>
      </c>
      <c r="C48" s="140" t="inlineStr">
        <is>
          <t>ТМ5</t>
        </is>
      </c>
      <c r="D48" s="141" t="n">
        <v>7000244</v>
      </c>
      <c r="E48" s="140" t="n"/>
      <c r="F48" s="140" t="inlineStr">
        <is>
          <t>0...1,6 МПа</t>
        </is>
      </c>
      <c r="G48" s="140" t="n">
        <v>1.5</v>
      </c>
      <c r="H48" s="140" t="inlineStr">
        <is>
          <t>Трубная</t>
        </is>
      </c>
      <c r="I48" s="140" t="n">
        <v>12</v>
      </c>
      <c r="J48" s="140" t="inlineStr">
        <is>
          <t>23ДЯУ</t>
        </is>
      </c>
      <c r="K48" s="140" t="inlineStr">
        <is>
          <t>Радиальный</t>
        </is>
      </c>
    </row>
    <row r="49">
      <c r="A49" s="140">
        <f>IF(B49&lt;&gt;"", COUNTA($B$2:B49), "")</f>
        <v/>
      </c>
      <c r="B49" s="140" t="inlineStr">
        <is>
          <t>Манометр технический</t>
        </is>
      </c>
      <c r="C49" s="140" t="inlineStr">
        <is>
          <t>ТМ5</t>
        </is>
      </c>
      <c r="D49" s="141" t="n">
        <v>7000218</v>
      </c>
      <c r="E49" s="140" t="n"/>
      <c r="F49" s="140" t="inlineStr">
        <is>
          <t>0...1,6 МПа</t>
        </is>
      </c>
      <c r="G49" s="140" t="n">
        <v>1.5</v>
      </c>
      <c r="H49" s="140" t="inlineStr">
        <is>
          <t>Трубная</t>
        </is>
      </c>
      <c r="I49" s="140" t="n">
        <v>12</v>
      </c>
      <c r="J49" s="140" t="inlineStr">
        <is>
          <t>23ДЯУ</t>
        </is>
      </c>
      <c r="K49" s="140" t="inlineStr">
        <is>
          <t>Радиальный</t>
        </is>
      </c>
    </row>
    <row r="50">
      <c r="A50" s="140">
        <f>IF(B50&lt;&gt;"", COUNTA($B$2:B50), "")</f>
        <v/>
      </c>
      <c r="B50" s="140" t="inlineStr">
        <is>
          <t>Манометр технический</t>
        </is>
      </c>
      <c r="C50" s="140" t="inlineStr">
        <is>
          <t>ТМ5</t>
        </is>
      </c>
      <c r="D50" s="141" t="n">
        <v>7099</v>
      </c>
      <c r="E50" s="140" t="n"/>
      <c r="F50" s="140" t="inlineStr">
        <is>
          <t>0...1,6 МПа</t>
        </is>
      </c>
      <c r="G50" s="140" t="n">
        <v>1.5</v>
      </c>
      <c r="H50" s="140" t="inlineStr">
        <is>
          <t>Трубная</t>
        </is>
      </c>
      <c r="I50" s="140" t="n">
        <v>12</v>
      </c>
      <c r="J50" s="140" t="inlineStr">
        <is>
          <t>отсутствует</t>
        </is>
      </c>
      <c r="K50" s="140" t="inlineStr">
        <is>
          <t>Радиальный</t>
        </is>
      </c>
    </row>
    <row r="51">
      <c r="A51" s="140">
        <f>IF(B51&lt;&gt;"", COUNTA($B$2:B51), "")</f>
        <v/>
      </c>
      <c r="B51" s="140" t="inlineStr">
        <is>
          <t>Манометр технический</t>
        </is>
      </c>
      <c r="C51" s="140" t="inlineStr">
        <is>
          <t>ТМ5</t>
        </is>
      </c>
      <c r="D51" s="141" t="n">
        <v>7000228</v>
      </c>
      <c r="E51" s="140" t="n"/>
      <c r="F51" s="140" t="inlineStr">
        <is>
          <t>0...1,6 МПа</t>
        </is>
      </c>
      <c r="G51" s="140" t="n">
        <v>1.5</v>
      </c>
      <c r="H51" s="140" t="inlineStr">
        <is>
          <t>Трубная</t>
        </is>
      </c>
      <c r="I51" s="140" t="n">
        <v>12</v>
      </c>
      <c r="J51" s="140" t="inlineStr">
        <is>
          <t>отсутствует</t>
        </is>
      </c>
      <c r="K51" s="140" t="inlineStr">
        <is>
          <t>Радиальный</t>
        </is>
      </c>
    </row>
    <row r="52">
      <c r="A52" s="140">
        <f>IF(B52&lt;&gt;"", COUNTA($B$2:B52), "")</f>
        <v/>
      </c>
      <c r="B52" s="140" t="inlineStr">
        <is>
          <t>Манометр технический</t>
        </is>
      </c>
      <c r="C52" s="140" t="inlineStr">
        <is>
          <t>МП3-УУ2</t>
        </is>
      </c>
      <c r="D52" s="141" t="n">
        <v>50494</v>
      </c>
      <c r="E52" s="140" t="n"/>
      <c r="F52" s="140" t="inlineStr">
        <is>
          <t>0...16 кгс/см2</t>
        </is>
      </c>
      <c r="G52" s="140" t="n">
        <v>1.5</v>
      </c>
      <c r="H52" s="140" t="inlineStr">
        <is>
          <t>Метрическая</t>
        </is>
      </c>
      <c r="I52" s="140" t="n">
        <v>12</v>
      </c>
      <c r="J52" s="140" t="inlineStr">
        <is>
          <t>24ДЯУ</t>
        </is>
      </c>
      <c r="K52" s="140" t="inlineStr">
        <is>
          <t>Радиальный</t>
        </is>
      </c>
    </row>
    <row r="53">
      <c r="A53" s="140">
        <f>IF(B53&lt;&gt;"", COUNTA($B$2:B53), "")</f>
        <v/>
      </c>
      <c r="B53" s="140" t="inlineStr">
        <is>
          <t>Манометр технический</t>
        </is>
      </c>
      <c r="C53" s="140" t="inlineStr">
        <is>
          <t>МП3-УТ2</t>
        </is>
      </c>
      <c r="D53" s="141" t="n">
        <v>1322145</v>
      </c>
      <c r="E53" s="140" t="n"/>
      <c r="F53" s="140" t="inlineStr">
        <is>
          <t>0...16 кгс/см2</t>
        </is>
      </c>
      <c r="G53" s="140" t="n">
        <v>1.5</v>
      </c>
      <c r="H53" s="140" t="inlineStr">
        <is>
          <t>Метрическая</t>
        </is>
      </c>
      <c r="I53" s="140" t="n">
        <v>12</v>
      </c>
      <c r="J53" s="140" t="inlineStr">
        <is>
          <t>25ДЯУ</t>
        </is>
      </c>
      <c r="K53" s="140" t="inlineStr">
        <is>
          <t>Радиальный</t>
        </is>
      </c>
    </row>
    <row r="54">
      <c r="A54" s="140">
        <f>IF(B54&lt;&gt;"", COUNTA($B$2:B54), "")</f>
        <v/>
      </c>
      <c r="B54" s="140" t="inlineStr">
        <is>
          <t>Манометр технический</t>
        </is>
      </c>
      <c r="C54" s="140" t="inlineStr">
        <is>
          <t>МП3-УТ2</t>
        </is>
      </c>
      <c r="D54" s="141" t="n">
        <v>1322127</v>
      </c>
      <c r="E54" s="140" t="n"/>
      <c r="F54" s="140" t="inlineStr">
        <is>
          <t>0...16 кгс/см2</t>
        </is>
      </c>
      <c r="G54" s="140" t="n">
        <v>1.5</v>
      </c>
      <c r="H54" s="140" t="inlineStr">
        <is>
          <t>Метрическая</t>
        </is>
      </c>
      <c r="I54" s="140" t="n">
        <v>12</v>
      </c>
      <c r="J54" s="140" t="inlineStr">
        <is>
          <t>отсутствует</t>
        </is>
      </c>
      <c r="K54" s="140" t="inlineStr">
        <is>
          <t>Радиальный</t>
        </is>
      </c>
    </row>
    <row r="55">
      <c r="A55" s="140">
        <f>IF(B55&lt;&gt;"", COUNTA($B$2:B55), "")</f>
        <v/>
      </c>
      <c r="B55" s="140" t="inlineStr">
        <is>
          <t>Манометр технический</t>
        </is>
      </c>
      <c r="C55" s="140" t="inlineStr">
        <is>
          <t>ТМ5</t>
        </is>
      </c>
      <c r="D55" s="141" t="n">
        <v>7000199</v>
      </c>
      <c r="E55" s="140" t="n"/>
      <c r="F55" s="140" t="inlineStr">
        <is>
          <t>0...1,6 МПа</t>
        </is>
      </c>
      <c r="G55" s="140" t="n">
        <v>1.5</v>
      </c>
      <c r="H55" s="140" t="inlineStr">
        <is>
          <t>Метрическая</t>
        </is>
      </c>
      <c r="I55" s="140" t="n">
        <v>12</v>
      </c>
      <c r="J55" s="140" t="inlineStr">
        <is>
          <t>отсутствует</t>
        </is>
      </c>
      <c r="K55" s="140" t="inlineStr">
        <is>
          <t>Радиальный</t>
        </is>
      </c>
    </row>
    <row r="56">
      <c r="A56" s="140">
        <f>IF(B56&lt;&gt;"", COUNTA($B$2:B56), "")</f>
        <v/>
      </c>
      <c r="B56" s="140" t="inlineStr">
        <is>
          <t>Манометр технический</t>
        </is>
      </c>
      <c r="C56" s="140" t="inlineStr">
        <is>
          <t>МП4-УУ2</t>
        </is>
      </c>
      <c r="D56" s="141" t="n">
        <v>15301</v>
      </c>
      <c r="E56" s="140" t="n"/>
      <c r="F56" s="140" t="inlineStr">
        <is>
          <t>0...16 кгс/см2</t>
        </is>
      </c>
      <c r="G56" s="140" t="n">
        <v>1.5</v>
      </c>
      <c r="H56" s="140" t="inlineStr">
        <is>
          <t>Метрическая</t>
        </is>
      </c>
      <c r="I56" s="140" t="n">
        <v>12</v>
      </c>
      <c r="J56" s="142" t="inlineStr">
        <is>
          <t>24ДЯУ</t>
        </is>
      </c>
      <c r="K56" s="140" t="inlineStr">
        <is>
          <t>Радиальный</t>
        </is>
      </c>
    </row>
    <row r="57">
      <c r="A57" s="140">
        <f>IF(B57&lt;&gt;"", COUNTA($B$2:B57), "")</f>
        <v/>
      </c>
      <c r="B57" s="140" t="inlineStr">
        <is>
          <t>Манометр технический</t>
        </is>
      </c>
      <c r="C57" s="140" t="inlineStr">
        <is>
          <t>МП4-УУ2</t>
        </is>
      </c>
      <c r="D57" s="141" t="inlineStr">
        <is>
          <t>0674</t>
        </is>
      </c>
      <c r="E57" s="140" t="n"/>
      <c r="F57" s="140" t="inlineStr">
        <is>
          <t>0...16 кгс/см2</t>
        </is>
      </c>
      <c r="G57" s="140" t="n">
        <v>1.5</v>
      </c>
      <c r="H57" s="140" t="inlineStr">
        <is>
          <t>Метрическая</t>
        </is>
      </c>
      <c r="I57" s="140" t="n">
        <v>12</v>
      </c>
      <c r="J57" s="142" t="inlineStr">
        <is>
          <t>отсутствует</t>
        </is>
      </c>
      <c r="K57" s="140" t="inlineStr">
        <is>
          <t>Радиальный</t>
        </is>
      </c>
    </row>
    <row r="58">
      <c r="A58" s="140">
        <f>IF(B58&lt;&gt;"", COUNTA($B$2:B58), "")</f>
        <v/>
      </c>
      <c r="B58" s="140" t="inlineStr">
        <is>
          <t>Манометр технический</t>
        </is>
      </c>
      <c r="C58" s="140" t="inlineStr">
        <is>
          <t>МП4-УУ2</t>
        </is>
      </c>
      <c r="D58" s="141" t="n">
        <v>212032715</v>
      </c>
      <c r="E58" s="140" t="n"/>
      <c r="F58" s="140" t="inlineStr">
        <is>
          <t>0...10 МПа</t>
        </is>
      </c>
      <c r="G58" s="140" t="n">
        <v>1</v>
      </c>
      <c r="H58" s="140" t="inlineStr">
        <is>
          <t>Метрическая</t>
        </is>
      </c>
      <c r="I58" s="140" t="n">
        <v>12</v>
      </c>
      <c r="J58" s="140" t="inlineStr">
        <is>
          <t>23ДЯУ</t>
        </is>
      </c>
      <c r="K58" s="140" t="inlineStr">
        <is>
          <t>Радиальный</t>
        </is>
      </c>
    </row>
    <row r="59">
      <c r="A59" s="140">
        <f>IF(B59&lt;&gt;"", COUNTA($B$2:B59), "")</f>
        <v/>
      </c>
      <c r="B59" s="140" t="inlineStr">
        <is>
          <t>Манометр технический</t>
        </is>
      </c>
      <c r="C59" s="140" t="inlineStr">
        <is>
          <t>ТМ5</t>
        </is>
      </c>
      <c r="D59" s="141" t="n">
        <v>1115</v>
      </c>
      <c r="E59" s="140" t="n"/>
      <c r="F59" s="140" t="inlineStr">
        <is>
          <t>0…6 bar</t>
        </is>
      </c>
      <c r="G59" s="140" t="n">
        <v>1.5</v>
      </c>
      <c r="H59" s="140" t="inlineStr">
        <is>
          <t>Трубная</t>
        </is>
      </c>
      <c r="I59" s="140" t="n">
        <v>12</v>
      </c>
      <c r="J59" s="140" t="inlineStr">
        <is>
          <t>23ДЯУ</t>
        </is>
      </c>
      <c r="K59" s="140" t="inlineStr">
        <is>
          <t>Радиальный</t>
        </is>
      </c>
    </row>
    <row r="60">
      <c r="A60" s="140">
        <f>IF(B60&lt;&gt;"", COUNTA($B$2:B60), "")</f>
        <v/>
      </c>
      <c r="B60" s="140" t="inlineStr">
        <is>
          <t>Манометр технический</t>
        </is>
      </c>
      <c r="C60" s="140" t="inlineStr">
        <is>
          <t>ТМ5</t>
        </is>
      </c>
      <c r="D60" s="141" t="n">
        <v>1110</v>
      </c>
      <c r="E60" s="140" t="n"/>
      <c r="F60" s="140" t="inlineStr">
        <is>
          <t>0…6 bar</t>
        </is>
      </c>
      <c r="G60" s="140" t="n">
        <v>1.5</v>
      </c>
      <c r="H60" s="140" t="inlineStr">
        <is>
          <t>Трубная</t>
        </is>
      </c>
      <c r="I60" s="140" t="n">
        <v>12</v>
      </c>
      <c r="J60" s="140" t="inlineStr">
        <is>
          <t>23ДЯУ</t>
        </is>
      </c>
      <c r="K60" s="140" t="inlineStr">
        <is>
          <t>Радиальный</t>
        </is>
      </c>
    </row>
    <row r="61">
      <c r="A61" s="140">
        <f>IF(B61&lt;&gt;"", COUNTA($B$2:B61), "")</f>
        <v/>
      </c>
      <c r="B61" s="140" t="inlineStr">
        <is>
          <t>Манометр технический</t>
        </is>
      </c>
      <c r="C61" s="140" t="inlineStr">
        <is>
          <t>ДМ8008-ВУ-У2</t>
        </is>
      </c>
      <c r="D61" s="141" t="n">
        <v>15163</v>
      </c>
      <c r="E61" s="140" t="n">
        <v>2012</v>
      </c>
      <c r="F61" s="140" t="inlineStr">
        <is>
          <t>0…6 кгс/см2</t>
        </is>
      </c>
      <c r="G61" s="140" t="n">
        <v>1.5</v>
      </c>
      <c r="H61" s="140" t="inlineStr">
        <is>
          <t>Метрическая</t>
        </is>
      </c>
      <c r="I61" s="140" t="n">
        <v>12</v>
      </c>
      <c r="J61" s="142" t="inlineStr">
        <is>
          <t>отсутствует</t>
        </is>
      </c>
      <c r="K61" s="140" t="inlineStr">
        <is>
          <t>Радиальный</t>
        </is>
      </c>
    </row>
    <row r="62">
      <c r="A62" s="140">
        <f>IF(B62&lt;&gt;"", COUNTA($B$2:B62), "")</f>
        <v/>
      </c>
      <c r="B62" s="140" t="inlineStr">
        <is>
          <t>Манометр технический</t>
        </is>
      </c>
      <c r="C62" s="140" t="inlineStr">
        <is>
          <t>МП3-У</t>
        </is>
      </c>
      <c r="D62" s="141" t="n">
        <v>8461</v>
      </c>
      <c r="E62" s="140" t="n"/>
      <c r="F62" s="140" t="inlineStr">
        <is>
          <t>0...16 кгс/см2</t>
        </is>
      </c>
      <c r="G62" s="140" t="n">
        <v>1</v>
      </c>
      <c r="H62" s="140" t="inlineStr">
        <is>
          <t>Метрическая</t>
        </is>
      </c>
      <c r="I62" s="140" t="n">
        <v>12</v>
      </c>
      <c r="J62" s="140" t="inlineStr">
        <is>
          <t>23ДЯУ</t>
        </is>
      </c>
      <c r="K62" s="140" t="inlineStr">
        <is>
          <t>Радиальный</t>
        </is>
      </c>
    </row>
    <row r="63">
      <c r="A63" s="140">
        <f>IF(B63&lt;&gt;"", COUNTA($B$2:B63), "")</f>
        <v/>
      </c>
      <c r="B63" s="140" t="inlineStr">
        <is>
          <t>Манометр технический</t>
        </is>
      </c>
      <c r="C63" s="140" t="inlineStr">
        <is>
          <t>КМ2</t>
        </is>
      </c>
      <c r="D63" s="141" t="n">
        <v>15442</v>
      </c>
      <c r="E63" s="140" t="n"/>
      <c r="F63" s="11" t="inlineStr">
        <is>
          <t>-1…1,5 кгс/см2</t>
        </is>
      </c>
      <c r="G63" s="140" t="n">
        <v>1.5</v>
      </c>
      <c r="H63" s="140" t="inlineStr">
        <is>
          <t>Метрическая</t>
        </is>
      </c>
      <c r="I63" s="140" t="n">
        <v>12</v>
      </c>
      <c r="J63" s="140" t="inlineStr">
        <is>
          <t>отсутствует</t>
        </is>
      </c>
      <c r="K63" s="140" t="inlineStr">
        <is>
          <t>Радиальный</t>
        </is>
      </c>
    </row>
    <row r="64">
      <c r="A64" s="140">
        <f>IF(B64&lt;&gt;"", COUNTA($B$2:B64), "")</f>
        <v/>
      </c>
      <c r="B64" s="140" t="inlineStr">
        <is>
          <t>Манометр технический</t>
        </is>
      </c>
      <c r="C64" s="140" t="inlineStr">
        <is>
          <t>МВП3-У</t>
        </is>
      </c>
      <c r="D64" s="141" t="n">
        <v>600064</v>
      </c>
      <c r="E64" s="140" t="n">
        <v>1991</v>
      </c>
      <c r="F64" s="11" t="inlineStr">
        <is>
          <t>-1…1,5 кгс/см2</t>
        </is>
      </c>
      <c r="G64" s="140" t="n">
        <v>1.5</v>
      </c>
      <c r="H64" s="140" t="inlineStr">
        <is>
          <t>Метрическая</t>
        </is>
      </c>
      <c r="I64" s="140" t="n">
        <v>12</v>
      </c>
      <c r="J64" s="140" t="inlineStr">
        <is>
          <t>отсутствует</t>
        </is>
      </c>
      <c r="K64" s="140" t="inlineStr">
        <is>
          <t>Радиальный</t>
        </is>
      </c>
    </row>
    <row r="65">
      <c r="A65" s="140">
        <f>IF(B65&lt;&gt;"", COUNTA($B$2:B65), "")</f>
        <v/>
      </c>
      <c r="B65" s="140" t="inlineStr">
        <is>
          <t>Манометр технический</t>
        </is>
      </c>
      <c r="C65" s="140" t="inlineStr">
        <is>
          <t>МП3-УУ2</t>
        </is>
      </c>
      <c r="D65" s="141" t="n">
        <v>50140</v>
      </c>
      <c r="E65" s="140" t="n"/>
      <c r="F65" s="140" t="inlineStr">
        <is>
          <t>0...100 кгс/см2</t>
        </is>
      </c>
      <c r="G65" s="140" t="n">
        <v>1.5</v>
      </c>
      <c r="H65" s="140" t="inlineStr">
        <is>
          <t>Метрическая</t>
        </is>
      </c>
      <c r="I65" s="140" t="n">
        <v>12</v>
      </c>
      <c r="J65" s="140" t="inlineStr">
        <is>
          <t>1К23</t>
        </is>
      </c>
      <c r="K65" s="140" t="inlineStr">
        <is>
          <t>Радиальный</t>
        </is>
      </c>
    </row>
    <row r="66">
      <c r="A66" s="140">
        <f>IF(B66&lt;&gt;"", COUNTA($B$2:B66), "")</f>
        <v/>
      </c>
      <c r="B66" s="140" t="inlineStr">
        <is>
          <t>Манометр технический</t>
        </is>
      </c>
      <c r="C66" s="140" t="inlineStr">
        <is>
          <t>МП3-УУ2</t>
        </is>
      </c>
      <c r="D66" s="141" t="n">
        <v>211222291</v>
      </c>
      <c r="E66" s="140" t="n"/>
      <c r="F66" s="140" t="inlineStr">
        <is>
          <t>0...1,6 МПа</t>
        </is>
      </c>
      <c r="G66" s="140" t="n">
        <v>1.5</v>
      </c>
      <c r="H66" s="140" t="inlineStr">
        <is>
          <t>Метрическая</t>
        </is>
      </c>
      <c r="I66" s="140" t="n">
        <v>12</v>
      </c>
      <c r="J66" s="140" t="inlineStr">
        <is>
          <t>25ДЯУ</t>
        </is>
      </c>
      <c r="K66" s="140" t="inlineStr">
        <is>
          <t>Радиальный</t>
        </is>
      </c>
    </row>
    <row r="67">
      <c r="A67" s="140">
        <f>IF(B67&lt;&gt;"", COUNTA($B$2:B67), "")</f>
        <v/>
      </c>
      <c r="B67" s="140" t="inlineStr">
        <is>
          <t>Манометр технический</t>
        </is>
      </c>
      <c r="C67" s="140" t="inlineStr">
        <is>
          <t>ТМ5</t>
        </is>
      </c>
      <c r="D67" s="141" t="n">
        <v>15425</v>
      </c>
      <c r="E67" s="140" t="n"/>
      <c r="F67" s="140" t="inlineStr">
        <is>
          <t>0...16 кгс/см2</t>
        </is>
      </c>
      <c r="G67" s="140" t="n">
        <v>1.5</v>
      </c>
      <c r="H67" s="140" t="inlineStr">
        <is>
          <t>Трубная</t>
        </is>
      </c>
      <c r="I67" s="140" t="n">
        <v>12</v>
      </c>
      <c r="J67" s="140" t="inlineStr">
        <is>
          <t>отсутствует</t>
        </is>
      </c>
      <c r="K67" s="140" t="inlineStr">
        <is>
          <t>Радиальный</t>
        </is>
      </c>
    </row>
    <row r="68">
      <c r="A68" s="140">
        <f>IF(B68&lt;&gt;"", COUNTA($B$2:B68), "")</f>
        <v/>
      </c>
      <c r="B68" s="140" t="inlineStr">
        <is>
          <t>Манометр технический</t>
        </is>
      </c>
      <c r="C68" s="140" t="inlineStr">
        <is>
          <t>МП3-УУ2</t>
        </is>
      </c>
      <c r="D68" s="141" t="n">
        <v>15532</v>
      </c>
      <c r="E68" s="140" t="n"/>
      <c r="F68" s="140" t="inlineStr">
        <is>
          <t>0...16 кгс/см2</t>
        </is>
      </c>
      <c r="G68" s="140" t="n">
        <v>1.5</v>
      </c>
      <c r="H68" s="140" t="inlineStr">
        <is>
          <t>Метрическая</t>
        </is>
      </c>
      <c r="I68" s="140" t="n">
        <v>12</v>
      </c>
      <c r="J68" s="140" t="inlineStr">
        <is>
          <t>25ДЯУ</t>
        </is>
      </c>
      <c r="K68" s="140" t="inlineStr">
        <is>
          <t>Радиальный</t>
        </is>
      </c>
    </row>
    <row r="69">
      <c r="A69" s="140">
        <f>IF(B69&lt;&gt;"", COUNTA($B$2:B69), "")</f>
        <v/>
      </c>
      <c r="B69" s="140" t="inlineStr">
        <is>
          <t>Манометр технический</t>
        </is>
      </c>
      <c r="C69" s="140" t="inlineStr">
        <is>
          <t>МП3-УУ2</t>
        </is>
      </c>
      <c r="D69" s="141" t="n">
        <v>15533</v>
      </c>
      <c r="E69" s="140" t="n"/>
      <c r="F69" s="140" t="inlineStr">
        <is>
          <t>0...16 кгс/см2</t>
        </is>
      </c>
      <c r="G69" s="140" t="n">
        <v>1.5</v>
      </c>
      <c r="H69" s="140" t="inlineStr">
        <is>
          <t>Метрическая</t>
        </is>
      </c>
      <c r="I69" s="140" t="n">
        <v>12</v>
      </c>
      <c r="J69" s="140" t="inlineStr">
        <is>
          <t>23ДЯУ</t>
        </is>
      </c>
      <c r="K69" s="140" t="inlineStr">
        <is>
          <t>Радиальный</t>
        </is>
      </c>
    </row>
    <row r="70">
      <c r="A70" s="140">
        <f>IF(B70&lt;&gt;"", COUNTA($B$2:B70), "")</f>
        <v/>
      </c>
      <c r="B70" s="140" t="inlineStr">
        <is>
          <t>Манометр технический</t>
        </is>
      </c>
      <c r="C70" s="140" t="inlineStr">
        <is>
          <t>МП3-УУ2</t>
        </is>
      </c>
      <c r="D70" s="141" t="n">
        <v>211222323</v>
      </c>
      <c r="E70" s="140" t="n"/>
      <c r="F70" s="140" t="inlineStr">
        <is>
          <t>0...1,6 МПа</t>
        </is>
      </c>
      <c r="G70" s="140" t="n">
        <v>1.5</v>
      </c>
      <c r="H70" s="140" t="inlineStr">
        <is>
          <t>Метрическая</t>
        </is>
      </c>
      <c r="I70" s="140" t="n">
        <v>12</v>
      </c>
      <c r="J70" s="140" t="inlineStr">
        <is>
          <t>23ДЯУ</t>
        </is>
      </c>
      <c r="K70" s="140" t="inlineStr">
        <is>
          <t>Радиальный</t>
        </is>
      </c>
    </row>
    <row r="71">
      <c r="A71" s="140">
        <f>IF(B71&lt;&gt;"", COUNTA($B$2:B71), "")</f>
        <v/>
      </c>
      <c r="B71" s="140" t="inlineStr">
        <is>
          <t>Манометр технический</t>
        </is>
      </c>
      <c r="C71" s="140" t="inlineStr">
        <is>
          <t>ТМ5</t>
        </is>
      </c>
      <c r="D71" s="141" t="n">
        <v>3293</v>
      </c>
      <c r="E71" s="140" t="n"/>
      <c r="F71" s="140" t="inlineStr">
        <is>
          <t>0…10 кгс/см2</t>
        </is>
      </c>
      <c r="G71" s="140" t="n">
        <v>1.5</v>
      </c>
      <c r="H71" s="140" t="inlineStr">
        <is>
          <t>Метрическая</t>
        </is>
      </c>
      <c r="I71" s="140" t="n">
        <v>12</v>
      </c>
      <c r="J71" s="140" t="inlineStr">
        <is>
          <t>2К25</t>
        </is>
      </c>
      <c r="K71" s="140" t="inlineStr">
        <is>
          <t>Осевой</t>
        </is>
      </c>
    </row>
    <row r="72">
      <c r="A72" s="140">
        <f>IF(B72&lt;&gt;"", COUNTA($B$2:B72), "")</f>
        <v/>
      </c>
      <c r="B72" s="140" t="inlineStr">
        <is>
          <t>Манометр технический</t>
        </is>
      </c>
      <c r="C72" s="140" t="inlineStr">
        <is>
          <t>ДМ02-100-1-G</t>
        </is>
      </c>
      <c r="D72" s="141" t="n">
        <v>15151</v>
      </c>
      <c r="E72" s="140" t="n"/>
      <c r="F72" s="11" t="inlineStr">
        <is>
          <t>-1…24 bar</t>
        </is>
      </c>
      <c r="G72" s="140" t="n">
        <v>1.5</v>
      </c>
      <c r="H72" s="140" t="inlineStr">
        <is>
          <t>Трубная</t>
        </is>
      </c>
      <c r="I72" s="140" t="n">
        <v>12</v>
      </c>
      <c r="J72" s="140" t="inlineStr">
        <is>
          <t>1К23</t>
        </is>
      </c>
      <c r="K72" s="140" t="inlineStr">
        <is>
          <t>Радиальный</t>
        </is>
      </c>
    </row>
    <row r="73">
      <c r="A73" s="140">
        <f>IF(B73&lt;&gt;"", COUNTA($B$2:B73), "")</f>
        <v/>
      </c>
      <c r="B73" s="140" t="inlineStr">
        <is>
          <t>Манометр технический</t>
        </is>
      </c>
      <c r="C73" s="140" t="inlineStr">
        <is>
          <t>ТМ5</t>
        </is>
      </c>
      <c r="D73" s="141" t="n">
        <v>7000167</v>
      </c>
      <c r="E73" s="140" t="n"/>
      <c r="F73" s="140" t="inlineStr">
        <is>
          <t>0...1 МПа</t>
        </is>
      </c>
      <c r="G73" s="140" t="n">
        <v>1.5</v>
      </c>
      <c r="H73" s="140" t="inlineStr">
        <is>
          <t>Метрическая</t>
        </is>
      </c>
      <c r="I73" s="140" t="n">
        <v>12</v>
      </c>
      <c r="J73" s="140" t="inlineStr">
        <is>
          <t>23ДЯУ</t>
        </is>
      </c>
      <c r="K73" s="140" t="inlineStr">
        <is>
          <t>Осевой</t>
        </is>
      </c>
    </row>
    <row r="74">
      <c r="A74" s="140">
        <f>IF(B74&lt;&gt;"", COUNTA($B$2:B74), "")</f>
        <v/>
      </c>
      <c r="B74" s="140" t="inlineStr">
        <is>
          <t>Манометр технический</t>
        </is>
      </c>
      <c r="C74" s="140" t="inlineStr">
        <is>
          <t>ТМ5</t>
        </is>
      </c>
      <c r="D74" s="141" t="n">
        <v>7000191</v>
      </c>
      <c r="E74" s="140" t="n"/>
      <c r="F74" s="140" t="inlineStr">
        <is>
          <t>0…0,06 МПа</t>
        </is>
      </c>
      <c r="G74" s="140" t="n">
        <v>1.5</v>
      </c>
      <c r="H74" s="140" t="inlineStr">
        <is>
          <t>Трубная</t>
        </is>
      </c>
      <c r="I74" s="140" t="n">
        <v>12</v>
      </c>
      <c r="J74" s="140" t="inlineStr">
        <is>
          <t>2К22</t>
        </is>
      </c>
      <c r="K74" s="140" t="inlineStr">
        <is>
          <t>Радиальный</t>
        </is>
      </c>
    </row>
    <row r="75">
      <c r="A75" s="140">
        <f>IF(B75&lt;&gt;"", COUNTA($B$2:B75), "")</f>
        <v/>
      </c>
      <c r="B75" s="140" t="inlineStr">
        <is>
          <t>Манометр технический</t>
        </is>
      </c>
      <c r="C75" s="140" t="inlineStr">
        <is>
          <t>ДМ02-100-1-G</t>
        </is>
      </c>
      <c r="D75" s="141" t="n">
        <v>15283</v>
      </c>
      <c r="E75" s="140" t="n"/>
      <c r="F75" s="140" t="inlineStr">
        <is>
          <t>0…10 bar</t>
        </is>
      </c>
      <c r="G75" s="140" t="n">
        <v>1.5</v>
      </c>
      <c r="H75" s="140" t="inlineStr">
        <is>
          <t>Трубная</t>
        </is>
      </c>
      <c r="I75" s="140" t="n">
        <v>12</v>
      </c>
      <c r="J75" s="140" t="inlineStr">
        <is>
          <t>3К22</t>
        </is>
      </c>
      <c r="K75" s="140" t="inlineStr">
        <is>
          <t>Радиальный</t>
        </is>
      </c>
    </row>
    <row r="76">
      <c r="A76" s="140">
        <f>IF(B76&lt;&gt;"", COUNTA($B$2:B76), "")</f>
        <v/>
      </c>
      <c r="B76" s="140" t="inlineStr">
        <is>
          <t>Манометр технический</t>
        </is>
      </c>
      <c r="C76" s="140" t="inlineStr">
        <is>
          <t>ДМ02-100-1-М</t>
        </is>
      </c>
      <c r="D76" s="141" t="n">
        <v>15282</v>
      </c>
      <c r="E76" s="140" t="n"/>
      <c r="F76" s="140" t="inlineStr">
        <is>
          <t>0…10 кгс/см2</t>
        </is>
      </c>
      <c r="G76" s="140" t="n">
        <v>1.5</v>
      </c>
      <c r="H76" s="140" t="inlineStr">
        <is>
          <t>Метрическая</t>
        </is>
      </c>
      <c r="I76" s="140" t="n">
        <v>12</v>
      </c>
      <c r="J76" s="140" t="inlineStr">
        <is>
          <t>25ДЯУ</t>
        </is>
      </c>
      <c r="K76" s="140" t="inlineStr">
        <is>
          <t>Радиальный</t>
        </is>
      </c>
    </row>
    <row r="77">
      <c r="A77" s="140">
        <f>IF(B77&lt;&gt;"", COUNTA($B$2:B77), "")</f>
        <v/>
      </c>
      <c r="B77" s="140" t="inlineStr">
        <is>
          <t>Манометр технический</t>
        </is>
      </c>
      <c r="C77" s="140" t="inlineStr">
        <is>
          <t>КМ2</t>
        </is>
      </c>
      <c r="D77" s="141" t="n">
        <v>7000167</v>
      </c>
      <c r="E77" s="140" t="n"/>
      <c r="F77" s="140" t="inlineStr">
        <is>
          <t>0…40 кПа</t>
        </is>
      </c>
      <c r="G77" s="140" t="n">
        <v>1.5</v>
      </c>
      <c r="H77" s="140" t="inlineStr">
        <is>
          <t>Метрическая</t>
        </is>
      </c>
      <c r="I77" s="140" t="n">
        <v>12</v>
      </c>
      <c r="J77" s="140" t="inlineStr">
        <is>
          <t>2К23</t>
        </is>
      </c>
      <c r="K77" s="140" t="inlineStr">
        <is>
          <t>Радиальный</t>
        </is>
      </c>
    </row>
    <row r="78">
      <c r="A78" s="140">
        <f>IF(B78&lt;&gt;"", COUNTA($B$2:B78), "")</f>
        <v/>
      </c>
      <c r="B78" s="140" t="inlineStr">
        <is>
          <t>Манометр технический</t>
        </is>
      </c>
      <c r="C78" s="140" t="inlineStr">
        <is>
          <t>МТП-160</t>
        </is>
      </c>
      <c r="D78" s="141" t="n">
        <v>455163</v>
      </c>
      <c r="E78" s="140" t="n"/>
      <c r="F78" s="140" t="inlineStr">
        <is>
          <t>0…4 кгс/см2</t>
        </is>
      </c>
      <c r="G78" s="140" t="n">
        <v>1.5</v>
      </c>
      <c r="H78" s="140" t="inlineStr">
        <is>
          <t>Метрическая</t>
        </is>
      </c>
      <c r="I78" s="140" t="n">
        <v>12</v>
      </c>
      <c r="J78" s="140" t="inlineStr">
        <is>
          <t>3К24</t>
        </is>
      </c>
      <c r="K78" s="140" t="inlineStr">
        <is>
          <t>Радиальный</t>
        </is>
      </c>
    </row>
    <row r="79">
      <c r="A79" s="140">
        <f>IF(B79&lt;&gt;"", COUNTA($B$2:B79), "")</f>
        <v/>
      </c>
      <c r="B79" s="140" t="inlineStr">
        <is>
          <t>Манометр технический</t>
        </is>
      </c>
      <c r="C79" s="140" t="inlineStr">
        <is>
          <t>МП4-У</t>
        </is>
      </c>
      <c r="D79" s="141" t="n">
        <v>101</v>
      </c>
      <c r="E79" s="140" t="n"/>
      <c r="F79" s="140" t="inlineStr">
        <is>
          <t>0…4 кгс/см2</t>
        </is>
      </c>
      <c r="G79" s="140" t="n">
        <v>1</v>
      </c>
      <c r="H79" s="140" t="inlineStr">
        <is>
          <t>Метрическая</t>
        </is>
      </c>
      <c r="I79" s="140" t="n">
        <v>12</v>
      </c>
      <c r="J79" s="140" t="inlineStr">
        <is>
          <t>23ДЯУ</t>
        </is>
      </c>
      <c r="K79" s="140" t="inlineStr">
        <is>
          <t>Радиальный</t>
        </is>
      </c>
    </row>
    <row r="80">
      <c r="A80" s="140">
        <f>IF(B80&lt;&gt;"", COUNTA($B$2:B80), "")</f>
        <v/>
      </c>
      <c r="B80" s="140" t="inlineStr">
        <is>
          <t>Манометр технический</t>
        </is>
      </c>
      <c r="C80" s="140" t="inlineStr">
        <is>
          <t>МП4-УУ2</t>
        </is>
      </c>
      <c r="D80" s="141" t="n">
        <v>30035</v>
      </c>
      <c r="E80" s="140" t="n"/>
      <c r="F80" s="140" t="inlineStr">
        <is>
          <t>0…4 кгс/см2</t>
        </is>
      </c>
      <c r="G80" s="140" t="n">
        <v>1.5</v>
      </c>
      <c r="H80" s="140" t="inlineStr">
        <is>
          <t>Метрическая</t>
        </is>
      </c>
      <c r="I80" s="140" t="n">
        <v>12</v>
      </c>
      <c r="J80" s="142" t="inlineStr">
        <is>
          <t>22ДЯУ</t>
        </is>
      </c>
      <c r="K80" s="140" t="inlineStr">
        <is>
          <t>Радиальный</t>
        </is>
      </c>
    </row>
    <row r="81">
      <c r="A81" s="140">
        <f>IF(B81&lt;&gt;"", COUNTA($B$2:B81), "")</f>
        <v/>
      </c>
      <c r="B81" s="140" t="inlineStr">
        <is>
          <t>Манометр технический</t>
        </is>
      </c>
      <c r="C81" s="140" t="inlineStr">
        <is>
          <t>МП4-УУ2</t>
        </is>
      </c>
      <c r="D81" s="141" t="n">
        <v>30033</v>
      </c>
      <c r="E81" s="140" t="n"/>
      <c r="F81" s="140" t="inlineStr">
        <is>
          <t>0…4 кгс/см2</t>
        </is>
      </c>
      <c r="G81" s="140" t="n">
        <v>1.5</v>
      </c>
      <c r="H81" s="140" t="inlineStr">
        <is>
          <t>Метрическая</t>
        </is>
      </c>
      <c r="I81" s="140" t="n">
        <v>12</v>
      </c>
      <c r="J81" s="142" t="inlineStr">
        <is>
          <t>22ДЯУ</t>
        </is>
      </c>
      <c r="K81" s="140" t="inlineStr">
        <is>
          <t>Радиальный</t>
        </is>
      </c>
    </row>
    <row r="82">
      <c r="A82" s="140">
        <f>IF(B82&lt;&gt;"", COUNTA($B$2:B82), "")</f>
        <v/>
      </c>
      <c r="B82" s="140" t="inlineStr">
        <is>
          <t>Манометр технический</t>
        </is>
      </c>
      <c r="C82" s="140" t="inlineStr">
        <is>
          <t>МП4-УУ2</t>
        </is>
      </c>
      <c r="D82" s="141" t="n">
        <v>15651</v>
      </c>
      <c r="E82" s="140" t="n"/>
      <c r="F82" s="140" t="inlineStr">
        <is>
          <t>0…160 кгс/см2</t>
        </is>
      </c>
      <c r="G82" s="140" t="n">
        <v>1.5</v>
      </c>
      <c r="H82" s="140" t="inlineStr">
        <is>
          <t>Метрическая</t>
        </is>
      </c>
      <c r="I82" s="140" t="n">
        <v>12</v>
      </c>
      <c r="J82" s="140" t="inlineStr">
        <is>
          <t>25ДЯУ</t>
        </is>
      </c>
      <c r="K82" s="140" t="inlineStr">
        <is>
          <t>Радиальный</t>
        </is>
      </c>
    </row>
    <row r="83">
      <c r="A83" s="140">
        <f>IF(B83&lt;&gt;"", COUNTA($B$2:B83), "")</f>
        <v/>
      </c>
      <c r="B83" s="140" t="inlineStr">
        <is>
          <t>Манометр технический</t>
        </is>
      </c>
      <c r="C83" s="140" t="inlineStr">
        <is>
          <t>МП4-УУ2</t>
        </is>
      </c>
      <c r="D83" s="141" t="n">
        <v>15036</v>
      </c>
      <c r="E83" s="140" t="n"/>
      <c r="F83" s="140" t="inlineStr">
        <is>
          <t>0…160 кгс/см2</t>
        </is>
      </c>
      <c r="G83" s="140" t="n">
        <v>1.5</v>
      </c>
      <c r="H83" s="140" t="inlineStr">
        <is>
          <t>Метрическая</t>
        </is>
      </c>
      <c r="I83" s="140" t="n">
        <v>12</v>
      </c>
      <c r="J83" s="140" t="inlineStr">
        <is>
          <t>24ДЯУ</t>
        </is>
      </c>
      <c r="K83" s="140" t="inlineStr">
        <is>
          <t>Радиальный</t>
        </is>
      </c>
    </row>
    <row r="84" ht="9.75" customHeight="1" s="151">
      <c r="A84" s="140">
        <f>IF(B84&lt;&gt;"", COUNTA($B$2:B84), "")</f>
        <v/>
      </c>
      <c r="B84" s="76" t="inlineStr">
        <is>
          <t>Манометр технический</t>
        </is>
      </c>
      <c r="C84" s="17" t="inlineStr">
        <is>
          <t>МП4-УУ2</t>
        </is>
      </c>
      <c r="D84" s="3" t="inlineStr">
        <is>
          <t>7000138</t>
        </is>
      </c>
      <c r="E84" s="17" t="n"/>
      <c r="F84" s="175" t="inlineStr">
        <is>
          <t>0..16 МПа</t>
        </is>
      </c>
      <c r="G84" s="15" t="n">
        <v>1.5</v>
      </c>
      <c r="H84" s="140" t="inlineStr">
        <is>
          <t>Метрическая</t>
        </is>
      </c>
      <c r="I84" s="15" t="n">
        <v>12</v>
      </c>
      <c r="J84" s="15" t="inlineStr">
        <is>
          <t>2К24</t>
        </is>
      </c>
      <c r="K84" s="153" t="inlineStr">
        <is>
          <t>Радиальный</t>
        </is>
      </c>
      <c r="L84" s="152" t="n"/>
      <c r="M84" s="57" t="n"/>
      <c r="N84" s="60" t="n"/>
    </row>
    <row r="85">
      <c r="A85" s="140">
        <f>IF(B85&lt;&gt;"", COUNTA($B$2:B85), "")</f>
        <v/>
      </c>
      <c r="B85" s="140" t="inlineStr">
        <is>
          <t>Манометр технический</t>
        </is>
      </c>
      <c r="C85" s="140" t="inlineStr">
        <is>
          <t>МП4-УУ2</t>
        </is>
      </c>
      <c r="D85" s="141" t="n">
        <v>15390</v>
      </c>
      <c r="E85" s="140" t="n"/>
      <c r="F85" s="140" t="inlineStr">
        <is>
          <t>0…160 кгс/см2</t>
        </is>
      </c>
      <c r="G85" s="140" t="n">
        <v>1.5</v>
      </c>
      <c r="H85" s="140" t="inlineStr">
        <is>
          <t>Метрическая</t>
        </is>
      </c>
      <c r="I85" s="140" t="n">
        <v>12</v>
      </c>
      <c r="J85" s="140" t="inlineStr">
        <is>
          <t>25ДЯУ</t>
        </is>
      </c>
      <c r="K85" s="140" t="inlineStr">
        <is>
          <t>Радиальный</t>
        </is>
      </c>
    </row>
    <row r="86">
      <c r="A86" s="140">
        <f>IF(B86&lt;&gt;"", COUNTA($B$2:B86), "")</f>
        <v/>
      </c>
      <c r="B86" s="140" t="inlineStr">
        <is>
          <t>Манометр технический</t>
        </is>
      </c>
      <c r="C86" s="140" t="inlineStr">
        <is>
          <t>МП4-УУ2</t>
        </is>
      </c>
      <c r="D86" s="141" t="n">
        <v>5311</v>
      </c>
      <c r="E86" s="140" t="n"/>
      <c r="F86" s="140" t="inlineStr">
        <is>
          <t>0…160 кгс/см2</t>
        </is>
      </c>
      <c r="G86" s="140" t="n">
        <v>1.5</v>
      </c>
      <c r="H86" s="140" t="inlineStr">
        <is>
          <t>Метрическая</t>
        </is>
      </c>
      <c r="I86" s="140" t="n">
        <v>12</v>
      </c>
      <c r="J86" s="140" t="inlineStr">
        <is>
          <t>25ДЯУ</t>
        </is>
      </c>
      <c r="K86" s="140" t="inlineStr">
        <is>
          <t>Радиальный</t>
        </is>
      </c>
    </row>
    <row r="87">
      <c r="A87" s="140">
        <f>IF(B87&lt;&gt;"", COUNTA($B$2:B87), "")</f>
        <v/>
      </c>
      <c r="B87" s="140" t="inlineStr">
        <is>
          <t>Манометр технический</t>
        </is>
      </c>
      <c r="C87" s="140" t="inlineStr">
        <is>
          <t>МП4-УУ2</t>
        </is>
      </c>
      <c r="D87" s="141" t="n">
        <v>15176</v>
      </c>
      <c r="E87" s="140" t="n"/>
      <c r="F87" s="140" t="inlineStr">
        <is>
          <t>0…160 кгс/см2</t>
        </is>
      </c>
      <c r="G87" s="140" t="n">
        <v>1.5</v>
      </c>
      <c r="H87" s="140" t="inlineStr">
        <is>
          <t>Метрическая</t>
        </is>
      </c>
      <c r="I87" s="140" t="n">
        <v>12</v>
      </c>
      <c r="J87" s="140" t="inlineStr">
        <is>
          <t>25ДЯУ</t>
        </is>
      </c>
      <c r="K87" s="140" t="inlineStr">
        <is>
          <t>Радиальный</t>
        </is>
      </c>
    </row>
    <row r="88">
      <c r="A88" s="140">
        <f>IF(B88&lt;&gt;"", COUNTA($B$2:B88), "")</f>
        <v/>
      </c>
      <c r="B88" s="140" t="inlineStr">
        <is>
          <t>Манометр технический</t>
        </is>
      </c>
      <c r="C88" s="140" t="inlineStr">
        <is>
          <t>МП4-УУ2</t>
        </is>
      </c>
      <c r="D88" s="141" t="inlineStr">
        <is>
          <t> </t>
        </is>
      </c>
      <c r="E88" s="140" t="n"/>
      <c r="F88" s="140" t="inlineStr">
        <is>
          <t>0…160 кгс/см2</t>
        </is>
      </c>
      <c r="G88" s="140" t="n">
        <v>1.5</v>
      </c>
      <c r="H88" s="140" t="inlineStr">
        <is>
          <t>Метрическая</t>
        </is>
      </c>
      <c r="I88" s="140" t="n">
        <v>12</v>
      </c>
      <c r="J88" s="140" t="inlineStr">
        <is>
          <t>25ДЯУ</t>
        </is>
      </c>
      <c r="K88" s="140" t="inlineStr">
        <is>
          <t>Радиальный</t>
        </is>
      </c>
    </row>
    <row r="89">
      <c r="A89" s="140">
        <f>IF(B89&lt;&gt;"", COUNTA($B$2:B89), "")</f>
        <v/>
      </c>
      <c r="B89" s="140" t="inlineStr">
        <is>
          <t>Манометр технический</t>
        </is>
      </c>
      <c r="C89" s="140" t="inlineStr">
        <is>
          <t>МП4-УУ2</t>
        </is>
      </c>
      <c r="D89" s="141" t="n">
        <v>15407</v>
      </c>
      <c r="E89" s="140" t="n"/>
      <c r="F89" s="140" t="inlineStr">
        <is>
          <t>0…160 кгс/см2</t>
        </is>
      </c>
      <c r="G89" s="140" t="n">
        <v>1</v>
      </c>
      <c r="H89" s="140" t="inlineStr">
        <is>
          <t>Метрическая</t>
        </is>
      </c>
      <c r="I89" s="140" t="n">
        <v>12</v>
      </c>
      <c r="J89" s="140" t="inlineStr">
        <is>
          <t>25ДЯУ</t>
        </is>
      </c>
      <c r="K89" s="140" t="inlineStr">
        <is>
          <t>Радиальный</t>
        </is>
      </c>
    </row>
    <row r="90">
      <c r="A90" s="140">
        <f>IF(B90&lt;&gt;"", COUNTA($B$2:B90), "")</f>
        <v/>
      </c>
      <c r="B90" s="140" t="inlineStr">
        <is>
          <t>Манометр технический</t>
        </is>
      </c>
      <c r="C90" s="140" t="inlineStr">
        <is>
          <t>МП4-УУ2</t>
        </is>
      </c>
      <c r="D90" s="141" t="n">
        <v>15311</v>
      </c>
      <c r="E90" s="140" t="n"/>
      <c r="F90" s="140" t="inlineStr">
        <is>
          <t>0...0,6 кгс/см2</t>
        </is>
      </c>
      <c r="G90" s="140" t="n">
        <v>1.5</v>
      </c>
      <c r="H90" s="140" t="inlineStr">
        <is>
          <t>Метрическая</t>
        </is>
      </c>
      <c r="I90" s="140" t="n">
        <v>12</v>
      </c>
      <c r="J90" s="140" t="inlineStr">
        <is>
          <t>1К22</t>
        </is>
      </c>
      <c r="K90" s="140" t="inlineStr">
        <is>
          <t>Радиальный</t>
        </is>
      </c>
    </row>
    <row r="91">
      <c r="A91" s="140">
        <f>IF(B91&lt;&gt;"", COUNTA($B$2:B91), "")</f>
        <v/>
      </c>
      <c r="B91" s="140" t="inlineStr">
        <is>
          <t>Манометр технический</t>
        </is>
      </c>
      <c r="C91" s="140" t="inlineStr">
        <is>
          <t>МП4-УУ2</t>
        </is>
      </c>
      <c r="D91" s="141" t="n">
        <v>15658</v>
      </c>
      <c r="E91" s="140" t="n"/>
      <c r="F91" s="140" t="inlineStr">
        <is>
          <t>0...160 кПа</t>
        </is>
      </c>
      <c r="G91" s="140" t="n">
        <v>1.5</v>
      </c>
      <c r="H91" s="140" t="inlineStr">
        <is>
          <t>Метрическая</t>
        </is>
      </c>
      <c r="I91" s="140" t="n">
        <v>12</v>
      </c>
      <c r="J91" s="140" t="inlineStr">
        <is>
          <t>25ДЯУ</t>
        </is>
      </c>
      <c r="K91" s="140" t="inlineStr">
        <is>
          <t>Радиальный</t>
        </is>
      </c>
    </row>
    <row r="92">
      <c r="A92" s="140">
        <f>IF(B92&lt;&gt;"", COUNTA($B$2:B92), "")</f>
        <v/>
      </c>
      <c r="B92" s="140" t="inlineStr">
        <is>
          <t>Манометр технический</t>
        </is>
      </c>
      <c r="C92" s="140" t="inlineStr">
        <is>
          <t>МП4-УУ2</t>
        </is>
      </c>
      <c r="D92" s="141" t="n">
        <v>40129</v>
      </c>
      <c r="E92" s="140" t="n"/>
      <c r="F92" s="140" t="inlineStr">
        <is>
          <t>0…100 кгс/см2</t>
        </is>
      </c>
      <c r="G92" s="140" t="n">
        <v>1.5</v>
      </c>
      <c r="H92" s="140" t="inlineStr">
        <is>
          <t>Метрическая</t>
        </is>
      </c>
      <c r="I92" s="140" t="n">
        <v>12</v>
      </c>
      <c r="J92" s="140" t="inlineStr">
        <is>
          <t>25ДЯУ</t>
        </is>
      </c>
      <c r="K92" s="140" t="inlineStr">
        <is>
          <t>Радиальный</t>
        </is>
      </c>
    </row>
    <row r="93">
      <c r="A93" s="140">
        <f>IF(B93&lt;&gt;"", COUNTA($B$2:B93), "")</f>
        <v/>
      </c>
      <c r="B93" s="140" t="inlineStr">
        <is>
          <t>Манометр технический</t>
        </is>
      </c>
      <c r="C93" s="140" t="inlineStr">
        <is>
          <t>МП4-УУ2</t>
        </is>
      </c>
      <c r="D93" s="141" t="n">
        <v>212032338</v>
      </c>
      <c r="E93" s="140" t="n"/>
      <c r="F93" s="140" t="inlineStr">
        <is>
          <t>0...16 МПа</t>
        </is>
      </c>
      <c r="G93" s="140" t="n">
        <v>1.5</v>
      </c>
      <c r="H93" s="140" t="inlineStr">
        <is>
          <t>Метрическая</t>
        </is>
      </c>
      <c r="I93" s="140" t="n">
        <v>12</v>
      </c>
      <c r="J93" s="140" t="inlineStr">
        <is>
          <t>25ДЯУ</t>
        </is>
      </c>
      <c r="K93" s="140" t="inlineStr">
        <is>
          <t>Радиальный</t>
        </is>
      </c>
    </row>
    <row r="94">
      <c r="A94" s="140">
        <f>IF(B94&lt;&gt;"", COUNTA($B$2:B94), "")</f>
        <v/>
      </c>
      <c r="B94" s="140" t="inlineStr">
        <is>
          <t>Манометр технический</t>
        </is>
      </c>
      <c r="C94" s="140" t="inlineStr">
        <is>
          <t>МП4-У</t>
        </is>
      </c>
      <c r="D94" s="141" t="n">
        <v>100</v>
      </c>
      <c r="E94" s="140" t="n"/>
      <c r="F94" s="140" t="inlineStr">
        <is>
          <t>0…4 кгс/см2</t>
        </is>
      </c>
      <c r="G94" s="140" t="n">
        <v>1</v>
      </c>
      <c r="H94" s="140" t="inlineStr">
        <is>
          <t>Метрическая</t>
        </is>
      </c>
      <c r="I94" s="140" t="n">
        <v>12</v>
      </c>
      <c r="J94" s="140" t="inlineStr">
        <is>
          <t>отсутствует</t>
        </is>
      </c>
      <c r="K94" s="140" t="inlineStr">
        <is>
          <t>Радиальный</t>
        </is>
      </c>
    </row>
    <row r="95">
      <c r="A95" s="140">
        <f>IF(B95&lt;&gt;"", COUNTA($B$2:B95), "")</f>
        <v/>
      </c>
      <c r="B95" s="140" t="inlineStr">
        <is>
          <t>Манометр технический</t>
        </is>
      </c>
      <c r="C95" s="140" t="inlineStr">
        <is>
          <t>МП4-У</t>
        </is>
      </c>
      <c r="D95" s="141" t="n">
        <v>63</v>
      </c>
      <c r="E95" s="140" t="n"/>
      <c r="F95" s="140" t="inlineStr">
        <is>
          <t>0…4 кгс/см2</t>
        </is>
      </c>
      <c r="G95" s="140" t="n">
        <v>1</v>
      </c>
      <c r="H95" s="140" t="inlineStr">
        <is>
          <t>Метрическая</t>
        </is>
      </c>
      <c r="I95" s="140" t="n">
        <v>12</v>
      </c>
      <c r="J95" s="140" t="inlineStr">
        <is>
          <t>2К23</t>
        </is>
      </c>
      <c r="K95" s="140" t="inlineStr">
        <is>
          <t>Радиальный</t>
        </is>
      </c>
    </row>
    <row r="96">
      <c r="A96" s="140">
        <f>IF(B96&lt;&gt;"", COUNTA($B$2:B96), "")</f>
        <v/>
      </c>
      <c r="B96" s="140" t="inlineStr">
        <is>
          <t>Манометр технический</t>
        </is>
      </c>
      <c r="C96" s="140" t="inlineStr">
        <is>
          <t>МП3-УУ2</t>
        </is>
      </c>
      <c r="D96" s="141" t="n">
        <v>15649</v>
      </c>
      <c r="E96" s="140" t="n"/>
      <c r="F96" s="140" t="inlineStr">
        <is>
          <t>0...16 МПа</t>
        </is>
      </c>
      <c r="G96" s="140" t="n">
        <v>1.5</v>
      </c>
      <c r="H96" s="140" t="inlineStr">
        <is>
          <t>Метрическая</t>
        </is>
      </c>
      <c r="I96" s="140" t="n">
        <v>12</v>
      </c>
      <c r="J96" s="140" t="inlineStr">
        <is>
          <t>1К24</t>
        </is>
      </c>
      <c r="K96" s="140" t="inlineStr">
        <is>
          <t>Радиальный</t>
        </is>
      </c>
    </row>
    <row r="97">
      <c r="A97" s="140">
        <f>IF(B97&lt;&gt;"", COUNTA($B$2:B97), "")</f>
        <v/>
      </c>
      <c r="B97" s="140" t="inlineStr">
        <is>
          <t>Манометр технический</t>
        </is>
      </c>
      <c r="C97" s="140" t="inlineStr">
        <is>
          <t>МП4-УУ2</t>
        </is>
      </c>
      <c r="D97" s="141" t="n">
        <v>1870798</v>
      </c>
      <c r="E97" s="140" t="n"/>
      <c r="F97" s="140" t="inlineStr">
        <is>
          <t>0...10 МПа</t>
        </is>
      </c>
      <c r="G97" s="140" t="n">
        <v>1</v>
      </c>
      <c r="H97" s="140" t="inlineStr">
        <is>
          <t>Метрическая</t>
        </is>
      </c>
      <c r="I97" s="140" t="n">
        <v>12</v>
      </c>
      <c r="J97" s="140" t="inlineStr">
        <is>
          <t>отсутствует</t>
        </is>
      </c>
      <c r="K97" s="140" t="inlineStr">
        <is>
          <t>Радиальный</t>
        </is>
      </c>
    </row>
    <row r="98">
      <c r="A98" s="140">
        <f>IF(B98&lt;&gt;"", COUNTA($B$2:B98), "")</f>
        <v/>
      </c>
      <c r="B98" s="140" t="inlineStr">
        <is>
          <t>Манометр технический</t>
        </is>
      </c>
      <c r="C98" s="140" t="inlineStr">
        <is>
          <t>МП4-УУ2</t>
        </is>
      </c>
      <c r="D98" s="141" t="n">
        <v>15281</v>
      </c>
      <c r="E98" s="140" t="n"/>
      <c r="F98" s="140" t="inlineStr">
        <is>
          <t>0…16 кгс/см2</t>
        </is>
      </c>
      <c r="G98" s="140" t="n">
        <v>1.5</v>
      </c>
      <c r="H98" s="140" t="inlineStr">
        <is>
          <t>Метрическая</t>
        </is>
      </c>
      <c r="I98" s="140" t="n">
        <v>12</v>
      </c>
      <c r="J98" s="140" t="inlineStr">
        <is>
          <t>1К25</t>
        </is>
      </c>
      <c r="K98" s="140" t="inlineStr">
        <is>
          <t>Радиальный Ушастый</t>
        </is>
      </c>
    </row>
    <row r="99">
      <c r="A99" s="140">
        <f>IF(B99&lt;&gt;"", COUNTA($B$2:B99), "")</f>
        <v/>
      </c>
      <c r="B99" s="140" t="inlineStr">
        <is>
          <t>Манометр технический</t>
        </is>
      </c>
      <c r="C99" s="140" t="inlineStr">
        <is>
          <t>МП4-УУ2</t>
        </is>
      </c>
      <c r="D99" s="141" t="n">
        <v>15288</v>
      </c>
      <c r="E99" s="140" t="n"/>
      <c r="F99" s="140" t="inlineStr">
        <is>
          <t>0…16 кгс/см2</t>
        </is>
      </c>
      <c r="G99" s="140" t="n">
        <v>1.5</v>
      </c>
      <c r="H99" s="140" t="inlineStr">
        <is>
          <t>Метрическая</t>
        </is>
      </c>
      <c r="I99" s="140" t="n">
        <v>12</v>
      </c>
      <c r="J99" s="140" t="inlineStr">
        <is>
          <t>1К25</t>
        </is>
      </c>
      <c r="K99" s="140" t="inlineStr">
        <is>
          <t>Радиальный Ушастый</t>
        </is>
      </c>
    </row>
    <row r="100">
      <c r="A100" s="140">
        <f>IF(B100&lt;&gt;"", COUNTA($B$2:B100), "")</f>
        <v/>
      </c>
      <c r="B100" s="140" t="inlineStr">
        <is>
          <t>Манометр технический</t>
        </is>
      </c>
      <c r="C100" s="140" t="inlineStr">
        <is>
          <t>МП4-УУ2</t>
        </is>
      </c>
      <c r="D100" s="141" t="n">
        <v>212032725</v>
      </c>
      <c r="E100" s="140" t="n"/>
      <c r="F100" s="140" t="inlineStr">
        <is>
          <t>0...10 МПа</t>
        </is>
      </c>
      <c r="G100" s="140" t="n">
        <v>1</v>
      </c>
      <c r="H100" s="140" t="inlineStr">
        <is>
          <t>Метрическая</t>
        </is>
      </c>
      <c r="I100" s="140" t="n">
        <v>12</v>
      </c>
      <c r="J100" s="140" t="inlineStr">
        <is>
          <t>1К24</t>
        </is>
      </c>
      <c r="K100" s="140" t="inlineStr">
        <is>
          <t>Радиальный</t>
        </is>
      </c>
    </row>
    <row r="101">
      <c r="A101" s="140">
        <f>IF(B101&lt;&gt;"", COUNTA($B$2:B101), "")</f>
        <v/>
      </c>
      <c r="B101" s="140" t="inlineStr">
        <is>
          <t>Манометр технический</t>
        </is>
      </c>
      <c r="C101" s="140" t="inlineStr">
        <is>
          <t>ВП4-УУ2</t>
        </is>
      </c>
      <c r="D101" s="141" t="n">
        <v>15415</v>
      </c>
      <c r="E101" s="140" t="n"/>
      <c r="F101" s="11" t="inlineStr">
        <is>
          <t>-0,6…0 кгс/см2</t>
        </is>
      </c>
      <c r="G101" s="140" t="n">
        <v>1.5</v>
      </c>
      <c r="H101" s="140" t="inlineStr">
        <is>
          <t>Метрическая</t>
        </is>
      </c>
      <c r="I101" s="140" t="n">
        <v>12</v>
      </c>
      <c r="J101" s="140" t="inlineStr">
        <is>
          <t>1К25</t>
        </is>
      </c>
      <c r="K101" s="140" t="inlineStr">
        <is>
          <t>Радиальный</t>
        </is>
      </c>
    </row>
    <row r="102">
      <c r="A102" s="140">
        <f>IF(B102&lt;&gt;"", COUNTA($B$2:B102), "")</f>
        <v/>
      </c>
      <c r="B102" s="140" t="inlineStr">
        <is>
          <t>Манометр технический</t>
        </is>
      </c>
      <c r="C102" s="140" t="inlineStr">
        <is>
          <t>МВП4-УУ2</t>
        </is>
      </c>
      <c r="D102" s="141" t="n">
        <v>15318</v>
      </c>
      <c r="E102" s="140" t="n"/>
      <c r="F102" s="11" t="inlineStr">
        <is>
          <t>-1…1,5 кгс/см2</t>
        </is>
      </c>
      <c r="G102" s="140" t="n">
        <v>1.5</v>
      </c>
      <c r="H102" s="140" t="inlineStr">
        <is>
          <t>Метрическая</t>
        </is>
      </c>
      <c r="I102" s="140" t="n">
        <v>12</v>
      </c>
      <c r="J102" s="140" t="inlineStr">
        <is>
          <t>1К25</t>
        </is>
      </c>
      <c r="K102" s="140" t="inlineStr">
        <is>
          <t>Радиальный</t>
        </is>
      </c>
    </row>
    <row r="103">
      <c r="A103" s="140">
        <f>IF(B103&lt;&gt;"", COUNTA($B$2:B103), "")</f>
        <v/>
      </c>
      <c r="B103" s="140" t="inlineStr">
        <is>
          <t>Манометр технический</t>
        </is>
      </c>
      <c r="C103" s="140" t="inlineStr">
        <is>
          <t>МП4-УфБСУХЛ1</t>
        </is>
      </c>
      <c r="D103" s="141" t="inlineStr">
        <is>
          <t>А0810410</t>
        </is>
      </c>
      <c r="E103" s="140" t="n"/>
      <c r="F103" s="140" t="inlineStr">
        <is>
          <t>0…100 кПа</t>
        </is>
      </c>
      <c r="G103" s="140" t="n">
        <v>1</v>
      </c>
      <c r="H103" s="140" t="inlineStr">
        <is>
          <t>Метрическая</t>
        </is>
      </c>
      <c r="I103" s="140" t="n">
        <v>12</v>
      </c>
      <c r="J103" s="140" t="inlineStr">
        <is>
          <t>2К24</t>
        </is>
      </c>
      <c r="K103" s="140" t="inlineStr">
        <is>
          <t>Радиальный</t>
        </is>
      </c>
    </row>
    <row r="104">
      <c r="A104" s="140">
        <f>IF(B104&lt;&gt;"", COUNTA($B$2:B104), "")</f>
        <v/>
      </c>
      <c r="B104" s="140" t="inlineStr">
        <is>
          <t>Манометр технический</t>
        </is>
      </c>
      <c r="C104" s="140" t="inlineStr">
        <is>
          <t>ТМ6</t>
        </is>
      </c>
      <c r="D104" s="141" t="n">
        <v>15505</v>
      </c>
      <c r="E104" s="140" t="n"/>
      <c r="F104" s="140" t="inlineStr">
        <is>
          <t>0…160 кгс/см2</t>
        </is>
      </c>
      <c r="G104" s="140" t="n">
        <v>1.5</v>
      </c>
      <c r="H104" s="140" t="inlineStr">
        <is>
          <t>Метрическая</t>
        </is>
      </c>
      <c r="I104" s="140" t="n">
        <v>12</v>
      </c>
      <c r="J104" s="140" t="inlineStr">
        <is>
          <t>25ДЯУ</t>
        </is>
      </c>
      <c r="K104" s="140" t="inlineStr">
        <is>
          <t>Радиальный</t>
        </is>
      </c>
    </row>
    <row r="105">
      <c r="A105" s="140">
        <f>IF(B105&lt;&gt;"", COUNTA($B$2:B105), "")</f>
        <v/>
      </c>
      <c r="B105" s="140" t="inlineStr">
        <is>
          <t>Манометр технический</t>
        </is>
      </c>
      <c r="C105" s="140" t="inlineStr">
        <is>
          <t>МП4-УУХЛ1</t>
        </is>
      </c>
      <c r="D105" s="141" t="n">
        <v>20125880</v>
      </c>
      <c r="E105" s="140" t="n"/>
      <c r="F105" s="140" t="inlineStr">
        <is>
          <t>0…600 кПа</t>
        </is>
      </c>
      <c r="G105" s="140" t="n">
        <v>1</v>
      </c>
      <c r="H105" s="140" t="inlineStr">
        <is>
          <t>Метрическая</t>
        </is>
      </c>
      <c r="I105" s="140" t="n">
        <v>12</v>
      </c>
      <c r="J105" s="140" t="inlineStr">
        <is>
          <t>2К24</t>
        </is>
      </c>
      <c r="K105" s="140" t="inlineStr">
        <is>
          <t>Радиальный</t>
        </is>
      </c>
    </row>
    <row r="106">
      <c r="A106" s="140">
        <f>IF(B106&lt;&gt;"", COUNTA($B$2:B106), "")</f>
        <v/>
      </c>
      <c r="B106" s="140" t="inlineStr">
        <is>
          <t>Манометр технический</t>
        </is>
      </c>
      <c r="C106" s="140" t="inlineStr">
        <is>
          <t>МП4-УУ2</t>
        </is>
      </c>
      <c r="D106" s="141" t="n">
        <v>700047</v>
      </c>
      <c r="E106" s="140" t="n"/>
      <c r="F106" s="140" t="inlineStr">
        <is>
          <t> </t>
        </is>
      </c>
      <c r="G106" s="140" t="n">
        <v>1.5</v>
      </c>
      <c r="H106" s="140" t="inlineStr">
        <is>
          <t>Метрическая</t>
        </is>
      </c>
      <c r="I106" s="140" t="n">
        <v>12</v>
      </c>
      <c r="J106" s="140" t="inlineStr">
        <is>
          <t>отсутствует</t>
        </is>
      </c>
      <c r="K106" s="140" t="inlineStr">
        <is>
          <t>Радиальный Ушастый</t>
        </is>
      </c>
    </row>
    <row r="107">
      <c r="A107" s="140">
        <f>IF(B107&lt;&gt;"", COUNTA($B$2:B107), "")</f>
        <v/>
      </c>
      <c r="B107" s="140" t="inlineStr">
        <is>
          <t>Манометр технический</t>
        </is>
      </c>
      <c r="C107" s="140" t="inlineStr">
        <is>
          <t>МП3-УУ1</t>
        </is>
      </c>
      <c r="D107" s="141" t="n">
        <v>700001</v>
      </c>
      <c r="E107" s="140" t="n"/>
      <c r="F107" s="140" t="inlineStr">
        <is>
          <t>0...16 МПа</t>
        </is>
      </c>
      <c r="G107" s="140" t="n">
        <v>1.5</v>
      </c>
      <c r="H107" s="140" t="inlineStr">
        <is>
          <t>Метрическая</t>
        </is>
      </c>
      <c r="I107" s="140" t="n">
        <v>12</v>
      </c>
      <c r="J107" s="140" t="inlineStr">
        <is>
          <t>25ДЯУ</t>
        </is>
      </c>
      <c r="K107" s="140" t="inlineStr">
        <is>
          <t>Радиальный</t>
        </is>
      </c>
    </row>
    <row r="108">
      <c r="A108" s="140">
        <f>IF(B108&lt;&gt;"", COUNTA($B$2:B108), "")</f>
        <v/>
      </c>
      <c r="B108" s="140" t="inlineStr">
        <is>
          <t>Манометр технический</t>
        </is>
      </c>
      <c r="C108" s="140" t="inlineStr">
        <is>
          <t>МП4-УУ2</t>
        </is>
      </c>
      <c r="D108" s="141" t="n">
        <v>15659</v>
      </c>
      <c r="E108" s="140" t="n"/>
      <c r="F108" s="140" t="inlineStr">
        <is>
          <t>0…160 кПа</t>
        </is>
      </c>
      <c r="G108" s="140" t="n">
        <v>1.5</v>
      </c>
      <c r="H108" s="140" t="inlineStr">
        <is>
          <t>Метрическая</t>
        </is>
      </c>
      <c r="I108" s="140" t="n">
        <v>12</v>
      </c>
      <c r="J108" s="140" t="inlineStr">
        <is>
          <t>25ДЯУ</t>
        </is>
      </c>
      <c r="K108" s="140" t="inlineStr">
        <is>
          <t>Радиальный</t>
        </is>
      </c>
    </row>
    <row r="109">
      <c r="A109" s="140">
        <f>IF(B109&lt;&gt;"", COUNTA($B$2:B109), "")</f>
        <v/>
      </c>
      <c r="B109" s="140" t="inlineStr">
        <is>
          <t>Манометр технический</t>
        </is>
      </c>
      <c r="C109" s="140" t="inlineStr">
        <is>
          <t>МП3-УУ2</t>
        </is>
      </c>
      <c r="D109" s="141" t="n">
        <v>75550</v>
      </c>
      <c r="E109" s="140" t="n"/>
      <c r="F109" s="140" t="inlineStr">
        <is>
          <t>0...16 МПа</t>
        </is>
      </c>
      <c r="G109" s="140" t="n">
        <v>1.5</v>
      </c>
      <c r="H109" s="140" t="inlineStr">
        <is>
          <t>Метрическая</t>
        </is>
      </c>
      <c r="I109" s="140" t="n">
        <v>12</v>
      </c>
      <c r="J109" s="140" t="inlineStr">
        <is>
          <t>25ДЯУ</t>
        </is>
      </c>
      <c r="K109" s="140" t="inlineStr">
        <is>
          <t>Радиальный</t>
        </is>
      </c>
    </row>
    <row r="110">
      <c r="A110" s="140">
        <f>IF(B110&lt;&gt;"", COUNTA($B$2:B110), "")</f>
        <v/>
      </c>
      <c r="B110" s="140" t="inlineStr">
        <is>
          <t>Манометр технический</t>
        </is>
      </c>
      <c r="C110" s="140" t="inlineStr">
        <is>
          <t>КМ2</t>
        </is>
      </c>
      <c r="D110" s="141" t="n">
        <v>7000166</v>
      </c>
      <c r="E110" s="140" t="n"/>
      <c r="F110" s="140" t="inlineStr">
        <is>
          <t>0…40 кПа</t>
        </is>
      </c>
      <c r="G110" s="140" t="n">
        <v>1.5</v>
      </c>
      <c r="H110" s="140" t="inlineStr">
        <is>
          <t>Метрическая</t>
        </is>
      </c>
      <c r="I110" s="140" t="n">
        <v>12</v>
      </c>
      <c r="J110" s="140" t="inlineStr">
        <is>
          <t>1К23</t>
        </is>
      </c>
      <c r="K110" s="140" t="inlineStr">
        <is>
          <t>Радиальный</t>
        </is>
      </c>
    </row>
    <row r="111">
      <c r="A111" s="140">
        <f>IF(B111&lt;&gt;"", COUNTA($B$2:B111), "")</f>
        <v/>
      </c>
      <c r="B111" s="140" t="inlineStr">
        <is>
          <t>Манометр технический</t>
        </is>
      </c>
      <c r="C111" s="140" t="inlineStr">
        <is>
          <t>МП3-УУ2</t>
        </is>
      </c>
      <c r="D111" s="141" t="n">
        <v>600281</v>
      </c>
      <c r="E111" s="140" t="n"/>
      <c r="F111" s="140" t="inlineStr">
        <is>
          <t>0…16 кгс/см2</t>
        </is>
      </c>
      <c r="G111" s="140" t="n">
        <v>1.5</v>
      </c>
      <c r="H111" s="140" t="inlineStr">
        <is>
          <t>Метрическая</t>
        </is>
      </c>
      <c r="I111" s="140" t="n">
        <v>12</v>
      </c>
      <c r="J111" s="140" t="inlineStr">
        <is>
          <t>2К24</t>
        </is>
      </c>
      <c r="K111" s="140" t="inlineStr">
        <is>
          <t>Радиальный</t>
        </is>
      </c>
    </row>
    <row r="112">
      <c r="A112" s="140">
        <f>IF(B112&lt;&gt;"", COUNTA($B$2:B112), "")</f>
        <v/>
      </c>
      <c r="B112" s="140" t="inlineStr">
        <is>
          <t>Манометр технический</t>
        </is>
      </c>
      <c r="C112" s="140" t="inlineStr">
        <is>
          <t>МП4-УУ2</t>
        </is>
      </c>
      <c r="D112" s="141" t="n">
        <v>40074</v>
      </c>
      <c r="E112" s="140" t="n">
        <v>2008</v>
      </c>
      <c r="F112" s="140" t="inlineStr">
        <is>
          <t>0…6 кгс/см2</t>
        </is>
      </c>
      <c r="G112" s="140" t="n">
        <v>1.5</v>
      </c>
      <c r="H112" s="140" t="inlineStr">
        <is>
          <t>Метрическая</t>
        </is>
      </c>
      <c r="I112" s="140" t="n">
        <v>12</v>
      </c>
      <c r="J112" s="140" t="inlineStr">
        <is>
          <t>25ДЯУ</t>
        </is>
      </c>
      <c r="K112" s="140" t="inlineStr">
        <is>
          <t>Радиальный</t>
        </is>
      </c>
    </row>
    <row r="113">
      <c r="A113" s="140">
        <f>IF(B113&lt;&gt;"", COUNTA($B$2:B113), "")</f>
        <v/>
      </c>
      <c r="B113" s="140" t="inlineStr">
        <is>
          <t>Манометр технический</t>
        </is>
      </c>
      <c r="C113" s="140" t="inlineStr">
        <is>
          <t>МП4-УУ2</t>
        </is>
      </c>
      <c r="D113" s="141" t="n">
        <v>15313</v>
      </c>
      <c r="E113" s="140" t="n"/>
      <c r="F113" s="140" t="inlineStr">
        <is>
          <t>0…160 кгс/см2</t>
        </is>
      </c>
      <c r="G113" s="140" t="n">
        <v>1.5</v>
      </c>
      <c r="H113" s="140" t="inlineStr">
        <is>
          <t>Метрическая</t>
        </is>
      </c>
      <c r="I113" s="140" t="n">
        <v>12</v>
      </c>
      <c r="J113" s="140" t="inlineStr">
        <is>
          <t>2К25</t>
        </is>
      </c>
      <c r="K113" s="140" t="inlineStr">
        <is>
          <t>Радиальный</t>
        </is>
      </c>
    </row>
    <row r="114">
      <c r="A114" s="140">
        <f>IF(B114&lt;&gt;"", COUNTA($B$2:B114), "")</f>
        <v/>
      </c>
      <c r="B114" s="140" t="inlineStr">
        <is>
          <t>Манометр технический</t>
        </is>
      </c>
      <c r="C114" s="140" t="inlineStr">
        <is>
          <t>МП4-УУ2</t>
        </is>
      </c>
      <c r="D114" s="141" t="n">
        <v>15507</v>
      </c>
      <c r="E114" s="140" t="n"/>
      <c r="F114" s="140" t="inlineStr">
        <is>
          <t>0…160 кгс/см2</t>
        </is>
      </c>
      <c r="G114" s="140" t="n">
        <v>1.5</v>
      </c>
      <c r="H114" s="140" t="inlineStr">
        <is>
          <t>Метрическая</t>
        </is>
      </c>
      <c r="I114" s="140" t="n">
        <v>12</v>
      </c>
      <c r="J114" s="140" t="inlineStr">
        <is>
          <t>24ДЯУ</t>
        </is>
      </c>
      <c r="K114" s="140" t="inlineStr">
        <is>
          <t>Радиальный</t>
        </is>
      </c>
    </row>
    <row r="115">
      <c r="A115" s="140">
        <f>IF(B115&lt;&gt;"", COUNTA($B$2:B115), "")</f>
        <v/>
      </c>
      <c r="B115" s="140" t="inlineStr">
        <is>
          <t>Манометр технический</t>
        </is>
      </c>
      <c r="C115" s="140" t="inlineStr">
        <is>
          <t>МП4-УфБСУХЛ1</t>
        </is>
      </c>
      <c r="D115" s="141" t="n">
        <v>312452</v>
      </c>
      <c r="E115" s="140" t="n"/>
      <c r="F115" s="140" t="inlineStr">
        <is>
          <t>0...16 МПа</t>
        </is>
      </c>
      <c r="G115" s="140" t="n">
        <v>1</v>
      </c>
      <c r="H115" s="140" t="inlineStr">
        <is>
          <t>Метрическая</t>
        </is>
      </c>
      <c r="I115" s="140" t="n">
        <v>12</v>
      </c>
      <c r="J115" s="140" t="inlineStr">
        <is>
          <t>24ДЯУ</t>
        </is>
      </c>
      <c r="K115" s="140" t="inlineStr">
        <is>
          <t>Радиальный</t>
        </is>
      </c>
    </row>
    <row r="116">
      <c r="A116" s="140">
        <f>IF(B116&lt;&gt;"", COUNTA($B$2:B116), "")</f>
        <v/>
      </c>
      <c r="B116" s="140" t="inlineStr">
        <is>
          <t>Манометр технический</t>
        </is>
      </c>
      <c r="C116" s="140" t="inlineStr">
        <is>
          <t>МП4-УУ2</t>
        </is>
      </c>
      <c r="D116" s="141" t="n">
        <v>15307</v>
      </c>
      <c r="E116" s="140" t="n"/>
      <c r="F116" s="140" t="inlineStr">
        <is>
          <t>0…160 кгс/см2</t>
        </is>
      </c>
      <c r="G116" s="140" t="n">
        <v>1</v>
      </c>
      <c r="H116" s="140" t="inlineStr">
        <is>
          <t>Метрическая</t>
        </is>
      </c>
      <c r="I116" s="140" t="n">
        <v>12</v>
      </c>
      <c r="J116" s="140" t="inlineStr">
        <is>
          <t>отсутствует</t>
        </is>
      </c>
      <c r="K116" s="140" t="inlineStr">
        <is>
          <t>Радиальный</t>
        </is>
      </c>
    </row>
    <row r="117">
      <c r="A117" s="140">
        <f>IF(B117&lt;&gt;"", COUNTA($B$2:B117), "")</f>
        <v/>
      </c>
      <c r="B117" s="140" t="inlineStr">
        <is>
          <t>Манометр технический</t>
        </is>
      </c>
      <c r="C117" s="140" t="inlineStr">
        <is>
          <t>МП3-УУХЛ1</t>
        </is>
      </c>
      <c r="D117" s="141" t="n">
        <v>7000188</v>
      </c>
      <c r="E117" s="140" t="n"/>
      <c r="F117" s="140" t="inlineStr">
        <is>
          <t>0…10 МПа</t>
        </is>
      </c>
      <c r="G117" s="140" t="n">
        <v>1</v>
      </c>
      <c r="H117" s="140" t="inlineStr">
        <is>
          <t>Метрическая</t>
        </is>
      </c>
      <c r="I117" s="140" t="n">
        <v>12</v>
      </c>
      <c r="J117" s="140" t="inlineStr">
        <is>
          <t>23ДЯУ</t>
        </is>
      </c>
      <c r="K117" s="140" t="inlineStr">
        <is>
          <t>Радиальный</t>
        </is>
      </c>
    </row>
    <row r="118">
      <c r="A118" s="140">
        <f>IF(B118&lt;&gt;"", COUNTA($B$2:B118), "")</f>
        <v/>
      </c>
      <c r="B118" s="140" t="inlineStr">
        <is>
          <t>Манометр технический</t>
        </is>
      </c>
      <c r="C118" s="140" t="inlineStr">
        <is>
          <t>МП4-УУ2</t>
        </is>
      </c>
      <c r="D118" s="141" t="n">
        <v>15134</v>
      </c>
      <c r="E118" s="140" t="n"/>
      <c r="F118" s="140" t="inlineStr">
        <is>
          <t>0…160 кгс/см2</t>
        </is>
      </c>
      <c r="G118" s="140" t="n">
        <v>1.5</v>
      </c>
      <c r="H118" s="140" t="inlineStr">
        <is>
          <t>Метрическая</t>
        </is>
      </c>
      <c r="I118" s="140" t="n">
        <v>12</v>
      </c>
      <c r="J118" s="140" t="inlineStr">
        <is>
          <t>отсутствует</t>
        </is>
      </c>
      <c r="K118" s="140" t="inlineStr">
        <is>
          <t>Радиальный</t>
        </is>
      </c>
    </row>
    <row r="119">
      <c r="A119" s="140">
        <f>IF(B119&lt;&gt;"", COUNTA($B$2:B119), "")</f>
        <v/>
      </c>
      <c r="B119" s="140" t="inlineStr">
        <is>
          <t>Манометр технический</t>
        </is>
      </c>
      <c r="C119" s="140" t="inlineStr">
        <is>
          <t>МП4-УУ2</t>
        </is>
      </c>
      <c r="D119" s="141" t="n">
        <v>15326</v>
      </c>
      <c r="E119" s="140" t="n"/>
      <c r="F119" s="140" t="inlineStr">
        <is>
          <t>0…160 кгс/см2</t>
        </is>
      </c>
      <c r="G119" s="140" t="n">
        <v>1</v>
      </c>
      <c r="H119" s="140" t="inlineStr">
        <is>
          <t>Метрическая</t>
        </is>
      </c>
      <c r="I119" s="140" t="n">
        <v>12</v>
      </c>
      <c r="J119" s="140" t="inlineStr">
        <is>
          <t>отсутствует</t>
        </is>
      </c>
      <c r="K119" s="140" t="inlineStr">
        <is>
          <t>Радиальный</t>
        </is>
      </c>
    </row>
    <row r="120">
      <c r="A120" s="140">
        <f>IF(B120&lt;&gt;"", COUNTA($B$2:B120), "")</f>
        <v/>
      </c>
      <c r="B120" s="140" t="inlineStr">
        <is>
          <t>Манометр технический</t>
        </is>
      </c>
      <c r="C120" s="140" t="inlineStr">
        <is>
          <t>МП4-УУ2</t>
        </is>
      </c>
      <c r="D120" s="141" t="n">
        <v>15576</v>
      </c>
      <c r="E120" s="140" t="n"/>
      <c r="F120" s="140" t="inlineStr">
        <is>
          <t>0…0,6 кгс/см2</t>
        </is>
      </c>
      <c r="G120" s="140" t="n">
        <v>1.5</v>
      </c>
      <c r="H120" s="140" t="inlineStr">
        <is>
          <t>Метрическая</t>
        </is>
      </c>
      <c r="I120" s="140" t="n">
        <v>12</v>
      </c>
      <c r="J120" s="140" t="inlineStr">
        <is>
          <t>отсутствует</t>
        </is>
      </c>
      <c r="K120" s="140" t="inlineStr">
        <is>
          <t>Радиальный</t>
        </is>
      </c>
    </row>
    <row r="121">
      <c r="A121" s="140">
        <f>IF(B121&lt;&gt;"", COUNTA($B$2:B121), "")</f>
        <v/>
      </c>
      <c r="B121" s="140" t="inlineStr">
        <is>
          <t>Манометр технический</t>
        </is>
      </c>
      <c r="C121" s="140" t="inlineStr">
        <is>
          <t>МП4-УУ2</t>
        </is>
      </c>
      <c r="D121" s="141" t="inlineStr">
        <is>
          <t>15087а</t>
        </is>
      </c>
      <c r="E121" s="140" t="n"/>
      <c r="F121" s="140" t="inlineStr">
        <is>
          <t>0…160 кгс/см2</t>
        </is>
      </c>
      <c r="G121" s="140" t="n">
        <v>1.5</v>
      </c>
      <c r="H121" s="140" t="inlineStr">
        <is>
          <t>Метрическая</t>
        </is>
      </c>
      <c r="I121" s="140" t="n">
        <v>12</v>
      </c>
      <c r="J121" s="140" t="inlineStr">
        <is>
          <t>отсутствует</t>
        </is>
      </c>
      <c r="K121" s="140" t="inlineStr">
        <is>
          <t>Радиальный</t>
        </is>
      </c>
    </row>
    <row r="122">
      <c r="A122" s="140">
        <f>IF(B122&lt;&gt;"", COUNTA($B$2:B122), "")</f>
        <v/>
      </c>
      <c r="B122" s="140" t="inlineStr">
        <is>
          <t>Манометр технический</t>
        </is>
      </c>
      <c r="C122" s="140" t="inlineStr">
        <is>
          <t>МП4-УУ2</t>
        </is>
      </c>
      <c r="D122" s="141" t="n">
        <v>6205</v>
      </c>
      <c r="E122" s="140" t="n"/>
      <c r="F122" s="140" t="inlineStr">
        <is>
          <t>0…6 кгс/см2</t>
        </is>
      </c>
      <c r="G122" s="140" t="n">
        <v>1.5</v>
      </c>
      <c r="H122" s="140" t="inlineStr">
        <is>
          <t>Метрическая</t>
        </is>
      </c>
      <c r="I122" s="140" t="n">
        <v>12</v>
      </c>
      <c r="J122" s="140" t="inlineStr">
        <is>
          <t>1К24</t>
        </is>
      </c>
      <c r="K122" s="140" t="inlineStr">
        <is>
          <t>Радиальный</t>
        </is>
      </c>
    </row>
    <row r="123">
      <c r="A123" s="140">
        <f>IF(B123&lt;&gt;"", COUNTA($B$2:B123), "")</f>
        <v/>
      </c>
      <c r="B123" s="140" t="inlineStr">
        <is>
          <t>Манометр технический</t>
        </is>
      </c>
      <c r="C123" s="140" t="inlineStr">
        <is>
          <t>МП4-УУ2</t>
        </is>
      </c>
      <c r="D123" s="141" t="n">
        <v>7000122</v>
      </c>
      <c r="E123" s="140" t="n"/>
      <c r="F123" s="140" t="inlineStr">
        <is>
          <t>0…16 МПа</t>
        </is>
      </c>
      <c r="G123" s="140" t="n">
        <v>1.5</v>
      </c>
      <c r="H123" s="140" t="inlineStr">
        <is>
          <t>Метрическая</t>
        </is>
      </c>
      <c r="I123" s="140" t="n">
        <v>12</v>
      </c>
      <c r="J123" s="140" t="inlineStr">
        <is>
          <t>3К24</t>
        </is>
      </c>
      <c r="K123" s="140" t="inlineStr">
        <is>
          <t>Радиальный</t>
        </is>
      </c>
    </row>
    <row r="124">
      <c r="A124" s="140">
        <f>IF(B124&lt;&gt;"", COUNTA($B$2:B124), "")</f>
        <v/>
      </c>
      <c r="B124" s="140" t="inlineStr">
        <is>
          <t>Манометр технический</t>
        </is>
      </c>
      <c r="C124" s="140" t="inlineStr">
        <is>
          <t>МП4-УУ2</t>
        </is>
      </c>
      <c r="D124" s="141" t="n">
        <v>700035</v>
      </c>
      <c r="E124" s="140" t="n"/>
      <c r="F124" s="140" t="inlineStr">
        <is>
          <t>0…16 МПа</t>
        </is>
      </c>
      <c r="G124" s="140" t="n">
        <v>1</v>
      </c>
      <c r="H124" s="140" t="inlineStr">
        <is>
          <t>Метрическая</t>
        </is>
      </c>
      <c r="I124" s="140" t="n">
        <v>12</v>
      </c>
      <c r="J124" s="140" t="inlineStr">
        <is>
          <t>2К24</t>
        </is>
      </c>
      <c r="K124" s="140" t="inlineStr">
        <is>
          <t>Радиальный</t>
        </is>
      </c>
    </row>
    <row r="125">
      <c r="A125" s="140">
        <f>IF(B125&lt;&gt;"", COUNTA($B$2:B125), "")</f>
        <v/>
      </c>
      <c r="B125" s="140" t="inlineStr">
        <is>
          <t>Манометр технический</t>
        </is>
      </c>
      <c r="C125" s="140" t="inlineStr">
        <is>
          <t>МП4-УУ2</t>
        </is>
      </c>
      <c r="D125" s="141" t="n">
        <v>700021</v>
      </c>
      <c r="E125" s="140" t="n"/>
      <c r="F125" s="140" t="inlineStr">
        <is>
          <t>0…16 МПа</t>
        </is>
      </c>
      <c r="G125" s="140" t="n">
        <v>1</v>
      </c>
      <c r="H125" s="140" t="inlineStr">
        <is>
          <t>Метрическая</t>
        </is>
      </c>
      <c r="I125" s="140" t="n">
        <v>12</v>
      </c>
      <c r="J125" s="140" t="inlineStr">
        <is>
          <t>2К24</t>
        </is>
      </c>
      <c r="K125" s="140" t="inlineStr">
        <is>
          <t>Радиальный</t>
        </is>
      </c>
    </row>
    <row r="126">
      <c r="A126" s="140">
        <f>IF(B126&lt;&gt;"", COUNTA($B$2:B126), "")</f>
        <v/>
      </c>
      <c r="B126" s="140" t="inlineStr">
        <is>
          <t>Манометр технический</t>
        </is>
      </c>
      <c r="C126" s="140" t="inlineStr">
        <is>
          <t>МП4-УУ2</t>
        </is>
      </c>
      <c r="D126" s="141" t="n">
        <v>700022</v>
      </c>
      <c r="E126" s="140" t="n"/>
      <c r="F126" s="140" t="inlineStr">
        <is>
          <t>0…16 МПа</t>
        </is>
      </c>
      <c r="G126" s="140" t="n">
        <v>1</v>
      </c>
      <c r="H126" s="140" t="inlineStr">
        <is>
          <t>Метрическая</t>
        </is>
      </c>
      <c r="I126" s="140" t="n">
        <v>12</v>
      </c>
      <c r="J126" s="140" t="inlineStr">
        <is>
          <t>23ДЯУ</t>
        </is>
      </c>
      <c r="K126" s="140" t="inlineStr">
        <is>
          <t>Радиальный</t>
        </is>
      </c>
    </row>
    <row r="127">
      <c r="A127" s="140">
        <f>IF(B127&lt;&gt;"", COUNTA($B$2:B127), "")</f>
        <v/>
      </c>
      <c r="B127" s="140" t="inlineStr">
        <is>
          <t>Манометр технический</t>
        </is>
      </c>
      <c r="C127" s="140" t="inlineStr">
        <is>
          <t>МП4-УУ2</t>
        </is>
      </c>
      <c r="D127" s="141" t="n">
        <v>80396</v>
      </c>
      <c r="E127" s="140" t="n"/>
      <c r="F127" s="140" t="inlineStr">
        <is>
          <t>0…160 кгс/см2</t>
        </is>
      </c>
      <c r="G127" s="140" t="n">
        <v>1.5</v>
      </c>
      <c r="H127" s="140" t="inlineStr">
        <is>
          <t>Метрическая</t>
        </is>
      </c>
      <c r="I127" s="140" t="n">
        <v>12</v>
      </c>
      <c r="J127" s="140" t="inlineStr">
        <is>
          <t>отсутствует</t>
        </is>
      </c>
      <c r="K127" s="140" t="inlineStr">
        <is>
          <t>Радиальный</t>
        </is>
      </c>
    </row>
    <row r="128">
      <c r="A128" s="140">
        <f>IF(B128&lt;&gt;"", COUNTA($B$2:B128), "")</f>
        <v/>
      </c>
      <c r="B128" s="140" t="inlineStr">
        <is>
          <t>Манометр технический</t>
        </is>
      </c>
      <c r="C128" s="140" t="inlineStr">
        <is>
          <t>МП4-УУ2</t>
        </is>
      </c>
      <c r="D128" s="141" t="n">
        <v>7000281</v>
      </c>
      <c r="E128" s="140" t="n"/>
      <c r="F128" s="140" t="inlineStr">
        <is>
          <t>0…16 МПа</t>
        </is>
      </c>
      <c r="G128" s="140" t="n">
        <v>1</v>
      </c>
      <c r="H128" s="140" t="inlineStr">
        <is>
          <t>Метрическая</t>
        </is>
      </c>
      <c r="I128" s="140" t="n">
        <v>12</v>
      </c>
      <c r="J128" s="140" t="inlineStr">
        <is>
          <t>2К23</t>
        </is>
      </c>
      <c r="K128" s="140" t="inlineStr">
        <is>
          <t>Радиальный</t>
        </is>
      </c>
    </row>
    <row r="129">
      <c r="A129" s="140">
        <f>IF(B129&lt;&gt;"", COUNTA($B$2:B129), "")</f>
        <v/>
      </c>
      <c r="B129" s="140" t="inlineStr">
        <is>
          <t>Манометр технический</t>
        </is>
      </c>
      <c r="C129" s="140" t="inlineStr">
        <is>
          <t>МП4-УУ2</t>
        </is>
      </c>
      <c r="D129" s="141" t="n">
        <v>15379</v>
      </c>
      <c r="E129" s="140" t="n"/>
      <c r="F129" s="140" t="inlineStr">
        <is>
          <t>0…160 кгс/см2</t>
        </is>
      </c>
      <c r="G129" s="140" t="n">
        <v>1.5</v>
      </c>
      <c r="H129" s="140" t="inlineStr">
        <is>
          <t>Метрическая</t>
        </is>
      </c>
      <c r="I129" s="140" t="n">
        <v>12</v>
      </c>
      <c r="J129" s="140" t="inlineStr">
        <is>
          <t>24ДЯУ</t>
        </is>
      </c>
      <c r="K129" s="140" t="inlineStr">
        <is>
          <t>Радиальный</t>
        </is>
      </c>
    </row>
    <row r="130">
      <c r="A130" s="140">
        <f>IF(B130&lt;&gt;"", COUNTA($B$2:B130), "")</f>
        <v/>
      </c>
      <c r="B130" s="140" t="inlineStr">
        <is>
          <t>Манометр технический</t>
        </is>
      </c>
      <c r="C130" s="140" t="inlineStr">
        <is>
          <t>МП4-УУ2</t>
        </is>
      </c>
      <c r="D130" s="141" t="n">
        <v>700061</v>
      </c>
      <c r="E130" s="140" t="n"/>
      <c r="F130" s="140" t="inlineStr">
        <is>
          <t>0…600 кПа</t>
        </is>
      </c>
      <c r="G130" s="140" t="n">
        <v>1.5</v>
      </c>
      <c r="H130" s="140" t="inlineStr">
        <is>
          <t>Метрическая</t>
        </is>
      </c>
      <c r="I130" s="140" t="n">
        <v>12</v>
      </c>
      <c r="J130" s="140" t="inlineStr">
        <is>
          <t>отсутствует</t>
        </is>
      </c>
      <c r="K130" s="140" t="inlineStr">
        <is>
          <t>Радиальный</t>
        </is>
      </c>
    </row>
    <row r="131">
      <c r="A131" s="140">
        <f>IF(B131&lt;&gt;"", COUNTA($B$2:B131), "")</f>
        <v/>
      </c>
      <c r="B131" s="140" t="inlineStr">
        <is>
          <t>Манометр технический</t>
        </is>
      </c>
      <c r="C131" s="140" t="inlineStr">
        <is>
          <t>МП4-УУХЛ1</t>
        </is>
      </c>
      <c r="D131" s="141" t="n">
        <v>700087</v>
      </c>
      <c r="E131" s="140" t="n"/>
      <c r="F131" s="140" t="inlineStr">
        <is>
          <t>0…16 МПа</t>
        </is>
      </c>
      <c r="G131" s="140" t="n">
        <v>1</v>
      </c>
      <c r="H131" s="140" t="inlineStr">
        <is>
          <t>Метрическая</t>
        </is>
      </c>
      <c r="I131" s="140" t="n">
        <v>12</v>
      </c>
      <c r="J131" s="140" t="inlineStr">
        <is>
          <t>24ДЯУ</t>
        </is>
      </c>
      <c r="K131" s="140" t="inlineStr">
        <is>
          <t>Радиальный</t>
        </is>
      </c>
    </row>
    <row r="132">
      <c r="A132" s="140">
        <f>IF(B132&lt;&gt;"", COUNTA($B$2:B132), "")</f>
        <v/>
      </c>
      <c r="B132" s="140" t="inlineStr">
        <is>
          <t>Манометр технический</t>
        </is>
      </c>
      <c r="C132" s="140" t="inlineStr">
        <is>
          <t>МП4-УУ2</t>
        </is>
      </c>
      <c r="D132" s="141" t="n">
        <v>211228069</v>
      </c>
      <c r="E132" s="140" t="n"/>
      <c r="F132" s="140" t="inlineStr">
        <is>
          <t>0…1,6 МПа</t>
        </is>
      </c>
      <c r="G132" s="140" t="n">
        <v>1</v>
      </c>
      <c r="H132" s="140" t="inlineStr">
        <is>
          <t>Метрическая</t>
        </is>
      </c>
      <c r="I132" s="140" t="n">
        <v>12</v>
      </c>
      <c r="J132" s="140" t="inlineStr">
        <is>
          <t>24ДЯУ</t>
        </is>
      </c>
      <c r="K132" s="140" t="inlineStr">
        <is>
          <t>Радиальный</t>
        </is>
      </c>
    </row>
    <row r="133">
      <c r="A133" s="140">
        <f>IF(B133&lt;&gt;"", COUNTA($B$2:B133), "")</f>
        <v/>
      </c>
      <c r="B133" s="140" t="inlineStr">
        <is>
          <t>Манометр технический</t>
        </is>
      </c>
      <c r="C133" s="140" t="inlineStr">
        <is>
          <t>МП4-УУХЛ1</t>
        </is>
      </c>
      <c r="D133" s="141" t="n">
        <v>700083</v>
      </c>
      <c r="E133" s="140" t="n"/>
      <c r="F133" s="140" t="inlineStr">
        <is>
          <t>0…160 кПа</t>
        </is>
      </c>
      <c r="G133" s="140" t="n">
        <v>1</v>
      </c>
      <c r="H133" s="140" t="inlineStr">
        <is>
          <t>Метрическая</t>
        </is>
      </c>
      <c r="I133" s="140" t="n">
        <v>12</v>
      </c>
      <c r="J133" s="140" t="inlineStr">
        <is>
          <t>2К23</t>
        </is>
      </c>
      <c r="K133" s="140" t="inlineStr">
        <is>
          <t>Радиальный</t>
        </is>
      </c>
    </row>
    <row r="134">
      <c r="A134" s="140">
        <f>IF(B134&lt;&gt;"", COUNTA($B$2:B134), "")</f>
        <v/>
      </c>
      <c r="B134" s="140" t="inlineStr">
        <is>
          <t>Манометр технический</t>
        </is>
      </c>
      <c r="C134" s="140" t="inlineStr">
        <is>
          <t>МП4-УУХЛ1</t>
        </is>
      </c>
      <c r="D134" s="141" t="n">
        <v>7000176</v>
      </c>
      <c r="E134" s="140" t="n"/>
      <c r="F134" s="140" t="inlineStr">
        <is>
          <t>0…10 МПа</t>
        </is>
      </c>
      <c r="G134" s="140" t="n">
        <v>1</v>
      </c>
      <c r="H134" s="140" t="inlineStr">
        <is>
          <t>Метрическая</t>
        </is>
      </c>
      <c r="I134" s="140" t="n">
        <v>12</v>
      </c>
      <c r="J134" s="140" t="inlineStr">
        <is>
          <t>23ДЯУ</t>
        </is>
      </c>
      <c r="K134" s="140" t="inlineStr">
        <is>
          <t>Радиальный</t>
        </is>
      </c>
    </row>
    <row r="135">
      <c r="A135" s="140">
        <f>IF(B135&lt;&gt;"", COUNTA($B$2:B135), "")</f>
        <v/>
      </c>
      <c r="B135" s="140" t="inlineStr">
        <is>
          <t>Манометр технический</t>
        </is>
      </c>
      <c r="C135" s="140" t="inlineStr">
        <is>
          <t>МП4-УУХЛ1</t>
        </is>
      </c>
      <c r="D135" s="141" t="n">
        <v>20125864</v>
      </c>
      <c r="E135" s="140" t="n"/>
      <c r="F135" s="140" t="inlineStr">
        <is>
          <t>0…600 кПа</t>
        </is>
      </c>
      <c r="G135" s="140" t="n">
        <v>1</v>
      </c>
      <c r="H135" s="140" t="inlineStr">
        <is>
          <t>Метрическая</t>
        </is>
      </c>
      <c r="I135" s="140" t="n">
        <v>12</v>
      </c>
      <c r="J135" s="140" t="inlineStr">
        <is>
          <t>2К23</t>
        </is>
      </c>
      <c r="K135" s="140" t="inlineStr">
        <is>
          <t>Радиальный</t>
        </is>
      </c>
    </row>
    <row r="136">
      <c r="A136" s="140">
        <f>IF(B136&lt;&gt;"", COUNTA($B$2:B136), "")</f>
        <v/>
      </c>
      <c r="B136" s="140" t="inlineStr">
        <is>
          <t>Манометр технический</t>
        </is>
      </c>
      <c r="C136" s="140" t="inlineStr">
        <is>
          <t>МП4-УУ2</t>
        </is>
      </c>
      <c r="D136" s="141" t="n">
        <v>700292</v>
      </c>
      <c r="E136" s="140" t="n"/>
      <c r="F136" s="140" t="inlineStr">
        <is>
          <t>0…160 кгс/см2</t>
        </is>
      </c>
      <c r="G136" s="140" t="n">
        <v>1</v>
      </c>
      <c r="H136" s="140" t="inlineStr">
        <is>
          <t>Метрическая</t>
        </is>
      </c>
      <c r="I136" s="140" t="n">
        <v>12</v>
      </c>
      <c r="J136" s="140" t="inlineStr">
        <is>
          <t>2К24</t>
        </is>
      </c>
      <c r="K136" s="140" t="inlineStr">
        <is>
          <t>Радиальный</t>
        </is>
      </c>
    </row>
    <row r="137">
      <c r="A137" s="140">
        <f>IF(B137&lt;&gt;"", COUNTA($B$2:B137), "")</f>
        <v/>
      </c>
      <c r="B137" s="140" t="inlineStr">
        <is>
          <t>Манометр технический</t>
        </is>
      </c>
      <c r="C137" s="140" t="inlineStr">
        <is>
          <t>МП4-УУ2</t>
        </is>
      </c>
      <c r="D137" s="141" t="n">
        <v>15577</v>
      </c>
      <c r="E137" s="140" t="n"/>
      <c r="F137" s="140" t="inlineStr">
        <is>
          <t>0…0,6 кгс/см2</t>
        </is>
      </c>
      <c r="G137" s="140" t="n">
        <v>1.5</v>
      </c>
      <c r="H137" s="140" t="inlineStr">
        <is>
          <t>Метрическая</t>
        </is>
      </c>
      <c r="I137" s="140" t="n">
        <v>12</v>
      </c>
      <c r="J137" s="140" t="inlineStr">
        <is>
          <t>отсутствует</t>
        </is>
      </c>
      <c r="K137" s="140" t="inlineStr">
        <is>
          <t>Радиальный</t>
        </is>
      </c>
    </row>
    <row r="138">
      <c r="A138" s="140">
        <f>IF(B138&lt;&gt;"", COUNTA($B$2:B138), "")</f>
        <v/>
      </c>
      <c r="B138" s="140" t="inlineStr">
        <is>
          <t>Манометр технический</t>
        </is>
      </c>
      <c r="C138" s="140" t="inlineStr">
        <is>
          <t>МП4-УУ2</t>
        </is>
      </c>
      <c r="D138" s="141" t="n">
        <v>15558</v>
      </c>
      <c r="E138" s="140" t="n"/>
      <c r="F138" s="140" t="inlineStr">
        <is>
          <t>0…0,6 кгс/см2</t>
        </is>
      </c>
      <c r="G138" s="140" t="n">
        <v>1.5</v>
      </c>
      <c r="H138" s="140" t="inlineStr">
        <is>
          <t>Метрическая</t>
        </is>
      </c>
      <c r="I138" s="140" t="n">
        <v>12</v>
      </c>
      <c r="J138" s="140" t="inlineStr">
        <is>
          <t>отсутствует</t>
        </is>
      </c>
      <c r="K138" s="140" t="inlineStr">
        <is>
          <t>Радиальный</t>
        </is>
      </c>
    </row>
    <row r="139">
      <c r="A139" s="140">
        <f>IF(B139&lt;&gt;"", COUNTA($B$2:B139), "")</f>
        <v/>
      </c>
      <c r="B139" s="140" t="inlineStr">
        <is>
          <t>Манометр технический</t>
        </is>
      </c>
      <c r="C139" s="140" t="inlineStr">
        <is>
          <t>МП4-УУ2</t>
        </is>
      </c>
      <c r="D139" s="141" t="n">
        <v>700028</v>
      </c>
      <c r="E139" s="140" t="n"/>
      <c r="F139" s="140" t="inlineStr">
        <is>
          <t>0…16 МПа</t>
        </is>
      </c>
      <c r="G139" s="140" t="n">
        <v>1</v>
      </c>
      <c r="H139" s="140" t="inlineStr">
        <is>
          <t>Метрическая</t>
        </is>
      </c>
      <c r="I139" s="140" t="n">
        <v>12</v>
      </c>
      <c r="J139" s="140" t="inlineStr">
        <is>
          <t>1К23</t>
        </is>
      </c>
      <c r="K139" s="140" t="inlineStr">
        <is>
          <t>Радиальный</t>
        </is>
      </c>
    </row>
    <row r="140">
      <c r="A140" s="140">
        <f>IF(B140&lt;&gt;"", COUNTA($B$2:B140), "")</f>
        <v/>
      </c>
      <c r="B140" s="140" t="inlineStr">
        <is>
          <t>Манометр технический</t>
        </is>
      </c>
      <c r="C140" s="140" t="inlineStr">
        <is>
          <t>МП4-УУ2</t>
        </is>
      </c>
      <c r="D140" s="141" t="n">
        <v>7000305</v>
      </c>
      <c r="E140" s="140" t="n"/>
      <c r="F140" s="140" t="inlineStr">
        <is>
          <t>0…16 МПа</t>
        </is>
      </c>
      <c r="G140" s="140" t="n">
        <v>1</v>
      </c>
      <c r="H140" s="140" t="inlineStr">
        <is>
          <t>Метрическая</t>
        </is>
      </c>
      <c r="I140" s="140" t="n">
        <v>12</v>
      </c>
      <c r="J140" s="140" t="inlineStr">
        <is>
          <t>2К24</t>
        </is>
      </c>
      <c r="K140" s="140" t="inlineStr">
        <is>
          <t>Радиальный</t>
        </is>
      </c>
    </row>
    <row r="141">
      <c r="A141" s="140">
        <f>IF(B141&lt;&gt;"", COUNTA($B$2:B141), "")</f>
        <v/>
      </c>
      <c r="B141" s="140" t="inlineStr">
        <is>
          <t>Манометр технический</t>
        </is>
      </c>
      <c r="C141" s="140" t="inlineStr">
        <is>
          <t>МП4-УУ2</t>
        </is>
      </c>
      <c r="D141" s="141" t="n">
        <v>700062</v>
      </c>
      <c r="E141" s="140" t="n"/>
      <c r="F141" s="140" t="inlineStr">
        <is>
          <t>0…600 кПа</t>
        </is>
      </c>
      <c r="G141" s="140" t="n">
        <v>1.5</v>
      </c>
      <c r="H141" s="140" t="inlineStr">
        <is>
          <t>Метрическая</t>
        </is>
      </c>
      <c r="I141" s="140" t="n">
        <v>12</v>
      </c>
      <c r="J141" s="140" t="inlineStr">
        <is>
          <t>2К24</t>
        </is>
      </c>
      <c r="K141" s="140" t="inlineStr">
        <is>
          <t>Радиальный</t>
        </is>
      </c>
    </row>
    <row r="142">
      <c r="A142" s="140">
        <f>IF(B142&lt;&gt;"", COUNTA($B$2:B142), "")</f>
        <v/>
      </c>
      <c r="B142" s="140" t="inlineStr">
        <is>
          <t>Манометр технический</t>
        </is>
      </c>
      <c r="C142" s="140" t="inlineStr">
        <is>
          <t>МП4-УУ2</t>
        </is>
      </c>
      <c r="D142" s="141" t="n">
        <v>13913</v>
      </c>
      <c r="E142" s="140" t="n"/>
      <c r="F142" s="140" t="inlineStr">
        <is>
          <t>0…6 кгс/см2</t>
        </is>
      </c>
      <c r="G142" s="140" t="n">
        <v>1</v>
      </c>
      <c r="H142" s="140" t="inlineStr">
        <is>
          <t>Метрическая</t>
        </is>
      </c>
      <c r="I142" s="140" t="n">
        <v>12</v>
      </c>
      <c r="J142" s="140" t="inlineStr">
        <is>
          <t>отсутствует</t>
        </is>
      </c>
      <c r="K142" s="140" t="inlineStr">
        <is>
          <t>Радиальный</t>
        </is>
      </c>
    </row>
    <row r="143">
      <c r="A143" s="140">
        <f>IF(B143&lt;&gt;"", COUNTA($B$2:B143), "")</f>
        <v/>
      </c>
      <c r="B143" s="140" t="inlineStr">
        <is>
          <t>Манометр технический</t>
        </is>
      </c>
      <c r="C143" s="140" t="inlineStr">
        <is>
          <t>МП4-УфБСУХЛ1</t>
        </is>
      </c>
      <c r="D143" s="141" t="inlineStr">
        <is>
          <t>А0810157</t>
        </is>
      </c>
      <c r="E143" s="140" t="n"/>
      <c r="F143" s="140" t="inlineStr">
        <is>
          <t>0…100 кПа</t>
        </is>
      </c>
      <c r="G143" s="140" t="n">
        <v>1</v>
      </c>
      <c r="H143" s="140" t="inlineStr">
        <is>
          <t>Метрическая</t>
        </is>
      </c>
      <c r="I143" s="140" t="n">
        <v>12</v>
      </c>
      <c r="J143" s="140" t="inlineStr">
        <is>
          <t>отсутствует</t>
        </is>
      </c>
      <c r="K143" s="140" t="inlineStr">
        <is>
          <t>Радиальный</t>
        </is>
      </c>
    </row>
    <row r="144">
      <c r="A144" s="140">
        <f>IF(B144&lt;&gt;"", COUNTA($B$2:B144), "")</f>
        <v/>
      </c>
      <c r="B144" s="140" t="inlineStr">
        <is>
          <t>Манометр технический</t>
        </is>
      </c>
      <c r="C144" s="140" t="inlineStr">
        <is>
          <t>МП4-УУ2</t>
        </is>
      </c>
      <c r="D144" s="141" t="n">
        <v>212032687</v>
      </c>
      <c r="E144" s="140" t="n"/>
      <c r="F144" s="140" t="inlineStr">
        <is>
          <t>0…10 МПа</t>
        </is>
      </c>
      <c r="G144" s="140" t="n">
        <v>1</v>
      </c>
      <c r="H144" s="140" t="inlineStr">
        <is>
          <t>Метрическая</t>
        </is>
      </c>
      <c r="I144" s="140" t="n">
        <v>12</v>
      </c>
      <c r="J144" s="140" t="inlineStr">
        <is>
          <t>24ДЯУ</t>
        </is>
      </c>
      <c r="K144" s="140" t="inlineStr">
        <is>
          <t>Радиальный</t>
        </is>
      </c>
    </row>
    <row r="145">
      <c r="A145" s="140">
        <f>IF(B145&lt;&gt;"", COUNTA($B$2:B145), "")</f>
        <v/>
      </c>
      <c r="B145" s="140" t="inlineStr">
        <is>
          <t>Манометр технический</t>
        </is>
      </c>
      <c r="C145" s="140" t="inlineStr">
        <is>
          <t>МП4-УУ2</t>
        </is>
      </c>
      <c r="D145" s="141" t="n">
        <v>14615</v>
      </c>
      <c r="E145" s="140" t="n"/>
      <c r="F145" s="140" t="inlineStr">
        <is>
          <t>0…16 МПа</t>
        </is>
      </c>
      <c r="G145" s="140" t="n">
        <v>1</v>
      </c>
      <c r="H145" s="140" t="inlineStr">
        <is>
          <t>Метрическая</t>
        </is>
      </c>
      <c r="I145" s="140" t="n">
        <v>12</v>
      </c>
      <c r="J145" s="140" t="inlineStr">
        <is>
          <t>1К24</t>
        </is>
      </c>
      <c r="K145" s="140" t="inlineStr">
        <is>
          <t>Радиальный</t>
        </is>
      </c>
    </row>
    <row r="146">
      <c r="A146" s="140">
        <f>IF(B146&lt;&gt;"", COUNTA($B$2:B146), "")</f>
        <v/>
      </c>
      <c r="B146" s="140" t="inlineStr">
        <is>
          <t>Манометр технический</t>
        </is>
      </c>
      <c r="C146" s="140" t="inlineStr">
        <is>
          <t>МП4-УУ2</t>
        </is>
      </c>
      <c r="D146" s="141" t="n">
        <v>50502</v>
      </c>
      <c r="E146" s="140" t="n">
        <v>1996</v>
      </c>
      <c r="F146" s="140" t="inlineStr">
        <is>
          <t>0…1,6 кгс/см2</t>
        </is>
      </c>
      <c r="G146" s="140" t="n">
        <v>1.5</v>
      </c>
      <c r="H146" s="140" t="inlineStr">
        <is>
          <t>Метрическая</t>
        </is>
      </c>
      <c r="I146" s="140" t="n">
        <v>12</v>
      </c>
      <c r="J146" s="140" t="inlineStr">
        <is>
          <t>2К24</t>
        </is>
      </c>
      <c r="K146" s="140" t="inlineStr">
        <is>
          <t>Радиальный</t>
        </is>
      </c>
    </row>
    <row r="147">
      <c r="A147" s="140">
        <f>IF(B147&lt;&gt;"", COUNTA($B$2:B147), "")</f>
        <v/>
      </c>
      <c r="B147" s="140" t="inlineStr">
        <is>
          <t>Манометр технический</t>
        </is>
      </c>
      <c r="C147" s="140" t="inlineStr">
        <is>
          <t>МП4-УУ2</t>
        </is>
      </c>
      <c r="D147" s="141" t="n">
        <v>700037</v>
      </c>
      <c r="E147" s="140" t="n"/>
      <c r="F147" s="140" t="inlineStr">
        <is>
          <t>0…16 МПа</t>
        </is>
      </c>
      <c r="G147" s="140" t="n">
        <v>1</v>
      </c>
      <c r="H147" s="140" t="inlineStr">
        <is>
          <t>Метрическая</t>
        </is>
      </c>
      <c r="I147" s="140" t="n">
        <v>12</v>
      </c>
      <c r="J147" s="140" t="inlineStr">
        <is>
          <t>2К24</t>
        </is>
      </c>
      <c r="K147" s="140" t="inlineStr">
        <is>
          <t>Радиальный</t>
        </is>
      </c>
    </row>
    <row r="148">
      <c r="A148" s="140">
        <f>IF(B148&lt;&gt;"", COUNTA($B$2:B148), "")</f>
        <v/>
      </c>
      <c r="B148" s="140" t="inlineStr">
        <is>
          <t>Манометр технический</t>
        </is>
      </c>
      <c r="C148" s="140" t="inlineStr">
        <is>
          <t>МП4-УУ2</t>
        </is>
      </c>
      <c r="D148" s="141" t="n">
        <v>15376</v>
      </c>
      <c r="E148" s="140" t="n"/>
      <c r="F148" s="140" t="inlineStr">
        <is>
          <t>0…160 кгс/см2</t>
        </is>
      </c>
      <c r="G148" s="140" t="n">
        <v>1</v>
      </c>
      <c r="H148" s="140" t="inlineStr">
        <is>
          <t>Метрическая</t>
        </is>
      </c>
      <c r="I148" s="140" t="n">
        <v>12</v>
      </c>
      <c r="J148" s="140" t="inlineStr">
        <is>
          <t>1К23</t>
        </is>
      </c>
      <c r="K148" s="140" t="inlineStr">
        <is>
          <t>Радиальный</t>
        </is>
      </c>
    </row>
    <row r="149">
      <c r="A149" s="140">
        <f>IF(B149&lt;&gt;"", COUNTA($B$2:B149), "")</f>
        <v/>
      </c>
      <c r="B149" s="140" t="inlineStr">
        <is>
          <t>Манометр технический</t>
        </is>
      </c>
      <c r="C149" s="140" t="inlineStr">
        <is>
          <t>МП4-УУ2</t>
        </is>
      </c>
      <c r="D149" s="141" t="n">
        <v>15380</v>
      </c>
      <c r="E149" s="140" t="n"/>
      <c r="F149" s="140" t="inlineStr">
        <is>
          <t>0…160 кгс/см2</t>
        </is>
      </c>
      <c r="G149" s="140" t="n">
        <v>1</v>
      </c>
      <c r="H149" s="140" t="inlineStr">
        <is>
          <t>Метрическая</t>
        </is>
      </c>
      <c r="I149" s="140" t="n">
        <v>12</v>
      </c>
      <c r="J149" s="140" t="inlineStr">
        <is>
          <t>24ДЯУ</t>
        </is>
      </c>
      <c r="K149" s="140" t="inlineStr">
        <is>
          <t>Радиальный</t>
        </is>
      </c>
    </row>
    <row r="150">
      <c r="A150" s="140">
        <f>IF(B150&lt;&gt;"", COUNTA($B$2:B150), "")</f>
        <v/>
      </c>
      <c r="B150" s="140" t="inlineStr">
        <is>
          <t>Манометр технический</t>
        </is>
      </c>
      <c r="C150" s="140" t="inlineStr">
        <is>
          <t>МП4-УУХЛ1</t>
        </is>
      </c>
      <c r="D150" s="141" t="n">
        <v>211016823</v>
      </c>
      <c r="E150" s="140" t="n"/>
      <c r="F150" s="140" t="inlineStr">
        <is>
          <t>0…600 кПа</t>
        </is>
      </c>
      <c r="G150" s="140" t="n">
        <v>1</v>
      </c>
      <c r="H150" s="140" t="inlineStr">
        <is>
          <t>Метрическая</t>
        </is>
      </c>
      <c r="I150" s="140" t="n">
        <v>12</v>
      </c>
      <c r="J150" s="140" t="inlineStr">
        <is>
          <t>2К24</t>
        </is>
      </c>
      <c r="K150" s="140" t="inlineStr">
        <is>
          <t>Радиальный</t>
        </is>
      </c>
    </row>
    <row r="151">
      <c r="A151" s="140">
        <f>IF(B151&lt;&gt;"", COUNTA($B$2:B151), "")</f>
        <v/>
      </c>
      <c r="B151" s="140" t="inlineStr">
        <is>
          <t>Манометр технический</t>
        </is>
      </c>
      <c r="C151" s="140" t="inlineStr">
        <is>
          <t>МП4-УфБСУХЛ1</t>
        </is>
      </c>
      <c r="D151" s="141" t="n">
        <v>311234</v>
      </c>
      <c r="E151" s="140" t="n"/>
      <c r="F151" s="140" t="inlineStr">
        <is>
          <t>0…16 МПа</t>
        </is>
      </c>
      <c r="G151" s="140" t="n">
        <v>1</v>
      </c>
      <c r="H151" s="140" t="inlineStr">
        <is>
          <t>Метрическая</t>
        </is>
      </c>
      <c r="I151" s="140" t="n">
        <v>12</v>
      </c>
      <c r="J151" s="140" t="inlineStr">
        <is>
          <t>24ДЯУ</t>
        </is>
      </c>
      <c r="K151" s="140" t="inlineStr">
        <is>
          <t>Радиальный</t>
        </is>
      </c>
    </row>
    <row r="152">
      <c r="A152" s="140">
        <f>IF(B152&lt;&gt;"", COUNTA($B$2:B152), "")</f>
        <v/>
      </c>
      <c r="B152" s="140" t="inlineStr">
        <is>
          <t>Манометр технический</t>
        </is>
      </c>
      <c r="C152" s="140" t="inlineStr">
        <is>
          <t>МП4-УУ2</t>
        </is>
      </c>
      <c r="D152" s="141" t="n">
        <v>700025</v>
      </c>
      <c r="E152" s="140" t="n"/>
      <c r="F152" s="140" t="inlineStr">
        <is>
          <t>0…16 МПа</t>
        </is>
      </c>
      <c r="G152" s="140" t="n">
        <v>1</v>
      </c>
      <c r="H152" s="140" t="inlineStr">
        <is>
          <t>Метрическая</t>
        </is>
      </c>
      <c r="I152" s="140" t="n">
        <v>12</v>
      </c>
      <c r="J152" s="140" t="inlineStr">
        <is>
          <t>2К24</t>
        </is>
      </c>
      <c r="K152" s="140" t="inlineStr">
        <is>
          <t>Радиальный</t>
        </is>
      </c>
    </row>
    <row r="153">
      <c r="A153" s="140">
        <f>IF(B153&lt;&gt;"", COUNTA($B$2:B153), "")</f>
        <v/>
      </c>
      <c r="B153" s="140" t="inlineStr">
        <is>
          <t>Манометр технический</t>
        </is>
      </c>
      <c r="C153" s="140" t="inlineStr">
        <is>
          <t>МП4-УУХЛ1</t>
        </is>
      </c>
      <c r="D153" s="141" t="n">
        <v>211016822</v>
      </c>
      <c r="E153" s="140" t="n"/>
      <c r="F153" s="140" t="inlineStr">
        <is>
          <t>0…600 кПа</t>
        </is>
      </c>
      <c r="G153" s="140" t="n">
        <v>1</v>
      </c>
      <c r="H153" s="140" t="inlineStr">
        <is>
          <t>Метрическая</t>
        </is>
      </c>
      <c r="I153" s="140" t="n">
        <v>12</v>
      </c>
      <c r="J153" s="140" t="inlineStr">
        <is>
          <t>2К24</t>
        </is>
      </c>
      <c r="K153" s="140" t="inlineStr">
        <is>
          <t>Радиальный</t>
        </is>
      </c>
    </row>
    <row r="154">
      <c r="A154" s="140">
        <f>IF(B154&lt;&gt;"", COUNTA($B$2:B154), "")</f>
        <v/>
      </c>
      <c r="B154" s="140" t="inlineStr">
        <is>
          <t>Манометр технический</t>
        </is>
      </c>
      <c r="C154" s="140" t="inlineStr">
        <is>
          <t>МП4-УУХЛ1</t>
        </is>
      </c>
      <c r="D154" s="141" t="n">
        <v>700098</v>
      </c>
      <c r="E154" s="140" t="n"/>
      <c r="F154" s="140" t="inlineStr">
        <is>
          <t>0…100 кПа</t>
        </is>
      </c>
      <c r="G154" s="140" t="n">
        <v>1</v>
      </c>
      <c r="H154" s="140" t="inlineStr">
        <is>
          <t>Метрическая</t>
        </is>
      </c>
      <c r="I154" s="140" t="n">
        <v>12</v>
      </c>
      <c r="J154" s="140" t="inlineStr">
        <is>
          <t>2К13</t>
        </is>
      </c>
      <c r="K154" s="140" t="inlineStr">
        <is>
          <t>Радиальный</t>
        </is>
      </c>
    </row>
    <row r="155">
      <c r="A155" s="140">
        <f>IF(B155&lt;&gt;"", COUNTA($B$2:B155), "")</f>
        <v/>
      </c>
      <c r="B155" s="140" t="inlineStr">
        <is>
          <t>Манометр технический</t>
        </is>
      </c>
      <c r="C155" s="140" t="inlineStr">
        <is>
          <t>МП4-УУ2</t>
        </is>
      </c>
      <c r="D155" s="141" t="n">
        <v>15404</v>
      </c>
      <c r="E155" s="140" t="n"/>
      <c r="F155" s="140" t="inlineStr">
        <is>
          <t>0…160 кгс/см2</t>
        </is>
      </c>
      <c r="G155" s="140" t="n">
        <v>1</v>
      </c>
      <c r="H155" s="140" t="inlineStr">
        <is>
          <t>Метрическая</t>
        </is>
      </c>
      <c r="I155" s="140" t="n">
        <v>12</v>
      </c>
      <c r="J155" s="140" t="inlineStr">
        <is>
          <t>24ДЯУ</t>
        </is>
      </c>
      <c r="K155" s="140" t="inlineStr">
        <is>
          <t>Радиальный</t>
        </is>
      </c>
    </row>
    <row r="156">
      <c r="A156" s="140">
        <f>IF(B156&lt;&gt;"", COUNTA($B$2:B156), "")</f>
        <v/>
      </c>
      <c r="B156" s="140" t="inlineStr">
        <is>
          <t>Манометр технический</t>
        </is>
      </c>
      <c r="C156" s="140" t="inlineStr">
        <is>
          <t>МП4-УУ2</t>
        </is>
      </c>
      <c r="D156" s="141" t="n">
        <v>700030</v>
      </c>
      <c r="E156" s="140" t="n"/>
      <c r="F156" s="140" t="inlineStr">
        <is>
          <t>0…16 МПа</t>
        </is>
      </c>
      <c r="G156" s="140" t="n">
        <v>1</v>
      </c>
      <c r="H156" s="140" t="inlineStr">
        <is>
          <t>Метрическая</t>
        </is>
      </c>
      <c r="I156" s="140" t="n">
        <v>12</v>
      </c>
      <c r="J156" s="140" t="inlineStr">
        <is>
          <t>2К24</t>
        </is>
      </c>
      <c r="K156" s="140" t="inlineStr">
        <is>
          <t>Радиальный</t>
        </is>
      </c>
    </row>
    <row r="157">
      <c r="A157" s="140">
        <f>IF(B157&lt;&gt;"", COUNTA($B$2:B157), "")</f>
        <v/>
      </c>
      <c r="B157" s="140" t="inlineStr">
        <is>
          <t>Манометр технический</t>
        </is>
      </c>
      <c r="C157" s="140" t="inlineStr">
        <is>
          <t>МП4-УУ2</t>
        </is>
      </c>
      <c r="D157" s="141" t="n">
        <v>15581</v>
      </c>
      <c r="E157" s="140" t="n"/>
      <c r="F157" s="140" t="inlineStr">
        <is>
          <t>0…0,6 кгс/см2</t>
        </is>
      </c>
      <c r="G157" s="140" t="n">
        <v>1.5</v>
      </c>
      <c r="H157" s="140" t="inlineStr">
        <is>
          <t>Метрическая</t>
        </is>
      </c>
      <c r="I157" s="140" t="n">
        <v>12</v>
      </c>
      <c r="J157" s="140" t="inlineStr">
        <is>
          <t>отсутствует</t>
        </is>
      </c>
      <c r="K157" s="140" t="inlineStr">
        <is>
          <t>Радиальный</t>
        </is>
      </c>
    </row>
    <row r="158">
      <c r="A158" s="140">
        <f>IF(B158&lt;&gt;"", COUNTA($B$2:B158), "")</f>
        <v/>
      </c>
      <c r="B158" s="140" t="inlineStr">
        <is>
          <t>Манометр технический</t>
        </is>
      </c>
      <c r="C158" s="140" t="inlineStr">
        <is>
          <t>МП4-УУ2</t>
        </is>
      </c>
      <c r="D158" s="141" t="n">
        <v>212032706</v>
      </c>
      <c r="E158" s="140" t="n"/>
      <c r="F158" s="140" t="inlineStr">
        <is>
          <t>0…10 МПа</t>
        </is>
      </c>
      <c r="G158" s="140" t="n">
        <v>1</v>
      </c>
      <c r="H158" s="140" t="inlineStr">
        <is>
          <t>Метрическая</t>
        </is>
      </c>
      <c r="I158" s="140" t="n">
        <v>12</v>
      </c>
      <c r="J158" s="140" t="inlineStr">
        <is>
          <t>24ДЯУ</t>
        </is>
      </c>
      <c r="K158" s="140" t="inlineStr">
        <is>
          <t>Радиальный</t>
        </is>
      </c>
    </row>
    <row r="159">
      <c r="A159" s="140">
        <f>IF(B159&lt;&gt;"", COUNTA($B$2:B159), "")</f>
        <v/>
      </c>
      <c r="B159" s="140" t="inlineStr">
        <is>
          <t>Манометр технический</t>
        </is>
      </c>
      <c r="C159" s="140" t="inlineStr">
        <is>
          <t>ТМ6</t>
        </is>
      </c>
      <c r="D159" s="141" t="n">
        <v>7000159</v>
      </c>
      <c r="E159" s="140" t="n"/>
      <c r="F159" s="140" t="inlineStr">
        <is>
          <t>0…2,5 МПа</t>
        </is>
      </c>
      <c r="G159" s="140" t="n">
        <v>1</v>
      </c>
      <c r="H159" s="140" t="inlineStr">
        <is>
          <t>Метрическая</t>
        </is>
      </c>
      <c r="I159" s="140" t="n">
        <v>12</v>
      </c>
      <c r="J159" s="140" t="inlineStr">
        <is>
          <t>24ДЯУ</t>
        </is>
      </c>
      <c r="K159" s="140" t="inlineStr">
        <is>
          <t>Радиальный</t>
        </is>
      </c>
    </row>
    <row r="160">
      <c r="A160" s="140">
        <f>IF(B160&lt;&gt;"", COUNTA($B$2:B160), "")</f>
        <v/>
      </c>
      <c r="B160" s="140" t="inlineStr">
        <is>
          <t>Манометр технический</t>
        </is>
      </c>
      <c r="C160" s="140" t="inlineStr">
        <is>
          <t>МП4-УфБСУХЛ1</t>
        </is>
      </c>
      <c r="D160" s="141" t="n">
        <v>311121</v>
      </c>
      <c r="E160" s="140" t="n"/>
      <c r="F160" s="140" t="inlineStr">
        <is>
          <t>0…16 МПа</t>
        </is>
      </c>
      <c r="G160" s="140" t="n">
        <v>1</v>
      </c>
      <c r="H160" s="140" t="inlineStr">
        <is>
          <t>Метрическая</t>
        </is>
      </c>
      <c r="I160" s="140" t="n">
        <v>12</v>
      </c>
      <c r="J160" s="140" t="inlineStr">
        <is>
          <t>25ДЯУ</t>
        </is>
      </c>
      <c r="K160" s="140" t="inlineStr">
        <is>
          <t>Радиальный</t>
        </is>
      </c>
    </row>
    <row r="161">
      <c r="A161" s="140">
        <f>IF(B161&lt;&gt;"", COUNTA($B$2:B161), "")</f>
        <v/>
      </c>
      <c r="B161" s="140" t="inlineStr">
        <is>
          <t>Манометр технический</t>
        </is>
      </c>
      <c r="C161" s="140" t="inlineStr">
        <is>
          <t>МП4-УУ2</t>
        </is>
      </c>
      <c r="D161" s="141" t="n">
        <v>15671</v>
      </c>
      <c r="E161" s="140" t="n"/>
      <c r="F161" s="140" t="inlineStr">
        <is>
          <t>0…600 кПа</t>
        </is>
      </c>
      <c r="G161" s="140" t="n">
        <v>1.5</v>
      </c>
      <c r="H161" s="140" t="inlineStr">
        <is>
          <t>Метрическая</t>
        </is>
      </c>
      <c r="I161" s="140" t="n">
        <v>12</v>
      </c>
      <c r="J161" s="140" t="inlineStr">
        <is>
          <t>25ДЯУ</t>
        </is>
      </c>
      <c r="K161" s="140" t="inlineStr">
        <is>
          <t>Радиальный</t>
        </is>
      </c>
    </row>
    <row r="162">
      <c r="A162" s="140">
        <f>IF(B162&lt;&gt;"", COUNTA($B$2:B162), "")</f>
        <v/>
      </c>
      <c r="B162" s="140" t="inlineStr">
        <is>
          <t>Манометр технический</t>
        </is>
      </c>
      <c r="C162" s="140" t="inlineStr">
        <is>
          <t>МП4-УУ2</t>
        </is>
      </c>
      <c r="D162" s="141" t="n">
        <v>15439</v>
      </c>
      <c r="E162" s="140" t="n">
        <v>2005</v>
      </c>
      <c r="F162" s="140" t="inlineStr">
        <is>
          <t>0…100 кгс/см2</t>
        </is>
      </c>
      <c r="G162" s="140" t="n">
        <v>1.5</v>
      </c>
      <c r="H162" s="140" t="inlineStr">
        <is>
          <t>Метрическая</t>
        </is>
      </c>
      <c r="I162" s="140" t="n">
        <v>12</v>
      </c>
      <c r="J162" s="140" t="inlineStr">
        <is>
          <t>25ДЯУ</t>
        </is>
      </c>
      <c r="K162" s="140" t="inlineStr">
        <is>
          <t>Радиальный</t>
        </is>
      </c>
    </row>
    <row r="163">
      <c r="A163" s="140">
        <f>IF(B163&lt;&gt;"", COUNTA($B$2:B163), "")</f>
        <v/>
      </c>
      <c r="B163" s="140" t="inlineStr">
        <is>
          <t>Манометр технический</t>
        </is>
      </c>
      <c r="C163" s="140" t="inlineStr">
        <is>
          <t>МП4-УУ2</t>
        </is>
      </c>
      <c r="D163" s="141" t="n">
        <v>80517</v>
      </c>
      <c r="E163" s="140" t="n"/>
      <c r="F163" s="140" t="inlineStr">
        <is>
          <t>0…16 МПа</t>
        </is>
      </c>
      <c r="G163" s="140" t="n">
        <v>1</v>
      </c>
      <c r="H163" s="140" t="inlineStr">
        <is>
          <t>Метрическая</t>
        </is>
      </c>
      <c r="I163" s="140" t="n">
        <v>12</v>
      </c>
      <c r="J163" s="140" t="inlineStr">
        <is>
          <t>2К25</t>
        </is>
      </c>
      <c r="K163" s="140" t="inlineStr">
        <is>
          <t>Радиальный</t>
        </is>
      </c>
    </row>
    <row r="164">
      <c r="A164" s="140">
        <f>IF(B164&lt;&gt;"", COUNTA($B$2:B164), "")</f>
        <v/>
      </c>
      <c r="B164" s="140" t="inlineStr">
        <is>
          <t>Манометр технический</t>
        </is>
      </c>
      <c r="C164" s="140" t="inlineStr">
        <is>
          <t>МП4-УУ2</t>
        </is>
      </c>
      <c r="D164" s="141" t="n">
        <v>15513</v>
      </c>
      <c r="E164" s="140" t="n"/>
      <c r="F164" s="140" t="inlineStr">
        <is>
          <t>0…60 кгс/см2</t>
        </is>
      </c>
      <c r="G164" s="140" t="n">
        <v>1.5</v>
      </c>
      <c r="H164" s="140" t="inlineStr">
        <is>
          <t>Метрическая</t>
        </is>
      </c>
      <c r="I164" s="140" t="n">
        <v>12</v>
      </c>
      <c r="J164" s="140" t="inlineStr">
        <is>
          <t>25ДЯУ</t>
        </is>
      </c>
      <c r="K164" s="140" t="inlineStr">
        <is>
          <t>Радиальный</t>
        </is>
      </c>
    </row>
    <row r="165">
      <c r="A165" s="140">
        <f>IF(B165&lt;&gt;"", COUNTA($B$2:B165), "")</f>
        <v/>
      </c>
      <c r="B165" s="140" t="inlineStr">
        <is>
          <t>Манометр технический</t>
        </is>
      </c>
      <c r="C165" s="140" t="inlineStr">
        <is>
          <t>МП4-УУ2</t>
        </is>
      </c>
      <c r="D165" s="141" t="n">
        <v>15512</v>
      </c>
      <c r="E165" s="140" t="n"/>
      <c r="F165" s="140" t="inlineStr">
        <is>
          <t>0…100 кгс/см2</t>
        </is>
      </c>
      <c r="G165" s="140" t="n">
        <v>1.5</v>
      </c>
      <c r="H165" s="140" t="inlineStr">
        <is>
          <t>Метрическая</t>
        </is>
      </c>
      <c r="I165" s="140" t="n">
        <v>12</v>
      </c>
      <c r="J165" s="140" t="inlineStr">
        <is>
          <t>25ДЯУ</t>
        </is>
      </c>
      <c r="K165" s="140" t="inlineStr">
        <is>
          <t>Радиальный</t>
        </is>
      </c>
    </row>
    <row r="166">
      <c r="A166" s="140">
        <f>IF(B166&lt;&gt;"", COUNTA($B$2:B166), "")</f>
        <v/>
      </c>
      <c r="B166" s="140" t="inlineStr">
        <is>
          <t>Манометр технический</t>
        </is>
      </c>
      <c r="C166" s="140" t="inlineStr">
        <is>
          <t>МП4-УУ2</t>
        </is>
      </c>
      <c r="D166" s="141" t="n">
        <v>15174</v>
      </c>
      <c r="E166" s="140" t="n"/>
      <c r="F166" s="140" t="inlineStr">
        <is>
          <t>0…160 кгс/см2</t>
        </is>
      </c>
      <c r="G166" s="140" t="n">
        <v>1.5</v>
      </c>
      <c r="H166" s="140" t="inlineStr">
        <is>
          <t>Метрическая</t>
        </is>
      </c>
      <c r="I166" s="140" t="n">
        <v>12</v>
      </c>
      <c r="J166" s="140" t="inlineStr">
        <is>
          <t>25ДЯУ</t>
        </is>
      </c>
      <c r="K166" s="140" t="inlineStr">
        <is>
          <t>Радиальный</t>
        </is>
      </c>
    </row>
    <row r="167">
      <c r="A167" s="140">
        <f>IF(B167&lt;&gt;"", COUNTA($B$2:B167), "")</f>
        <v/>
      </c>
      <c r="B167" s="140" t="inlineStr">
        <is>
          <t>Манометр технический</t>
        </is>
      </c>
      <c r="C167" s="140" t="inlineStr">
        <is>
          <t>МП4-У</t>
        </is>
      </c>
      <c r="D167" s="141" t="n">
        <v>325694</v>
      </c>
      <c r="E167" s="140" t="n">
        <v>1989</v>
      </c>
      <c r="F167" s="140" t="inlineStr">
        <is>
          <t>0…6 кгс/см2</t>
        </is>
      </c>
      <c r="G167" s="140" t="n">
        <v>1.5</v>
      </c>
      <c r="H167" s="140" t="inlineStr">
        <is>
          <t>Метрическая</t>
        </is>
      </c>
      <c r="I167" s="140" t="n">
        <v>12</v>
      </c>
      <c r="J167" s="140" t="inlineStr">
        <is>
          <t>1К25</t>
        </is>
      </c>
      <c r="K167" s="140" t="inlineStr">
        <is>
          <t>Радиальный</t>
        </is>
      </c>
    </row>
    <row r="168">
      <c r="A168" s="140">
        <f>IF(B168&lt;&gt;"", COUNTA($B$2:B168), "")</f>
        <v/>
      </c>
      <c r="B168" s="140" t="inlineStr">
        <is>
          <t>Манометр технический</t>
        </is>
      </c>
      <c r="C168" s="140" t="inlineStr">
        <is>
          <t>МП4-УфБСУХЛ1</t>
        </is>
      </c>
      <c r="D168" s="141" t="n">
        <v>312492</v>
      </c>
      <c r="E168" s="140" t="n"/>
      <c r="F168" s="140" t="inlineStr">
        <is>
          <t>0…16 МПа</t>
        </is>
      </c>
      <c r="G168" s="140" t="n">
        <v>1</v>
      </c>
      <c r="H168" s="140" t="inlineStr">
        <is>
          <t>Метрическая</t>
        </is>
      </c>
      <c r="I168" s="140" t="n">
        <v>12</v>
      </c>
      <c r="J168" s="140" t="inlineStr">
        <is>
          <t>25ДЯУ</t>
        </is>
      </c>
      <c r="K168" s="140" t="inlineStr">
        <is>
          <t>Радиальный</t>
        </is>
      </c>
    </row>
    <row r="169">
      <c r="A169" s="140">
        <f>IF(B169&lt;&gt;"", COUNTA($B$2:B169), "")</f>
        <v/>
      </c>
      <c r="B169" s="140" t="inlineStr">
        <is>
          <t>Манометр технический</t>
        </is>
      </c>
      <c r="C169" s="140" t="inlineStr">
        <is>
          <t>МП4-УфБСУХЛ1</t>
        </is>
      </c>
      <c r="D169" s="141" t="n">
        <v>312547</v>
      </c>
      <c r="E169" s="140" t="n"/>
      <c r="F169" s="140" t="inlineStr">
        <is>
          <t>0…16 МПа</t>
        </is>
      </c>
      <c r="G169" s="140" t="n">
        <v>1</v>
      </c>
      <c r="H169" s="140" t="inlineStr">
        <is>
          <t>Метрическая</t>
        </is>
      </c>
      <c r="I169" s="140" t="n">
        <v>12</v>
      </c>
      <c r="J169" s="140" t="inlineStr">
        <is>
          <t>25ДЯУ</t>
        </is>
      </c>
      <c r="K169" s="140" t="inlineStr">
        <is>
          <t>Радиальный</t>
        </is>
      </c>
    </row>
    <row r="170">
      <c r="A170" s="140">
        <f>IF(B170&lt;&gt;"", COUNTA($B$2:B170), "")</f>
        <v/>
      </c>
      <c r="B170" s="140" t="inlineStr">
        <is>
          <t>Манометр технический</t>
        </is>
      </c>
      <c r="C170" s="140" t="inlineStr">
        <is>
          <t>МП4-УфБСУХЛ1</t>
        </is>
      </c>
      <c r="D170" s="141" t="n">
        <v>312447</v>
      </c>
      <c r="E170" s="140" t="n"/>
      <c r="F170" s="140" t="inlineStr">
        <is>
          <t>0…16 МПа</t>
        </is>
      </c>
      <c r="G170" s="140" t="n">
        <v>1</v>
      </c>
      <c r="H170" s="140" t="inlineStr">
        <is>
          <t>Метрическая</t>
        </is>
      </c>
      <c r="I170" s="140" t="n">
        <v>12</v>
      </c>
      <c r="J170" s="140" t="inlineStr">
        <is>
          <t>25ДЯУ</t>
        </is>
      </c>
      <c r="K170" s="140" t="inlineStr">
        <is>
          <t>Радиальный</t>
        </is>
      </c>
    </row>
    <row r="171">
      <c r="A171" s="140">
        <f>IF(B171&lt;&gt;"", COUNTA($B$2:B171), "")</f>
        <v/>
      </c>
      <c r="B171" s="140" t="inlineStr">
        <is>
          <t>Манометр технический</t>
        </is>
      </c>
      <c r="C171" s="140" t="inlineStr">
        <is>
          <t>МП4-УфБСУХЛ1</t>
        </is>
      </c>
      <c r="D171" s="141" t="n">
        <v>311025</v>
      </c>
      <c r="E171" s="140" t="n"/>
      <c r="F171" s="140" t="inlineStr">
        <is>
          <t>0…16 МПа</t>
        </is>
      </c>
      <c r="G171" s="140" t="n">
        <v>1</v>
      </c>
      <c r="H171" s="140" t="inlineStr">
        <is>
          <t>Метрическая</t>
        </is>
      </c>
      <c r="I171" s="140" t="n">
        <v>12</v>
      </c>
      <c r="J171" s="140" t="inlineStr">
        <is>
          <t>25ДЯУ</t>
        </is>
      </c>
      <c r="K171" s="140" t="inlineStr">
        <is>
          <t>Радиальный</t>
        </is>
      </c>
    </row>
    <row r="172">
      <c r="A172" s="140">
        <f>IF(B172&lt;&gt;"", COUNTA($B$2:B172), "")</f>
        <v/>
      </c>
      <c r="B172" s="140" t="inlineStr">
        <is>
          <t>Манометр технический</t>
        </is>
      </c>
      <c r="C172" s="140" t="inlineStr">
        <is>
          <t>МП4-УфБСУХЛ1</t>
        </is>
      </c>
      <c r="D172" s="141" t="n">
        <v>310066</v>
      </c>
      <c r="E172" s="140" t="n"/>
      <c r="F172" s="140" t="inlineStr">
        <is>
          <t>0…16 МПа</t>
        </is>
      </c>
      <c r="G172" s="140" t="n">
        <v>1</v>
      </c>
      <c r="H172" s="140" t="inlineStr">
        <is>
          <t>Метрическая</t>
        </is>
      </c>
      <c r="I172" s="140" t="n">
        <v>12</v>
      </c>
      <c r="J172" s="140" t="inlineStr">
        <is>
          <t>25ДЯУ</t>
        </is>
      </c>
      <c r="K172" s="140" t="inlineStr">
        <is>
          <t>Радиальный</t>
        </is>
      </c>
    </row>
    <row r="173">
      <c r="A173" s="140">
        <f>IF(B173&lt;&gt;"", COUNTA($B$2:B173), "")</f>
        <v/>
      </c>
      <c r="B173" s="140" t="inlineStr">
        <is>
          <t>Манометр технический</t>
        </is>
      </c>
      <c r="C173" s="140" t="inlineStr">
        <is>
          <t>МП4-УфБСУХЛ1</t>
        </is>
      </c>
      <c r="D173" s="141" t="n">
        <v>312233</v>
      </c>
      <c r="E173" s="140" t="n"/>
      <c r="F173" s="140" t="inlineStr">
        <is>
          <t>0…16 МПа</t>
        </is>
      </c>
      <c r="G173" s="140" t="n">
        <v>1</v>
      </c>
      <c r="H173" s="140" t="inlineStr">
        <is>
          <t>Метрическая</t>
        </is>
      </c>
      <c r="I173" s="140" t="n">
        <v>12</v>
      </c>
      <c r="J173" s="140" t="inlineStr">
        <is>
          <t>25ДЯУ</t>
        </is>
      </c>
      <c r="K173" s="140" t="inlineStr">
        <is>
          <t>Радиальный</t>
        </is>
      </c>
    </row>
    <row r="174">
      <c r="A174" s="140">
        <f>IF(B174&lt;&gt;"", COUNTA($B$2:B174), "")</f>
        <v/>
      </c>
      <c r="B174" s="140" t="inlineStr">
        <is>
          <t>Манометр технический</t>
        </is>
      </c>
      <c r="C174" s="140" t="inlineStr">
        <is>
          <t>МП4-УУ2</t>
        </is>
      </c>
      <c r="D174" s="141" t="n">
        <v>15167</v>
      </c>
      <c r="E174" s="140" t="n"/>
      <c r="F174" s="140" t="inlineStr">
        <is>
          <t>0…0,6 кгс/см2</t>
        </is>
      </c>
      <c r="G174" s="140" t="n">
        <v>1.5</v>
      </c>
      <c r="H174" s="140" t="inlineStr">
        <is>
          <t>Метрическая</t>
        </is>
      </c>
      <c r="I174" s="140" t="n">
        <v>12</v>
      </c>
      <c r="J174" s="140" t="inlineStr">
        <is>
          <t>1К25</t>
        </is>
      </c>
      <c r="K174" s="140" t="inlineStr">
        <is>
          <t>Радиальный</t>
        </is>
      </c>
    </row>
    <row r="175">
      <c r="A175" s="140">
        <f>IF(B175&lt;&gt;"", COUNTA($B$2:B175), "")</f>
        <v/>
      </c>
      <c r="B175" s="140" t="inlineStr">
        <is>
          <t>Манометр технический</t>
        </is>
      </c>
      <c r="C175" s="140" t="inlineStr">
        <is>
          <t>МП4-УУ2</t>
        </is>
      </c>
      <c r="D175" s="141" t="n">
        <v>15001</v>
      </c>
      <c r="E175" s="140" t="n"/>
      <c r="F175" s="140" t="inlineStr">
        <is>
          <t>0…160 кгс/см2</t>
        </is>
      </c>
      <c r="G175" s="140" t="n">
        <v>1.5</v>
      </c>
      <c r="H175" s="140" t="inlineStr">
        <is>
          <t>Метрическая</t>
        </is>
      </c>
      <c r="I175" s="140" t="n">
        <v>12</v>
      </c>
      <c r="J175" s="140" t="inlineStr">
        <is>
          <t>25ДЯУ</t>
        </is>
      </c>
      <c r="K175" s="140" t="inlineStr">
        <is>
          <t>Радиальный</t>
        </is>
      </c>
    </row>
    <row r="176">
      <c r="A176" s="140">
        <f>IF(B176&lt;&gt;"", COUNTA($B$2:B176), "")</f>
        <v/>
      </c>
      <c r="B176" s="140" t="inlineStr">
        <is>
          <t>Манометр технический</t>
        </is>
      </c>
      <c r="C176" s="140" t="inlineStr">
        <is>
          <t>МП4-УУХЛ1</t>
        </is>
      </c>
      <c r="D176" s="141" t="n">
        <v>700081</v>
      </c>
      <c r="E176" s="140" t="n"/>
      <c r="F176" s="140" t="inlineStr">
        <is>
          <t>0…10 МПа</t>
        </is>
      </c>
      <c r="G176" s="140" t="n">
        <v>1</v>
      </c>
      <c r="H176" s="140" t="inlineStr">
        <is>
          <t>Метрическая</t>
        </is>
      </c>
      <c r="I176" s="140" t="n">
        <v>12</v>
      </c>
      <c r="J176" s="140" t="inlineStr">
        <is>
          <t>25ДЯУ</t>
        </is>
      </c>
      <c r="K176" s="140" t="inlineStr">
        <is>
          <t>Радиальный</t>
        </is>
      </c>
    </row>
    <row r="177">
      <c r="A177" s="140">
        <f>IF(B177&lt;&gt;"", COUNTA($B$2:B177), "")</f>
        <v/>
      </c>
      <c r="B177" s="140" t="inlineStr">
        <is>
          <t>Манометр технический</t>
        </is>
      </c>
      <c r="C177" s="140" t="inlineStr">
        <is>
          <t>МП4-УУ2</t>
        </is>
      </c>
      <c r="D177" s="141" t="n">
        <v>15135</v>
      </c>
      <c r="E177" s="140" t="n"/>
      <c r="F177" s="140" t="inlineStr">
        <is>
          <t>0…160 кгс/см2</t>
        </is>
      </c>
      <c r="G177" s="140" t="n">
        <v>1.5</v>
      </c>
      <c r="H177" s="140" t="inlineStr">
        <is>
          <t>Метрическая</t>
        </is>
      </c>
      <c r="I177" s="140" t="n">
        <v>12</v>
      </c>
      <c r="J177" s="140" t="inlineStr">
        <is>
          <t>25ДЯУ</t>
        </is>
      </c>
      <c r="K177" s="140" t="inlineStr">
        <is>
          <t>Радиальный</t>
        </is>
      </c>
    </row>
    <row r="178">
      <c r="A178" s="140">
        <f>IF(B178&lt;&gt;"", COUNTA($B$2:B178), "")</f>
        <v/>
      </c>
      <c r="B178" s="140" t="inlineStr">
        <is>
          <t>Манометр технический</t>
        </is>
      </c>
      <c r="C178" s="140" t="inlineStr">
        <is>
          <t>МП4-УУ2</t>
        </is>
      </c>
      <c r="D178" s="141" t="n">
        <v>15386</v>
      </c>
      <c r="E178" s="140" t="n"/>
      <c r="F178" s="140" t="inlineStr">
        <is>
          <t>0…160 кгс/см2</t>
        </is>
      </c>
      <c r="G178" s="140" t="n">
        <v>1</v>
      </c>
      <c r="H178" s="140" t="inlineStr">
        <is>
          <t>Метрическая</t>
        </is>
      </c>
      <c r="I178" s="140" t="n">
        <v>12</v>
      </c>
      <c r="J178" s="140" t="inlineStr">
        <is>
          <t>25ДЯУ</t>
        </is>
      </c>
      <c r="K178" s="140" t="inlineStr">
        <is>
          <t>Радиальный</t>
        </is>
      </c>
    </row>
    <row r="179">
      <c r="A179" s="140">
        <f>IF(B179&lt;&gt;"", COUNTA($B$2:B179), "")</f>
        <v/>
      </c>
      <c r="B179" s="140" t="inlineStr">
        <is>
          <t>Манометр технический</t>
        </is>
      </c>
      <c r="C179" s="140" t="inlineStr">
        <is>
          <t>МП4-УУ2</t>
        </is>
      </c>
      <c r="D179" s="141" t="n">
        <v>10121</v>
      </c>
      <c r="E179" s="140" t="n"/>
      <c r="F179" s="140" t="inlineStr">
        <is>
          <t>0…6 кгс/см2</t>
        </is>
      </c>
      <c r="G179" s="140" t="n">
        <v>1.5</v>
      </c>
      <c r="H179" s="140" t="inlineStr">
        <is>
          <t>Метрическая</t>
        </is>
      </c>
      <c r="I179" s="140" t="n">
        <v>12</v>
      </c>
      <c r="J179" s="140" t="inlineStr">
        <is>
          <t>1К25</t>
        </is>
      </c>
      <c r="K179" s="140" t="inlineStr">
        <is>
          <t>Радиальный</t>
        </is>
      </c>
    </row>
    <row r="180">
      <c r="A180" s="140">
        <f>IF(B180&lt;&gt;"", COUNTA($B$2:B180), "")</f>
        <v/>
      </c>
      <c r="B180" s="140" t="inlineStr">
        <is>
          <t>Манометр технический</t>
        </is>
      </c>
      <c r="C180" s="140" t="inlineStr">
        <is>
          <t>МП4-УфБСУХЛ1</t>
        </is>
      </c>
      <c r="D180" s="141" t="n">
        <v>312221</v>
      </c>
      <c r="E180" s="140" t="n"/>
      <c r="F180" s="140" t="inlineStr">
        <is>
          <t>0…16 МПа</t>
        </is>
      </c>
      <c r="G180" s="140" t="n">
        <v>1</v>
      </c>
      <c r="H180" s="140" t="inlineStr">
        <is>
          <t>Метрическая</t>
        </is>
      </c>
      <c r="I180" s="140" t="n">
        <v>12</v>
      </c>
      <c r="J180" s="140" t="inlineStr">
        <is>
          <t>25ДЯУ</t>
        </is>
      </c>
      <c r="K180" s="140" t="inlineStr">
        <is>
          <t>Радиальный</t>
        </is>
      </c>
    </row>
    <row r="181">
      <c r="A181" s="140">
        <f>IF(B181&lt;&gt;"", COUNTA($B$2:B181), "")</f>
        <v/>
      </c>
      <c r="B181" s="140" t="inlineStr">
        <is>
          <t>Манометр технический</t>
        </is>
      </c>
      <c r="C181" s="140" t="inlineStr">
        <is>
          <t>МП4-УУ2</t>
        </is>
      </c>
      <c r="D181" s="141" t="n">
        <v>700038</v>
      </c>
      <c r="E181" s="140" t="n"/>
      <c r="F181" s="140" t="inlineStr">
        <is>
          <t>0…16 МПа</t>
        </is>
      </c>
      <c r="G181" s="140" t="n">
        <v>1</v>
      </c>
      <c r="H181" s="140" t="inlineStr">
        <is>
          <t>Метрическая</t>
        </is>
      </c>
      <c r="I181" s="140" t="n">
        <v>12</v>
      </c>
      <c r="J181" s="140" t="inlineStr">
        <is>
          <t>1К25</t>
        </is>
      </c>
      <c r="K181" s="140" t="inlineStr">
        <is>
          <t>Радиальный</t>
        </is>
      </c>
    </row>
    <row r="182">
      <c r="A182" s="140">
        <f>IF(B182&lt;&gt;"", COUNTA($B$2:B182), "")</f>
        <v/>
      </c>
      <c r="B182" s="140" t="inlineStr">
        <is>
          <t>Манометр технический</t>
        </is>
      </c>
      <c r="C182" s="140" t="inlineStr">
        <is>
          <t>МП4-УУ2</t>
        </is>
      </c>
      <c r="D182" s="141" t="n">
        <v>232015837</v>
      </c>
      <c r="E182" s="140" t="n"/>
      <c r="F182" s="140" t="inlineStr">
        <is>
          <t>0…160 кгс/см2</t>
        </is>
      </c>
      <c r="G182" s="140" t="n">
        <v>1</v>
      </c>
      <c r="H182" s="140" t="inlineStr">
        <is>
          <t>Метрическая</t>
        </is>
      </c>
      <c r="I182" s="140" t="n">
        <v>12</v>
      </c>
      <c r="J182" s="140" t="inlineStr">
        <is>
          <t>25ДЯУ</t>
        </is>
      </c>
      <c r="K182" s="140" t="inlineStr">
        <is>
          <t>Радиальный</t>
        </is>
      </c>
    </row>
    <row r="183">
      <c r="A183" s="140">
        <f>IF(B183&lt;&gt;"", COUNTA($B$2:B183), "")</f>
        <v/>
      </c>
      <c r="B183" s="140" t="inlineStr">
        <is>
          <t>Манометр технический</t>
        </is>
      </c>
      <c r="C183" s="140" t="inlineStr">
        <is>
          <t>МП4-УУХЛ1</t>
        </is>
      </c>
      <c r="D183" s="141" t="n">
        <v>700074</v>
      </c>
      <c r="E183" s="140" t="n"/>
      <c r="F183" s="140" t="inlineStr">
        <is>
          <t>0…10 МПа</t>
        </is>
      </c>
      <c r="G183" s="140" t="n">
        <v>1</v>
      </c>
      <c r="H183" s="140" t="inlineStr">
        <is>
          <t>Метрическая</t>
        </is>
      </c>
      <c r="I183" s="140" t="n">
        <v>12</v>
      </c>
      <c r="J183" s="140" t="inlineStr">
        <is>
          <t>2К24</t>
        </is>
      </c>
      <c r="K183" s="140" t="inlineStr">
        <is>
          <t>Радиальный</t>
        </is>
      </c>
    </row>
    <row r="184">
      <c r="A184" s="140">
        <f>IF(B184&lt;&gt;"", COUNTA($B$2:B184), "")</f>
        <v/>
      </c>
      <c r="B184" s="140" t="inlineStr">
        <is>
          <t>Манометр технический</t>
        </is>
      </c>
      <c r="C184" s="140" t="inlineStr">
        <is>
          <t>МП4-УУ2</t>
        </is>
      </c>
      <c r="D184" s="141" t="n">
        <v>15534</v>
      </c>
      <c r="E184" s="140" t="n"/>
      <c r="F184" s="140" t="inlineStr">
        <is>
          <t>0…160 кгс/см2</t>
        </is>
      </c>
      <c r="G184" s="140" t="n">
        <v>1.5</v>
      </c>
      <c r="H184" s="140" t="inlineStr">
        <is>
          <t>Метрическая</t>
        </is>
      </c>
      <c r="I184" s="140" t="n">
        <v>12</v>
      </c>
      <c r="J184" s="140" t="inlineStr">
        <is>
          <t>25ДЯУ</t>
        </is>
      </c>
      <c r="K184" s="140" t="inlineStr">
        <is>
          <t>Радиальный</t>
        </is>
      </c>
      <c r="M184" s="108" t="inlineStr">
        <is>
          <t> </t>
        </is>
      </c>
    </row>
    <row r="185">
      <c r="A185" s="140">
        <f>IF(B185&lt;&gt;"", COUNTA($B$2:B185), "")</f>
        <v/>
      </c>
      <c r="B185" s="140" t="inlineStr">
        <is>
          <t>Манометр технический</t>
        </is>
      </c>
      <c r="C185" s="140" t="inlineStr">
        <is>
          <t>МП4-УУ2</t>
        </is>
      </c>
      <c r="D185" s="141" t="n">
        <v>15110</v>
      </c>
      <c r="E185" s="140" t="n"/>
      <c r="F185" s="140" t="inlineStr">
        <is>
          <t>0…160 кгс/см2</t>
        </is>
      </c>
      <c r="G185" s="140" t="n">
        <v>1</v>
      </c>
      <c r="H185" s="140" t="inlineStr">
        <is>
          <t>Метрическая</t>
        </is>
      </c>
      <c r="I185" s="140" t="n">
        <v>12</v>
      </c>
      <c r="J185" s="140" t="inlineStr">
        <is>
          <t>25ДЯУ</t>
        </is>
      </c>
      <c r="K185" s="140" t="inlineStr">
        <is>
          <t>Радиальный</t>
        </is>
      </c>
    </row>
    <row r="186">
      <c r="A186" s="140">
        <f>IF(B186&lt;&gt;"", COUNTA($B$2:B186), "")</f>
        <v/>
      </c>
      <c r="B186" s="140" t="inlineStr">
        <is>
          <t>Манометр технический</t>
        </is>
      </c>
      <c r="C186" s="140" t="inlineStr">
        <is>
          <t>МП4-УУХЛ1</t>
        </is>
      </c>
      <c r="D186" s="141" t="n">
        <v>7000172</v>
      </c>
      <c r="E186" s="140" t="n"/>
      <c r="F186" s="140" t="inlineStr">
        <is>
          <t>0…1,6 МПа</t>
        </is>
      </c>
      <c r="G186" s="140" t="n">
        <v>1.5</v>
      </c>
      <c r="H186" s="140" t="inlineStr">
        <is>
          <t>Метрическая</t>
        </is>
      </c>
      <c r="I186" s="140" t="n">
        <v>12</v>
      </c>
      <c r="J186" s="140" t="inlineStr">
        <is>
          <t>24ДЯУ</t>
        </is>
      </c>
      <c r="K186" s="140" t="inlineStr">
        <is>
          <t>Радиальный</t>
        </is>
      </c>
    </row>
    <row r="187">
      <c r="A187" s="140">
        <f>IF(B187&lt;&gt;"", COUNTA($B$2:B187), "")</f>
        <v/>
      </c>
      <c r="B187" s="140" t="inlineStr">
        <is>
          <t>Манометр технический</t>
        </is>
      </c>
      <c r="C187" s="140" t="inlineStr">
        <is>
          <t>МП4-УУ2</t>
        </is>
      </c>
      <c r="D187" s="141" t="n">
        <v>15675</v>
      </c>
      <c r="E187" s="140" t="n"/>
      <c r="F187" s="140" t="inlineStr">
        <is>
          <t>0…0,6 кгс/см2</t>
        </is>
      </c>
      <c r="G187" s="140" t="n">
        <v>1.5</v>
      </c>
      <c r="H187" s="140" t="inlineStr">
        <is>
          <t>Метрическая</t>
        </is>
      </c>
      <c r="I187" s="140" t="n">
        <v>12</v>
      </c>
      <c r="J187" s="140" t="inlineStr">
        <is>
          <t>1К25</t>
        </is>
      </c>
      <c r="K187" s="140" t="inlineStr">
        <is>
          <t>Радиальный</t>
        </is>
      </c>
    </row>
    <row r="188">
      <c r="A188" s="140">
        <f>IF(B188&lt;&gt;"", COUNTA($B$2:B188), "")</f>
        <v/>
      </c>
      <c r="B188" s="140" t="inlineStr">
        <is>
          <t>Манометр технический</t>
        </is>
      </c>
      <c r="C188" s="140" t="inlineStr">
        <is>
          <t>МП4-УУ2</t>
        </is>
      </c>
      <c r="D188" s="141" t="n">
        <v>15517</v>
      </c>
      <c r="E188" s="140" t="n"/>
      <c r="F188" s="140" t="inlineStr">
        <is>
          <t>0…160 кгс/см2</t>
        </is>
      </c>
      <c r="G188" s="140" t="n">
        <v>1.5</v>
      </c>
      <c r="H188" s="140" t="inlineStr">
        <is>
          <t>Метрическая</t>
        </is>
      </c>
      <c r="I188" s="140" t="n">
        <v>12</v>
      </c>
      <c r="J188" s="140" t="inlineStr">
        <is>
          <t>2К24</t>
        </is>
      </c>
      <c r="K188" s="140" t="inlineStr">
        <is>
          <t>Радиальный</t>
        </is>
      </c>
    </row>
    <row r="189">
      <c r="A189" s="140">
        <f>IF(B189&lt;&gt;"", COUNTA($B$2:B189), "")</f>
        <v/>
      </c>
      <c r="B189" s="140" t="inlineStr">
        <is>
          <t>Манометр технический</t>
        </is>
      </c>
      <c r="C189" s="140" t="inlineStr">
        <is>
          <t>МП4-УУ2</t>
        </is>
      </c>
      <c r="D189" s="141" t="n">
        <v>15579</v>
      </c>
      <c r="E189" s="140" t="n"/>
      <c r="F189" s="140" t="inlineStr">
        <is>
          <t>0…0,6 кгс/см2</t>
        </is>
      </c>
      <c r="G189" s="140" t="n">
        <v>1.5</v>
      </c>
      <c r="H189" s="140" t="inlineStr">
        <is>
          <t>Метрическая</t>
        </is>
      </c>
      <c r="I189" s="140" t="n">
        <v>12</v>
      </c>
      <c r="J189" s="140" t="inlineStr">
        <is>
          <t>2К24</t>
        </is>
      </c>
      <c r="K189" s="140" t="inlineStr">
        <is>
          <t>Радиальный</t>
        </is>
      </c>
    </row>
    <row r="190">
      <c r="A190" s="140">
        <f>IF(B190&lt;&gt;"", COUNTA($B$2:B190), "")</f>
        <v/>
      </c>
      <c r="B190" s="140" t="inlineStr">
        <is>
          <t>Манометр технический</t>
        </is>
      </c>
      <c r="C190" s="140" t="inlineStr">
        <is>
          <t>МП4-УУХЛ1</t>
        </is>
      </c>
      <c r="D190" s="141" t="n">
        <v>700076</v>
      </c>
      <c r="E190" s="140" t="n"/>
      <c r="F190" s="140" t="inlineStr">
        <is>
          <t>0…10 МПа</t>
        </is>
      </c>
      <c r="G190" s="140" t="n">
        <v>1</v>
      </c>
      <c r="H190" s="140" t="inlineStr">
        <is>
          <t>Метрическая</t>
        </is>
      </c>
      <c r="I190" s="140" t="n">
        <v>12</v>
      </c>
      <c r="J190" s="140" t="inlineStr">
        <is>
          <t>25ДЯУ</t>
        </is>
      </c>
      <c r="K190" s="140" t="inlineStr">
        <is>
          <t>Радиальный</t>
        </is>
      </c>
    </row>
    <row r="191">
      <c r="A191" s="140">
        <f>IF(B191&lt;&gt;"", COUNTA($B$2:B191), "")</f>
        <v/>
      </c>
      <c r="B191" s="140" t="inlineStr">
        <is>
          <t>Манометр технический</t>
        </is>
      </c>
      <c r="C191" s="140" t="inlineStr">
        <is>
          <t>МП3-УУ2</t>
        </is>
      </c>
      <c r="D191" s="141" t="n">
        <v>80529</v>
      </c>
      <c r="E191" s="140" t="n"/>
      <c r="F191" s="140" t="inlineStr">
        <is>
          <t>0…16 МПа</t>
        </is>
      </c>
      <c r="G191" s="140" t="n">
        <v>1.5</v>
      </c>
      <c r="H191" s="140" t="inlineStr">
        <is>
          <t>Метрическая</t>
        </is>
      </c>
      <c r="I191" s="140" t="n">
        <v>12</v>
      </c>
      <c r="J191" s="140" t="inlineStr">
        <is>
          <t>25ДЯУ</t>
        </is>
      </c>
      <c r="K191" s="140" t="inlineStr">
        <is>
          <t>Радиальный</t>
        </is>
      </c>
    </row>
    <row r="192">
      <c r="A192" s="140">
        <f>IF(B192&lt;&gt;"", COUNTA($B$2:B192), "")</f>
        <v/>
      </c>
      <c r="B192" s="140" t="inlineStr">
        <is>
          <t>Манометр технический</t>
        </is>
      </c>
      <c r="C192" s="140" t="inlineStr">
        <is>
          <t>МП3-УФ</t>
        </is>
      </c>
      <c r="D192" s="141" t="n">
        <v>3591</v>
      </c>
      <c r="E192" s="140" t="n"/>
      <c r="F192" s="140" t="inlineStr">
        <is>
          <t>0…16 МПа</t>
        </is>
      </c>
      <c r="G192" s="140" t="n">
        <v>1.5</v>
      </c>
      <c r="H192" s="140" t="inlineStr">
        <is>
          <t>Метрическая</t>
        </is>
      </c>
      <c r="I192" s="140" t="n">
        <v>12</v>
      </c>
      <c r="J192" s="140" t="inlineStr">
        <is>
          <t>1К23</t>
        </is>
      </c>
      <c r="K192" s="140" t="inlineStr">
        <is>
          <t>Радиальный</t>
        </is>
      </c>
    </row>
    <row r="193">
      <c r="A193" s="140">
        <f>IF(B193&lt;&gt;"", COUNTA($B$2:B193), "")</f>
        <v/>
      </c>
      <c r="B193" s="140" t="inlineStr">
        <is>
          <t>Манометр технический</t>
        </is>
      </c>
      <c r="C193" s="140" t="inlineStr">
        <is>
          <t>МП3-УУ2</t>
        </is>
      </c>
      <c r="D193" s="141" t="n">
        <v>20253</v>
      </c>
      <c r="E193" s="140" t="n"/>
      <c r="F193" s="140" t="inlineStr">
        <is>
          <t>0…16 МПа</t>
        </is>
      </c>
      <c r="G193" s="140" t="n">
        <v>1.5</v>
      </c>
      <c r="H193" s="140" t="inlineStr">
        <is>
          <t>Метрическая</t>
        </is>
      </c>
      <c r="I193" s="140" t="n">
        <v>12</v>
      </c>
      <c r="J193" s="140" t="inlineStr">
        <is>
          <t>24ДЯУ</t>
        </is>
      </c>
      <c r="K193" s="140" t="inlineStr">
        <is>
          <t>Радиальный</t>
        </is>
      </c>
    </row>
    <row r="194">
      <c r="A194" s="140">
        <f>IF(B194&lt;&gt;"", COUNTA($B$2:B194), "")</f>
        <v/>
      </c>
      <c r="B194" s="140" t="inlineStr">
        <is>
          <t>Манометр технический</t>
        </is>
      </c>
      <c r="C194" s="140" t="inlineStr">
        <is>
          <t>МП3-УФ</t>
        </is>
      </c>
      <c r="D194" s="141" t="n">
        <v>4718</v>
      </c>
      <c r="E194" s="140" t="n"/>
      <c r="F194" s="140" t="inlineStr">
        <is>
          <t>0…16 МПа</t>
        </is>
      </c>
      <c r="G194" s="140" t="n">
        <v>1.5</v>
      </c>
      <c r="H194" s="140" t="inlineStr">
        <is>
          <t>Метрическая</t>
        </is>
      </c>
      <c r="I194" s="140" t="n">
        <v>12</v>
      </c>
      <c r="J194" s="140" t="inlineStr">
        <is>
          <t>25ДЯУ</t>
        </is>
      </c>
      <c r="K194" s="140" t="inlineStr">
        <is>
          <t>Радиальный</t>
        </is>
      </c>
    </row>
    <row r="195">
      <c r="A195" s="140">
        <f>IF(B195&lt;&gt;"", COUNTA($B$2:B195), "")</f>
        <v/>
      </c>
      <c r="B195" s="140" t="inlineStr">
        <is>
          <t>Манометр технический</t>
        </is>
      </c>
      <c r="C195" s="15" t="inlineStr">
        <is>
          <t>ДМ 8008-ВУ-У2</t>
        </is>
      </c>
      <c r="D195" s="141" t="n">
        <v>15587</v>
      </c>
      <c r="E195" s="140" t="n">
        <v>2018</v>
      </c>
      <c r="F195" s="140" t="inlineStr">
        <is>
          <t>0…6 кгс/см2</t>
        </is>
      </c>
      <c r="G195" s="140" t="n">
        <v>1.5</v>
      </c>
      <c r="H195" s="140" t="inlineStr">
        <is>
          <t>Метрическая</t>
        </is>
      </c>
      <c r="I195" s="140" t="n">
        <v>12</v>
      </c>
      <c r="J195" s="140" t="inlineStr">
        <is>
          <t>3К24</t>
        </is>
      </c>
      <c r="K195" s="140" t="inlineStr">
        <is>
          <t>Радиальный</t>
        </is>
      </c>
    </row>
    <row r="196">
      <c r="A196" s="140">
        <f>IF(B196&lt;&gt;"", COUNTA($B$2:B196), "")</f>
        <v/>
      </c>
      <c r="B196" s="140" t="inlineStr">
        <is>
          <t>Манометр технический</t>
        </is>
      </c>
      <c r="C196" s="140" t="inlineStr">
        <is>
          <t>ТМ5</t>
        </is>
      </c>
      <c r="D196" s="141" t="n">
        <v>70153</v>
      </c>
      <c r="E196" s="140" t="n"/>
      <c r="F196" s="140" t="inlineStr">
        <is>
          <t>0…1,6 МПа</t>
        </is>
      </c>
      <c r="G196" s="140" t="n">
        <v>1.5</v>
      </c>
      <c r="H196" s="140" t="inlineStr">
        <is>
          <t>Трубная</t>
        </is>
      </c>
      <c r="I196" s="140" t="n">
        <v>12</v>
      </c>
      <c r="J196" s="140" t="inlineStr">
        <is>
          <t>25ДЯУ</t>
        </is>
      </c>
      <c r="K196" s="140" t="inlineStr">
        <is>
          <t>Радиальный</t>
        </is>
      </c>
    </row>
    <row r="197">
      <c r="A197" s="140">
        <f>IF(B197&lt;&gt;"", COUNTA($B$2:B197), "")</f>
        <v/>
      </c>
      <c r="B197" s="140" t="inlineStr">
        <is>
          <t>Манометр технический</t>
        </is>
      </c>
      <c r="C197" s="140" t="inlineStr">
        <is>
          <t>ТМ5</t>
        </is>
      </c>
      <c r="D197" s="141" t="n">
        <v>7000178</v>
      </c>
      <c r="E197" s="140" t="n"/>
      <c r="F197" s="140" t="inlineStr">
        <is>
          <t>0…1,6 МПа</t>
        </is>
      </c>
      <c r="G197" s="140" t="n">
        <v>1.5</v>
      </c>
      <c r="H197" s="140" t="inlineStr">
        <is>
          <t>Трубная</t>
        </is>
      </c>
      <c r="I197" s="140" t="n">
        <v>12</v>
      </c>
      <c r="J197" s="140" t="inlineStr">
        <is>
          <t>25ДЯУ</t>
        </is>
      </c>
      <c r="K197" s="140" t="inlineStr">
        <is>
          <t>Радиальный</t>
        </is>
      </c>
    </row>
    <row r="198">
      <c r="A198" s="140">
        <f>IF(B198&lt;&gt;"", COUNTA($B$2:B198), "")</f>
        <v/>
      </c>
      <c r="B198" s="140" t="inlineStr">
        <is>
          <t>Манометр технический</t>
        </is>
      </c>
      <c r="C198" s="140" t="inlineStr">
        <is>
          <t>МП3-УУХЛ1</t>
        </is>
      </c>
      <c r="D198" s="141" t="n">
        <v>15213</v>
      </c>
      <c r="E198" s="140" t="n"/>
      <c r="F198" s="140" t="inlineStr">
        <is>
          <t>0…160 кгс/см2</t>
        </is>
      </c>
      <c r="G198" s="140" t="n">
        <v>1.5</v>
      </c>
      <c r="H198" s="140" t="inlineStr">
        <is>
          <t>Метрическая</t>
        </is>
      </c>
      <c r="I198" s="140" t="n">
        <v>12</v>
      </c>
      <c r="J198" s="140" t="inlineStr">
        <is>
          <t>25ДЯУ</t>
        </is>
      </c>
      <c r="K198" s="140" t="inlineStr">
        <is>
          <t>Радиальный</t>
        </is>
      </c>
    </row>
    <row r="199">
      <c r="A199" s="140">
        <f>IF(B199&lt;&gt;"", COUNTA($B$2:B199), "")</f>
        <v/>
      </c>
      <c r="B199" s="140" t="inlineStr">
        <is>
          <t>Манометр технический</t>
        </is>
      </c>
      <c r="C199" s="140" t="inlineStr">
        <is>
          <t>ТМ5</t>
        </is>
      </c>
      <c r="D199" s="141" t="n">
        <v>80521</v>
      </c>
      <c r="E199" s="140" t="n"/>
      <c r="F199" s="140" t="inlineStr">
        <is>
          <t>0…16 МПа</t>
        </is>
      </c>
      <c r="G199" s="140" t="n">
        <v>1.5</v>
      </c>
      <c r="H199" s="140" t="inlineStr">
        <is>
          <t>Трубная</t>
        </is>
      </c>
      <c r="I199" s="140" t="n">
        <v>12</v>
      </c>
      <c r="J199" s="140" t="inlineStr">
        <is>
          <t>25ДЯУ</t>
        </is>
      </c>
      <c r="K199" s="140" t="inlineStr">
        <is>
          <t>Радиальный</t>
        </is>
      </c>
    </row>
    <row r="200">
      <c r="A200" s="140">
        <f>IF(B200&lt;&gt;"", COUNTA($B$2:B200), "")</f>
        <v/>
      </c>
      <c r="B200" s="140" t="inlineStr">
        <is>
          <t>Манометр технический</t>
        </is>
      </c>
      <c r="C200" s="140" t="inlineStr">
        <is>
          <t>МП4-УУ2</t>
        </is>
      </c>
      <c r="D200" s="141" t="n">
        <v>20254</v>
      </c>
      <c r="E200" s="140" t="n"/>
      <c r="F200" s="140" t="inlineStr">
        <is>
          <t>0…16 МПа</t>
        </is>
      </c>
      <c r="G200" s="140" t="n">
        <v>1.5</v>
      </c>
      <c r="H200" s="140" t="inlineStr">
        <is>
          <t>Метрическая</t>
        </is>
      </c>
      <c r="I200" s="140" t="n">
        <v>12</v>
      </c>
      <c r="J200" s="140" t="inlineStr">
        <is>
          <t>отсутствует</t>
        </is>
      </c>
      <c r="K200" s="140" t="inlineStr">
        <is>
          <t>Радиальный</t>
        </is>
      </c>
    </row>
    <row r="201">
      <c r="A201" s="140">
        <f>IF(B201&lt;&gt;"", COUNTA($B$2:B201), "")</f>
        <v/>
      </c>
      <c r="B201" s="140" t="inlineStr">
        <is>
          <t>Манометр технический</t>
        </is>
      </c>
      <c r="C201" s="140" t="inlineStr">
        <is>
          <t>МП3-УУ2</t>
        </is>
      </c>
      <c r="D201" s="141" t="n">
        <v>700004</v>
      </c>
      <c r="E201" s="140" t="n"/>
      <c r="F201" s="140" t="inlineStr">
        <is>
          <t>0…16 МПа</t>
        </is>
      </c>
      <c r="G201" s="140" t="n">
        <v>1.5</v>
      </c>
      <c r="H201" s="140" t="inlineStr">
        <is>
          <t>Метрическая</t>
        </is>
      </c>
      <c r="I201" s="140" t="n">
        <v>12</v>
      </c>
      <c r="J201" s="140" t="inlineStr">
        <is>
          <t>24ДЯУ</t>
        </is>
      </c>
      <c r="K201" s="140" t="inlineStr">
        <is>
          <t>Радиальный</t>
        </is>
      </c>
    </row>
    <row r="202">
      <c r="A202" s="140">
        <f>IF(B202&lt;&gt;"", COUNTA($B$2:B202), "")</f>
        <v/>
      </c>
      <c r="B202" s="140" t="inlineStr">
        <is>
          <t>Манометр технический</t>
        </is>
      </c>
      <c r="C202" s="140" t="inlineStr">
        <is>
          <t>МП3-УФ</t>
        </is>
      </c>
      <c r="D202" s="141" t="n">
        <v>4721</v>
      </c>
      <c r="E202" s="140" t="n"/>
      <c r="F202" s="140" t="inlineStr">
        <is>
          <t>0…16 МПа</t>
        </is>
      </c>
      <c r="G202" s="140" t="n">
        <v>1.5</v>
      </c>
      <c r="H202" s="140" t="inlineStr">
        <is>
          <t>Метрическая</t>
        </is>
      </c>
      <c r="I202" s="140" t="n">
        <v>12</v>
      </c>
      <c r="J202" s="140" t="inlineStr">
        <is>
          <t>25ДЯУ</t>
        </is>
      </c>
      <c r="K202" s="140" t="inlineStr">
        <is>
          <t>Радиальный</t>
        </is>
      </c>
    </row>
    <row r="203">
      <c r="A203" s="140">
        <f>IF(B203&lt;&gt;"", COUNTA($B$2:B203), "")</f>
        <v/>
      </c>
      <c r="B203" s="140" t="inlineStr">
        <is>
          <t>Манометр технический</t>
        </is>
      </c>
      <c r="C203" s="140" t="inlineStr">
        <is>
          <t>МП3-УУ2</t>
        </is>
      </c>
      <c r="D203" s="141" t="n">
        <v>700217</v>
      </c>
      <c r="E203" s="140" t="n"/>
      <c r="F203" s="140" t="inlineStr">
        <is>
          <t>0…16 кгс/см2</t>
        </is>
      </c>
      <c r="G203" s="140" t="n">
        <v>1.5</v>
      </c>
      <c r="H203" s="140" t="inlineStr">
        <is>
          <t>Метрическая</t>
        </is>
      </c>
      <c r="I203" s="140" t="n">
        <v>12</v>
      </c>
      <c r="J203" s="140" t="inlineStr">
        <is>
          <t>25ДЯУ</t>
        </is>
      </c>
      <c r="K203" s="140" t="inlineStr">
        <is>
          <t>Радиальный</t>
        </is>
      </c>
    </row>
    <row r="204">
      <c r="A204" s="140">
        <f>IF(B204&lt;&gt;"", COUNTA($B$2:B204), "")</f>
        <v/>
      </c>
      <c r="B204" s="140" t="inlineStr">
        <is>
          <t>Манометр технический</t>
        </is>
      </c>
      <c r="C204" s="140" t="inlineStr">
        <is>
          <t>МП3-УУХЛ1</t>
        </is>
      </c>
      <c r="D204" s="141" t="n">
        <v>212035202</v>
      </c>
      <c r="E204" s="140" t="n"/>
      <c r="F204" s="140" t="inlineStr">
        <is>
          <t>0…16 МПа</t>
        </is>
      </c>
      <c r="G204" s="140" t="n">
        <v>1.5</v>
      </c>
      <c r="H204" s="140" t="inlineStr">
        <is>
          <t>Метрическая</t>
        </is>
      </c>
      <c r="I204" s="140" t="n">
        <v>12</v>
      </c>
      <c r="J204" s="140" t="inlineStr">
        <is>
          <t>25ДЯУ</t>
        </is>
      </c>
      <c r="K204" s="140" t="inlineStr">
        <is>
          <t>Радиальный</t>
        </is>
      </c>
    </row>
    <row r="205">
      <c r="A205" s="140">
        <f>IF(B205&lt;&gt;"", COUNTA($B$2:B205), "")</f>
        <v/>
      </c>
      <c r="B205" s="140" t="inlineStr">
        <is>
          <t>Манометр технический</t>
        </is>
      </c>
      <c r="C205" s="140" t="inlineStr">
        <is>
          <t>ТМ5</t>
        </is>
      </c>
      <c r="D205" s="141" t="n">
        <v>15653</v>
      </c>
      <c r="E205" s="140" t="n"/>
      <c r="F205" s="140" t="inlineStr">
        <is>
          <t>0…16 МПа</t>
        </is>
      </c>
      <c r="G205" s="140" t="n">
        <v>1.5</v>
      </c>
      <c r="H205" s="140" t="inlineStr">
        <is>
          <t>Метрическая</t>
        </is>
      </c>
      <c r="I205" s="140" t="n">
        <v>12</v>
      </c>
      <c r="J205" s="140" t="inlineStr">
        <is>
          <t>25ДЯУ</t>
        </is>
      </c>
      <c r="K205" s="140" t="inlineStr">
        <is>
          <t>Радиальный</t>
        </is>
      </c>
    </row>
    <row r="206">
      <c r="A206" s="140">
        <f>IF(B206&lt;&gt;"", COUNTA($B$2:B206), "")</f>
        <v/>
      </c>
      <c r="B206" s="140" t="inlineStr">
        <is>
          <t>Манометр технический</t>
        </is>
      </c>
      <c r="C206" s="140" t="inlineStr">
        <is>
          <t>МП3-УУХЛ1</t>
        </is>
      </c>
      <c r="D206" s="141" t="n">
        <v>212033562</v>
      </c>
      <c r="E206" s="140" t="n"/>
      <c r="F206" s="140" t="inlineStr">
        <is>
          <t>0…16 МПа</t>
        </is>
      </c>
      <c r="G206" s="140" t="n">
        <v>1.5</v>
      </c>
      <c r="H206" s="140" t="inlineStr">
        <is>
          <t>Метрическая</t>
        </is>
      </c>
      <c r="I206" s="140" t="n">
        <v>12</v>
      </c>
      <c r="J206" s="140" t="inlineStr">
        <is>
          <t>25ДЯУ</t>
        </is>
      </c>
      <c r="K206" s="140" t="inlineStr">
        <is>
          <t>Радиальный</t>
        </is>
      </c>
    </row>
    <row r="207">
      <c r="A207" s="140">
        <f>IF(B207&lt;&gt;"", COUNTA($B$2:B207), "")</f>
        <v/>
      </c>
      <c r="B207" s="140" t="inlineStr">
        <is>
          <t>Манометр технический</t>
        </is>
      </c>
      <c r="C207" s="140" t="inlineStr">
        <is>
          <t>МП3-УУХЛ1</t>
        </is>
      </c>
      <c r="D207" s="141" t="n">
        <v>212034403</v>
      </c>
      <c r="E207" s="140" t="n"/>
      <c r="F207" s="140" t="inlineStr">
        <is>
          <t>0…16 МПа</t>
        </is>
      </c>
      <c r="G207" s="140" t="n">
        <v>1.5</v>
      </c>
      <c r="H207" s="140" t="inlineStr">
        <is>
          <t>Метрическая</t>
        </is>
      </c>
      <c r="I207" s="140" t="n">
        <v>12</v>
      </c>
      <c r="J207" s="140" t="inlineStr">
        <is>
          <t>25ДЯУ</t>
        </is>
      </c>
      <c r="K207" s="140" t="inlineStr">
        <is>
          <t>Радиальный</t>
        </is>
      </c>
    </row>
    <row r="208">
      <c r="A208" s="140">
        <f>IF(B208&lt;&gt;"", COUNTA($B$2:B208), "")</f>
        <v/>
      </c>
      <c r="B208" s="140" t="inlineStr">
        <is>
          <t>Манометр технический</t>
        </is>
      </c>
      <c r="C208" s="140" t="inlineStr">
        <is>
          <t>МП3-УФ</t>
        </is>
      </c>
      <c r="D208" s="141" t="inlineStr">
        <is>
          <t>004668</t>
        </is>
      </c>
      <c r="E208" s="140" t="n"/>
      <c r="F208" s="140" t="inlineStr">
        <is>
          <t>0…16 МПа</t>
        </is>
      </c>
      <c r="G208" s="140" t="n">
        <v>1.5</v>
      </c>
      <c r="H208" s="140" t="inlineStr">
        <is>
          <t>Метрическая</t>
        </is>
      </c>
      <c r="I208" s="140" t="n">
        <v>12</v>
      </c>
      <c r="J208" s="140" t="inlineStr">
        <is>
          <t>25ДЯУ</t>
        </is>
      </c>
      <c r="K208" s="140" t="inlineStr">
        <is>
          <t>Радиальный</t>
        </is>
      </c>
    </row>
    <row r="209">
      <c r="A209" s="140">
        <f>IF(B209&lt;&gt;"", COUNTA($B$2:B209), "")</f>
        <v/>
      </c>
      <c r="B209" s="140" t="inlineStr">
        <is>
          <t>Манометр технический</t>
        </is>
      </c>
      <c r="C209" s="140" t="inlineStr">
        <is>
          <t>МП3-УУХЛ1</t>
        </is>
      </c>
      <c r="D209" s="141" t="inlineStr">
        <is>
          <t>212033580</t>
        </is>
      </c>
      <c r="E209" s="140" t="n"/>
      <c r="F209" s="140" t="inlineStr">
        <is>
          <t>0…16 МПа</t>
        </is>
      </c>
      <c r="G209" s="140" t="n">
        <v>1.5</v>
      </c>
      <c r="H209" s="140" t="inlineStr">
        <is>
          <t>Метрическая</t>
        </is>
      </c>
      <c r="I209" s="140" t="n">
        <v>12</v>
      </c>
      <c r="J209" s="140" t="inlineStr">
        <is>
          <t>25ДЯУ</t>
        </is>
      </c>
      <c r="K209" s="140" t="inlineStr">
        <is>
          <t>Радиальный</t>
        </is>
      </c>
    </row>
    <row r="210">
      <c r="A210" s="140">
        <f>IF(B210&lt;&gt;"", COUNTA($B$2:B210), "")</f>
        <v/>
      </c>
      <c r="B210" s="140" t="inlineStr">
        <is>
          <t>Манометр технический</t>
        </is>
      </c>
      <c r="C210" s="140" t="inlineStr">
        <is>
          <t>ДМ 8008-ВУ-У2</t>
        </is>
      </c>
      <c r="D210" s="141" t="inlineStr">
        <is>
          <t>15588</t>
        </is>
      </c>
      <c r="E210" s="140" t="n">
        <v>2017</v>
      </c>
      <c r="F210" s="140" t="inlineStr">
        <is>
          <t>0…6 кгс/см2</t>
        </is>
      </c>
      <c r="G210" s="140" t="n">
        <v>1.5</v>
      </c>
      <c r="H210" s="140" t="inlineStr">
        <is>
          <t>Метрическая</t>
        </is>
      </c>
      <c r="I210" s="140" t="n">
        <v>12</v>
      </c>
      <c r="J210" s="140" t="inlineStr">
        <is>
          <t>3К24</t>
        </is>
      </c>
      <c r="K210" s="140" t="inlineStr">
        <is>
          <t>Радиальный</t>
        </is>
      </c>
    </row>
    <row r="211">
      <c r="A211" s="140">
        <f>IF(B211&lt;&gt;"", COUNTA($B$2:B211), "")</f>
        <v/>
      </c>
      <c r="B211" s="140" t="inlineStr">
        <is>
          <t>Манометр технический</t>
        </is>
      </c>
      <c r="C211" s="140" t="inlineStr">
        <is>
          <t>ДМ 8008-ВУ-У2</t>
        </is>
      </c>
      <c r="D211" s="141" t="inlineStr">
        <is>
          <t>15164</t>
        </is>
      </c>
      <c r="E211" s="140" t="n">
        <v>2012</v>
      </c>
      <c r="F211" s="140" t="inlineStr">
        <is>
          <t>0…6 кгс/см2</t>
        </is>
      </c>
      <c r="G211" s="140" t="n">
        <v>1.5</v>
      </c>
      <c r="H211" s="140" t="inlineStr">
        <is>
          <t>Метрическая</t>
        </is>
      </c>
      <c r="I211" s="140" t="n">
        <v>12</v>
      </c>
      <c r="J211" s="140" t="inlineStr">
        <is>
          <t>отсутствует</t>
        </is>
      </c>
      <c r="K211" s="140" t="inlineStr">
        <is>
          <t>Радиальный</t>
        </is>
      </c>
    </row>
    <row r="212">
      <c r="A212" s="140">
        <f>IF(B212&lt;&gt;"", COUNTA($B$2:B212), "")</f>
        <v/>
      </c>
      <c r="B212" s="140" t="inlineStr">
        <is>
          <t>Манометр технический</t>
        </is>
      </c>
      <c r="C212" s="140" t="inlineStr">
        <is>
          <t>ДМ 8008-ВУ-У2</t>
        </is>
      </c>
      <c r="D212" s="141" t="inlineStr">
        <is>
          <t>50251</t>
        </is>
      </c>
      <c r="E212" s="140" t="n">
        <v>2010</v>
      </c>
      <c r="F212" s="140" t="inlineStr">
        <is>
          <t>0…6 кгс/см2</t>
        </is>
      </c>
      <c r="G212" s="140" t="n">
        <v>1.5</v>
      </c>
      <c r="H212" s="140" t="inlineStr">
        <is>
          <t>Метрическая</t>
        </is>
      </c>
      <c r="I212" s="140" t="n">
        <v>12</v>
      </c>
      <c r="J212" s="140" t="inlineStr">
        <is>
          <t>отсутствует</t>
        </is>
      </c>
      <c r="K212" s="140" t="inlineStr">
        <is>
          <t>Радиальный</t>
        </is>
      </c>
    </row>
    <row r="213">
      <c r="A213" s="140">
        <f>IF(B213&lt;&gt;"", COUNTA($B$2:B213), "")</f>
        <v/>
      </c>
      <c r="B213" s="140" t="inlineStr">
        <is>
          <t>Манометр технический</t>
        </is>
      </c>
      <c r="C213" s="140" t="inlineStr">
        <is>
          <t>ДМ 8008-ВУ-У2</t>
        </is>
      </c>
      <c r="D213" s="141" t="inlineStr">
        <is>
          <t>15166</t>
        </is>
      </c>
      <c r="E213" s="140" t="n">
        <v>2012</v>
      </c>
      <c r="F213" s="140" t="inlineStr">
        <is>
          <t>0…6 кгс/см2</t>
        </is>
      </c>
      <c r="G213" s="140" t="n">
        <v>1.5</v>
      </c>
      <c r="H213" s="140" t="inlineStr">
        <is>
          <t>Метрическая</t>
        </is>
      </c>
      <c r="I213" s="140" t="n">
        <v>12</v>
      </c>
      <c r="J213" s="140" t="inlineStr">
        <is>
          <t>отсутствует</t>
        </is>
      </c>
      <c r="K213" s="140" t="inlineStr">
        <is>
          <t>Радиальный</t>
        </is>
      </c>
    </row>
    <row r="214">
      <c r="A214" s="140">
        <f>IF(B214&lt;&gt;"", COUNTA($B$2:B214), "")</f>
        <v/>
      </c>
      <c r="B214" s="140" t="inlineStr">
        <is>
          <t>Манометр технический</t>
        </is>
      </c>
      <c r="C214" s="140" t="inlineStr">
        <is>
          <t>ДМ 8008-ВУ-У2</t>
        </is>
      </c>
      <c r="D214" s="141" t="inlineStr">
        <is>
          <t>050924</t>
        </is>
      </c>
      <c r="E214" s="140" t="n">
        <v>2010</v>
      </c>
      <c r="F214" s="140" t="inlineStr">
        <is>
          <t>0…6 кгс/см2</t>
        </is>
      </c>
      <c r="G214" s="140" t="n">
        <v>1.5</v>
      </c>
      <c r="H214" s="140" t="inlineStr">
        <is>
          <t>Метрическая</t>
        </is>
      </c>
      <c r="I214" s="140" t="n">
        <v>12</v>
      </c>
      <c r="J214" s="140" t="inlineStr">
        <is>
          <t>2К24</t>
        </is>
      </c>
      <c r="K214" s="140" t="inlineStr">
        <is>
          <t>Радиальный</t>
        </is>
      </c>
    </row>
    <row r="215">
      <c r="A215" s="140">
        <f>IF(B215&lt;&gt;"", COUNTA($B$2:B215), "")</f>
        <v/>
      </c>
      <c r="B215" s="140" t="inlineStr">
        <is>
          <t>Манометр технический</t>
        </is>
      </c>
      <c r="C215" s="140" t="inlineStr">
        <is>
          <t>ДМ 8008-ВУ-У2</t>
        </is>
      </c>
      <c r="D215" s="141" t="inlineStr">
        <is>
          <t>15673</t>
        </is>
      </c>
      <c r="E215" s="140" t="n">
        <v>2018</v>
      </c>
      <c r="F215" s="140" t="inlineStr">
        <is>
          <t>0…6 кгс/см2</t>
        </is>
      </c>
      <c r="G215" s="140" t="n">
        <v>1.5</v>
      </c>
      <c r="H215" s="140" t="inlineStr">
        <is>
          <t>Метрическая</t>
        </is>
      </c>
      <c r="I215" s="140" t="n">
        <v>12</v>
      </c>
      <c r="J215" s="140" t="inlineStr">
        <is>
          <t>24ДЯУ</t>
        </is>
      </c>
      <c r="K215" s="140" t="inlineStr">
        <is>
          <t>Радиальный</t>
        </is>
      </c>
    </row>
    <row r="216">
      <c r="A216" s="140">
        <f>IF(B216&lt;&gt;"", COUNTA($B$2:B216), "")</f>
        <v/>
      </c>
      <c r="B216" s="140" t="inlineStr">
        <is>
          <t>Манометр технический</t>
        </is>
      </c>
      <c r="C216" s="140" t="inlineStr">
        <is>
          <t>МП3-УФ</t>
        </is>
      </c>
      <c r="D216" s="141" t="inlineStr">
        <is>
          <t>004498</t>
        </is>
      </c>
      <c r="E216" s="140" t="n"/>
      <c r="F216" s="140" t="inlineStr">
        <is>
          <t>0…16 МПа</t>
        </is>
      </c>
      <c r="G216" s="140" t="n">
        <v>1.5</v>
      </c>
      <c r="H216" s="140" t="inlineStr">
        <is>
          <t>Метрическая</t>
        </is>
      </c>
      <c r="I216" s="140" t="n">
        <v>12</v>
      </c>
      <c r="J216" s="140" t="inlineStr">
        <is>
          <t>1К23</t>
        </is>
      </c>
      <c r="K216" s="140" t="inlineStr">
        <is>
          <t>Радиальный</t>
        </is>
      </c>
    </row>
    <row r="217">
      <c r="A217" s="140">
        <f>IF(B217&lt;&gt;"", COUNTA($B$2:B217), "")</f>
        <v/>
      </c>
      <c r="B217" s="140" t="inlineStr">
        <is>
          <t>Манометр технический</t>
        </is>
      </c>
      <c r="C217" s="140" t="inlineStr">
        <is>
          <t>ТМ5</t>
        </is>
      </c>
      <c r="D217" s="141" t="inlineStr">
        <is>
          <t>40241</t>
        </is>
      </c>
      <c r="E217" s="140" t="n"/>
      <c r="F217" s="140" t="inlineStr">
        <is>
          <t>0…1,6 МПа</t>
        </is>
      </c>
      <c r="G217" s="140" t="n">
        <v>1.5</v>
      </c>
      <c r="H217" s="140" t="inlineStr">
        <is>
          <t>Метрическая</t>
        </is>
      </c>
      <c r="I217" s="140" t="n">
        <v>12</v>
      </c>
      <c r="J217" s="140" t="inlineStr">
        <is>
          <t>23ДЯУ</t>
        </is>
      </c>
      <c r="K217" s="140" t="inlineStr">
        <is>
          <t>Радиальный</t>
        </is>
      </c>
    </row>
    <row r="218">
      <c r="A218" s="140">
        <f>IF(B218&lt;&gt;"", COUNTA($B$2:B218), "")</f>
        <v/>
      </c>
      <c r="B218" s="140" t="inlineStr">
        <is>
          <t>Манометр технический</t>
        </is>
      </c>
      <c r="C218" s="140" t="inlineStr">
        <is>
          <t>МП3-УУ2</t>
        </is>
      </c>
      <c r="D218" s="141" t="inlineStr">
        <is>
          <t>20256</t>
        </is>
      </c>
      <c r="E218" s="140" t="n"/>
      <c r="F218" s="140" t="inlineStr">
        <is>
          <t>0…16 МПа</t>
        </is>
      </c>
      <c r="G218" s="140" t="n">
        <v>1.5</v>
      </c>
      <c r="H218" s="140" t="inlineStr">
        <is>
          <t>Метрическая</t>
        </is>
      </c>
      <c r="I218" s="140" t="n">
        <v>12</v>
      </c>
      <c r="J218" s="140" t="inlineStr">
        <is>
          <t>отсутствует</t>
        </is>
      </c>
      <c r="K218" s="140" t="inlineStr">
        <is>
          <t>Радиальный</t>
        </is>
      </c>
    </row>
    <row r="219">
      <c r="A219" s="140">
        <f>IF(B219&lt;&gt;"", COUNTA($B$2:B219), "")</f>
        <v/>
      </c>
      <c r="B219" s="140" t="inlineStr">
        <is>
          <t>Манометр технический</t>
        </is>
      </c>
      <c r="C219" s="140" t="inlineStr">
        <is>
          <t>МП3-УУ2</t>
        </is>
      </c>
      <c r="D219" s="141" t="inlineStr">
        <is>
          <t>700003</t>
        </is>
      </c>
      <c r="E219" s="140" t="n"/>
      <c r="F219" s="140" t="inlineStr">
        <is>
          <t>0…16 МПа</t>
        </is>
      </c>
      <c r="G219" s="140" t="n">
        <v>1.5</v>
      </c>
      <c r="H219" s="140" t="inlineStr">
        <is>
          <t>Метрическая</t>
        </is>
      </c>
      <c r="I219" s="140" t="n">
        <v>12</v>
      </c>
      <c r="J219" s="140" t="inlineStr">
        <is>
          <t>24ДЯУ</t>
        </is>
      </c>
      <c r="K219" s="140" t="inlineStr">
        <is>
          <t>Радиальный</t>
        </is>
      </c>
    </row>
    <row r="220">
      <c r="A220" s="140">
        <f>IF(B220&lt;&gt;"", COUNTA($B$2:B220), "")</f>
        <v/>
      </c>
      <c r="B220" s="140" t="inlineStr">
        <is>
          <t>Манометр технический</t>
        </is>
      </c>
      <c r="C220" s="140" t="inlineStr">
        <is>
          <t>ТМ5</t>
        </is>
      </c>
      <c r="D220" s="141" t="inlineStr">
        <is>
          <t>7000193</t>
        </is>
      </c>
      <c r="E220" s="140" t="n"/>
      <c r="F220" s="140" t="inlineStr">
        <is>
          <t>0…1,6 МПа</t>
        </is>
      </c>
      <c r="G220" s="140" t="n">
        <v>1.5</v>
      </c>
      <c r="H220" s="140" t="inlineStr">
        <is>
          <t>Метрическая</t>
        </is>
      </c>
      <c r="I220" s="140" t="n">
        <v>12</v>
      </c>
      <c r="J220" s="140" t="inlineStr">
        <is>
          <t>25ДЯУ</t>
        </is>
      </c>
      <c r="K220" s="140" t="inlineStr">
        <is>
          <t>Радиальный</t>
        </is>
      </c>
    </row>
    <row r="221">
      <c r="A221" s="140">
        <f>IF(B221&lt;&gt;"", COUNTA($B$2:B221), "")</f>
        <v/>
      </c>
      <c r="B221" s="140" t="inlineStr">
        <is>
          <t>Манометр технический</t>
        </is>
      </c>
      <c r="C221" s="140" t="inlineStr">
        <is>
          <t>ТМ5</t>
        </is>
      </c>
      <c r="D221" s="141" t="inlineStr">
        <is>
          <t>700290</t>
        </is>
      </c>
      <c r="E221" s="140" t="n"/>
      <c r="F221" s="140" t="inlineStr">
        <is>
          <t>0…0,6 МПа</t>
        </is>
      </c>
      <c r="G221" s="140" t="n">
        <v>1.5</v>
      </c>
      <c r="H221" s="140" t="inlineStr">
        <is>
          <t>Метрическая</t>
        </is>
      </c>
      <c r="I221" s="140" t="n">
        <v>12</v>
      </c>
      <c r="J221" s="140" t="inlineStr">
        <is>
          <t>отсутствует</t>
        </is>
      </c>
      <c r="K221" s="140" t="inlineStr">
        <is>
          <t>Радиальный</t>
        </is>
      </c>
    </row>
    <row r="222">
      <c r="A222" s="140">
        <f>IF(B222&lt;&gt;"", COUNTA($B$2:B222), "")</f>
        <v/>
      </c>
      <c r="B222" s="140" t="inlineStr">
        <is>
          <t>Манометр технический</t>
        </is>
      </c>
      <c r="C222" s="140" t="inlineStr">
        <is>
          <t>МП3-УУ2</t>
        </is>
      </c>
      <c r="D222" s="141" t="inlineStr">
        <is>
          <t>700017</t>
        </is>
      </c>
      <c r="E222" s="140" t="n"/>
      <c r="F222" s="140" t="inlineStr">
        <is>
          <t>0…16 МПа</t>
        </is>
      </c>
      <c r="G222" s="140" t="n">
        <v>1.5</v>
      </c>
      <c r="H222" s="140" t="inlineStr">
        <is>
          <t>Метрическая</t>
        </is>
      </c>
      <c r="I222" s="140" t="n">
        <v>12</v>
      </c>
      <c r="J222" s="140" t="inlineStr">
        <is>
          <t>1К25</t>
        </is>
      </c>
      <c r="K222" s="140" t="inlineStr">
        <is>
          <t>Радиальный</t>
        </is>
      </c>
    </row>
    <row r="223">
      <c r="A223" s="140">
        <f>IF(B223&lt;&gt;"", COUNTA($B$2:B223), "")</f>
        <v/>
      </c>
      <c r="B223" s="140" t="inlineStr">
        <is>
          <t>Манометр технический</t>
        </is>
      </c>
      <c r="C223" s="140" t="inlineStr">
        <is>
          <t>МП3-УУ2</t>
        </is>
      </c>
      <c r="D223" s="141" t="inlineStr">
        <is>
          <t>700000</t>
        </is>
      </c>
      <c r="E223" s="140" t="n"/>
      <c r="F223" s="140" t="inlineStr">
        <is>
          <t>0…16 МПа</t>
        </is>
      </c>
      <c r="G223" s="140" t="n">
        <v>1.5</v>
      </c>
      <c r="H223" s="140" t="inlineStr">
        <is>
          <t>Метрическая</t>
        </is>
      </c>
      <c r="I223" s="140" t="n">
        <v>12</v>
      </c>
      <c r="J223" s="140" t="inlineStr">
        <is>
          <t>1К25</t>
        </is>
      </c>
      <c r="K223" s="140" t="inlineStr">
        <is>
          <t>Радиальный</t>
        </is>
      </c>
    </row>
    <row r="224">
      <c r="A224" s="140">
        <f>IF(B224&lt;&gt;"", COUNTA($B$2:B224), "")</f>
        <v/>
      </c>
      <c r="B224" s="140" t="inlineStr">
        <is>
          <t>Манометр технический</t>
        </is>
      </c>
      <c r="C224" s="140" t="inlineStr">
        <is>
          <t>МП3-УУ2</t>
        </is>
      </c>
      <c r="D224" s="141" t="inlineStr">
        <is>
          <t>700016</t>
        </is>
      </c>
      <c r="E224" s="140" t="n"/>
      <c r="F224" s="140" t="inlineStr">
        <is>
          <t>0…16 МПа</t>
        </is>
      </c>
      <c r="G224" s="140" t="n">
        <v>1.5</v>
      </c>
      <c r="H224" s="140" t="inlineStr">
        <is>
          <t>Метрическая</t>
        </is>
      </c>
      <c r="I224" s="140" t="n">
        <v>12</v>
      </c>
      <c r="J224" s="140" t="inlineStr">
        <is>
          <t>1К25</t>
        </is>
      </c>
      <c r="K224" s="140" t="inlineStr">
        <is>
          <t>Радиальный</t>
        </is>
      </c>
    </row>
    <row r="225">
      <c r="A225" s="140">
        <f>IF(B225&lt;&gt;"", COUNTA($B$2:B225), "")</f>
        <v/>
      </c>
      <c r="B225" s="140" t="inlineStr">
        <is>
          <t>Манометр технический</t>
        </is>
      </c>
      <c r="C225" s="140" t="inlineStr">
        <is>
          <t>МП3-УУ2</t>
        </is>
      </c>
      <c r="D225" s="141" t="inlineStr">
        <is>
          <t>700015</t>
        </is>
      </c>
      <c r="E225" s="140" t="n"/>
      <c r="F225" s="140" t="inlineStr">
        <is>
          <t>0…16 МПа</t>
        </is>
      </c>
      <c r="G225" s="140" t="n">
        <v>1.5</v>
      </c>
      <c r="H225" s="140" t="inlineStr">
        <is>
          <t>Метрическая</t>
        </is>
      </c>
      <c r="I225" s="140" t="n">
        <v>12</v>
      </c>
      <c r="J225" s="140" t="inlineStr">
        <is>
          <t>1К25</t>
        </is>
      </c>
      <c r="K225" s="140" t="inlineStr">
        <is>
          <t>Радиальный</t>
        </is>
      </c>
    </row>
    <row r="226">
      <c r="A226" s="140">
        <f>IF(B226&lt;&gt;"", COUNTA($B$2:B226), "")</f>
        <v/>
      </c>
      <c r="B226" s="140" t="inlineStr">
        <is>
          <t>Манометр технический</t>
        </is>
      </c>
      <c r="C226" s="140" t="inlineStr">
        <is>
          <t>МП3-УУ2</t>
        </is>
      </c>
      <c r="D226" s="141" t="inlineStr">
        <is>
          <t>50178</t>
        </is>
      </c>
      <c r="E226" s="140" t="n">
        <v>2005</v>
      </c>
      <c r="F226" s="140" t="inlineStr">
        <is>
          <t>0…16 кгс/см2</t>
        </is>
      </c>
      <c r="G226" s="140" t="n">
        <v>1.5</v>
      </c>
      <c r="H226" s="140" t="inlineStr">
        <is>
          <t>Метрическая</t>
        </is>
      </c>
      <c r="I226" s="140" t="n">
        <v>12</v>
      </c>
      <c r="J226" s="140" t="inlineStr">
        <is>
          <t>3К23</t>
        </is>
      </c>
      <c r="K226" s="140" t="inlineStr">
        <is>
          <t>Радиальный</t>
        </is>
      </c>
    </row>
    <row r="227">
      <c r="A227" s="140">
        <f>IF(B227&lt;&gt;"", COUNTA($B$2:B227), "")</f>
        <v/>
      </c>
      <c r="B227" s="140" t="inlineStr">
        <is>
          <t>Манометр технический</t>
        </is>
      </c>
      <c r="C227" s="140" t="inlineStr">
        <is>
          <t>МП3-УФ</t>
        </is>
      </c>
      <c r="D227" s="141" t="inlineStr">
        <is>
          <t>002232</t>
        </is>
      </c>
      <c r="E227" s="140" t="n"/>
      <c r="F227" s="140" t="inlineStr">
        <is>
          <t>0…16 МПа</t>
        </is>
      </c>
      <c r="G227" s="140" t="n">
        <v>1.5</v>
      </c>
      <c r="H227" s="140" t="inlineStr">
        <is>
          <t>Метрическая</t>
        </is>
      </c>
      <c r="I227" s="140" t="n">
        <v>12</v>
      </c>
      <c r="J227" s="140" t="inlineStr">
        <is>
          <t>1К23</t>
        </is>
      </c>
      <c r="K227" s="140" t="inlineStr">
        <is>
          <t>Радиальный</t>
        </is>
      </c>
    </row>
    <row r="228">
      <c r="A228" s="140">
        <f>IF(B228&lt;&gt;"", COUNTA($B$2:B228), "")</f>
        <v/>
      </c>
      <c r="B228" s="140" t="inlineStr">
        <is>
          <t>Манометр технический</t>
        </is>
      </c>
      <c r="C228" s="140" t="inlineStr">
        <is>
          <t>МП3-УУ2</t>
        </is>
      </c>
      <c r="D228" s="141" t="inlineStr">
        <is>
          <t>700013</t>
        </is>
      </c>
      <c r="E228" s="140" t="n"/>
      <c r="F228" s="140" t="inlineStr">
        <is>
          <t>0…16 МПа</t>
        </is>
      </c>
      <c r="G228" s="140" t="n">
        <v>1.5</v>
      </c>
      <c r="H228" s="140" t="inlineStr">
        <is>
          <t>Метрическая</t>
        </is>
      </c>
      <c r="I228" s="140" t="n">
        <v>12</v>
      </c>
      <c r="J228" s="140" t="inlineStr">
        <is>
          <t>2К24</t>
        </is>
      </c>
      <c r="K228" s="140" t="inlineStr">
        <is>
          <t>Радиальный</t>
        </is>
      </c>
    </row>
    <row r="229">
      <c r="A229" s="140">
        <f>IF(B229&lt;&gt;"", COUNTA($B$2:B229), "")</f>
        <v/>
      </c>
      <c r="B229" s="140" t="inlineStr">
        <is>
          <t>Манометр технический</t>
        </is>
      </c>
      <c r="C229" s="140" t="inlineStr">
        <is>
          <t>МП3-УУ2</t>
        </is>
      </c>
      <c r="D229" s="141" t="inlineStr">
        <is>
          <t>700005</t>
        </is>
      </c>
      <c r="E229" s="140" t="n"/>
      <c r="F229" s="140" t="inlineStr">
        <is>
          <t>0…16 МПа</t>
        </is>
      </c>
      <c r="G229" s="140" t="n">
        <v>1.5</v>
      </c>
      <c r="H229" s="140" t="inlineStr">
        <is>
          <t>Метрическая</t>
        </is>
      </c>
      <c r="I229" s="140" t="n">
        <v>12</v>
      </c>
      <c r="J229" s="140" t="inlineStr">
        <is>
          <t>1К25</t>
        </is>
      </c>
      <c r="K229" s="140" t="inlineStr">
        <is>
          <t>Радиальный</t>
        </is>
      </c>
    </row>
    <row r="230">
      <c r="A230" s="140">
        <f>IF(B230&lt;&gt;"", COUNTA($B$2:B230), "")</f>
        <v/>
      </c>
      <c r="B230" s="140" t="inlineStr">
        <is>
          <t>Манометр технический</t>
        </is>
      </c>
      <c r="C230" s="140" t="inlineStr">
        <is>
          <t>МП3-УУХЛ1</t>
        </is>
      </c>
      <c r="D230" s="141" t="inlineStr">
        <is>
          <t>212033570</t>
        </is>
      </c>
      <c r="E230" s="140" t="n"/>
      <c r="F230" s="140" t="inlineStr">
        <is>
          <t>0…16 МПа</t>
        </is>
      </c>
      <c r="G230" s="140" t="n">
        <v>1.5</v>
      </c>
      <c r="H230" s="140" t="inlineStr">
        <is>
          <t>Метрическая</t>
        </is>
      </c>
      <c r="I230" s="140" t="n">
        <v>12</v>
      </c>
      <c r="J230" s="140" t="inlineStr">
        <is>
          <t>24ДЯУ</t>
        </is>
      </c>
      <c r="K230" s="140" t="inlineStr">
        <is>
          <t>Радиальный</t>
        </is>
      </c>
    </row>
    <row r="231">
      <c r="A231" s="140">
        <f>IF(B231&lt;&gt;"", COUNTA($B$2:B231), "")</f>
        <v/>
      </c>
      <c r="B231" s="140" t="inlineStr">
        <is>
          <t>Манометр технический</t>
        </is>
      </c>
      <c r="C231" s="140" t="inlineStr">
        <is>
          <t>ДМ02-100-1-G</t>
        </is>
      </c>
      <c r="D231" s="141" t="inlineStr">
        <is>
          <t>15186</t>
        </is>
      </c>
      <c r="E231" s="140" t="n"/>
      <c r="F231" s="140" t="inlineStr">
        <is>
          <t>0…6 bar</t>
        </is>
      </c>
      <c r="G231" s="140" t="n">
        <v>1.5</v>
      </c>
      <c r="H231" s="140" t="inlineStr">
        <is>
          <t>Метрическая</t>
        </is>
      </c>
      <c r="I231" s="140" t="n">
        <v>12</v>
      </c>
      <c r="J231" s="140" t="inlineStr">
        <is>
          <t>отсутствует</t>
        </is>
      </c>
      <c r="K231" s="140" t="inlineStr">
        <is>
          <t>Радиальный</t>
        </is>
      </c>
    </row>
    <row r="232">
      <c r="A232" s="140">
        <f>IF(B232&lt;&gt;"", COUNTA($B$2:B232), "")</f>
        <v/>
      </c>
      <c r="B232" s="140" t="inlineStr">
        <is>
          <t>Манометр технический</t>
        </is>
      </c>
      <c r="C232" s="140" t="inlineStr">
        <is>
          <t>ТМ5</t>
        </is>
      </c>
      <c r="D232" s="141" t="inlineStr">
        <is>
          <t>7000180</t>
        </is>
      </c>
      <c r="E232" s="140" t="n"/>
      <c r="F232" s="140" t="inlineStr">
        <is>
          <t>0…1,6 МПа</t>
        </is>
      </c>
      <c r="G232" s="140" t="n">
        <v>1.5</v>
      </c>
      <c r="H232" s="140" t="inlineStr">
        <is>
          <t>Метрическая</t>
        </is>
      </c>
      <c r="I232" s="140" t="n">
        <v>12</v>
      </c>
      <c r="J232" s="140" t="inlineStr">
        <is>
          <t>25ДЯУ</t>
        </is>
      </c>
      <c r="K232" s="140" t="inlineStr">
        <is>
          <t>Радиальный</t>
        </is>
      </c>
    </row>
    <row r="233">
      <c r="A233" s="140">
        <f>IF(B233&lt;&gt;"", COUNTA($B$2:B233), "")</f>
        <v/>
      </c>
      <c r="B233" s="140" t="inlineStr">
        <is>
          <t>Манометр технический</t>
        </is>
      </c>
      <c r="C233" s="140" t="inlineStr">
        <is>
          <t>МП3-УУ2</t>
        </is>
      </c>
      <c r="D233" s="141" t="inlineStr">
        <is>
          <t>700018</t>
        </is>
      </c>
      <c r="E233" s="140" t="n"/>
      <c r="F233" s="140" t="inlineStr">
        <is>
          <t>0…16 МПа</t>
        </is>
      </c>
      <c r="G233" s="140" t="n">
        <v>1.5</v>
      </c>
      <c r="H233" s="140" t="inlineStr">
        <is>
          <t>Метрическая</t>
        </is>
      </c>
      <c r="I233" s="140" t="n">
        <v>12</v>
      </c>
      <c r="J233" s="140" t="inlineStr">
        <is>
          <t>23ДЯУ</t>
        </is>
      </c>
      <c r="K233" s="140" t="inlineStr">
        <is>
          <t>Радиальный</t>
        </is>
      </c>
    </row>
    <row r="234">
      <c r="A234" s="140">
        <f>IF(B234&lt;&gt;"", COUNTA($B$2:B234), "")</f>
        <v/>
      </c>
      <c r="B234" s="140" t="inlineStr">
        <is>
          <t>Манометр технический</t>
        </is>
      </c>
      <c r="C234" s="140" t="inlineStr">
        <is>
          <t>МП3-УУ2</t>
        </is>
      </c>
      <c r="D234" s="141" t="inlineStr">
        <is>
          <t>700009</t>
        </is>
      </c>
      <c r="E234" s="140" t="n"/>
      <c r="F234" s="140" t="inlineStr">
        <is>
          <t>0…16 МПа</t>
        </is>
      </c>
      <c r="G234" s="140" t="n">
        <v>1.5</v>
      </c>
      <c r="H234" s="140" t="inlineStr">
        <is>
          <t>Метрическая</t>
        </is>
      </c>
      <c r="I234" s="140" t="n">
        <v>12</v>
      </c>
      <c r="J234" s="140" t="inlineStr">
        <is>
          <t>3К23</t>
        </is>
      </c>
      <c r="K234" s="140" t="inlineStr">
        <is>
          <t>Радиальный</t>
        </is>
      </c>
    </row>
    <row r="235">
      <c r="A235" s="140">
        <f>IF(B235&lt;&gt;"", COUNTA($B$2:B235), "")</f>
        <v/>
      </c>
      <c r="B235" s="140" t="inlineStr">
        <is>
          <t>Манометр технический</t>
        </is>
      </c>
      <c r="C235" s="140" t="inlineStr">
        <is>
          <t>ТМ5</t>
        </is>
      </c>
      <c r="D235" s="141" t="inlineStr">
        <is>
          <t>10619</t>
        </is>
      </c>
      <c r="E235" s="140" t="n"/>
      <c r="F235" s="140" t="inlineStr">
        <is>
          <t>0…1,6 МПа</t>
        </is>
      </c>
      <c r="G235" s="140" t="n">
        <v>1.5</v>
      </c>
      <c r="H235" s="140" t="inlineStr">
        <is>
          <t>Метрическая</t>
        </is>
      </c>
      <c r="I235" s="140" t="n">
        <v>12</v>
      </c>
      <c r="J235" s="140" t="inlineStr">
        <is>
          <t>1К23</t>
        </is>
      </c>
      <c r="K235" s="140" t="inlineStr">
        <is>
          <t>Радиальный</t>
        </is>
      </c>
    </row>
    <row r="236">
      <c r="A236" s="140">
        <f>IF(B236&lt;&gt;"", COUNTA($B$2:B236), "")</f>
        <v/>
      </c>
      <c r="B236" s="140" t="inlineStr">
        <is>
          <t>Манометр технический</t>
        </is>
      </c>
      <c r="C236" s="140" t="inlineStr">
        <is>
          <t>ТМ5</t>
        </is>
      </c>
      <c r="D236" s="141" t="inlineStr">
        <is>
          <t>15429</t>
        </is>
      </c>
      <c r="E236" s="140" t="n"/>
      <c r="F236" s="140" t="inlineStr">
        <is>
          <t>0…16 кгс/см2</t>
        </is>
      </c>
      <c r="G236" s="140" t="n">
        <v>1.5</v>
      </c>
      <c r="H236" s="140" t="inlineStr">
        <is>
          <t>Метрическая</t>
        </is>
      </c>
      <c r="I236" s="140" t="n">
        <v>12</v>
      </c>
      <c r="J236" s="140" t="inlineStr">
        <is>
          <t>1К23</t>
        </is>
      </c>
      <c r="K236" s="140" t="inlineStr">
        <is>
          <t>Радиальный</t>
        </is>
      </c>
    </row>
    <row r="237">
      <c r="A237" s="140">
        <f>IF(B237&lt;&gt;"", COUNTA($B$2:B237), "")</f>
        <v/>
      </c>
      <c r="B237" s="140" t="inlineStr">
        <is>
          <t>Манометр технический</t>
        </is>
      </c>
      <c r="C237" s="140" t="inlineStr">
        <is>
          <t>ТМ5</t>
        </is>
      </c>
      <c r="D237" s="141" t="inlineStr">
        <is>
          <t>15419</t>
        </is>
      </c>
      <c r="E237" s="140" t="n"/>
      <c r="F237" s="140" t="inlineStr">
        <is>
          <t>0…10 кгс/см2</t>
        </is>
      </c>
      <c r="G237" s="140" t="n">
        <v>1.5</v>
      </c>
      <c r="H237" s="140" t="inlineStr">
        <is>
          <t>Метрическая</t>
        </is>
      </c>
      <c r="I237" s="140" t="n">
        <v>12</v>
      </c>
      <c r="J237" s="140" t="inlineStr">
        <is>
          <t>отсутствует</t>
        </is>
      </c>
      <c r="K237" s="140" t="inlineStr">
        <is>
          <t>Осевой</t>
        </is>
      </c>
    </row>
    <row r="238">
      <c r="A238" s="140">
        <f>IF(B238&lt;&gt;"", COUNTA($B$2:B238), "")</f>
        <v/>
      </c>
      <c r="B238" s="140" t="inlineStr">
        <is>
          <t>Манометр технический</t>
        </is>
      </c>
      <c r="C238" s="140" t="inlineStr">
        <is>
          <t>МП4-УУ2</t>
        </is>
      </c>
      <c r="D238" s="141" t="inlineStr">
        <is>
          <t>15350</t>
        </is>
      </c>
      <c r="E238" s="140" t="n"/>
      <c r="F238" s="140" t="inlineStr">
        <is>
          <t>0…4 кгс/см2</t>
        </is>
      </c>
      <c r="G238" s="140" t="n">
        <v>1.5</v>
      </c>
      <c r="H238" s="140" t="inlineStr">
        <is>
          <t>Метрическая</t>
        </is>
      </c>
      <c r="I238" s="140" t="n">
        <v>12</v>
      </c>
      <c r="J238" s="140" t="inlineStr">
        <is>
          <t>1К22</t>
        </is>
      </c>
      <c r="K238" s="140" t="inlineStr">
        <is>
          <t>Радиальный</t>
        </is>
      </c>
    </row>
    <row r="239">
      <c r="A239" s="140">
        <f>IF(B239&lt;&gt;"", COUNTA($B$2:B239), "")</f>
        <v/>
      </c>
      <c r="B239" s="140" t="inlineStr">
        <is>
          <t>Манометр технический</t>
        </is>
      </c>
      <c r="C239" s="140" t="inlineStr">
        <is>
          <t>ТМ3</t>
        </is>
      </c>
      <c r="D239" s="141" t="inlineStr">
        <is>
          <t>15444</t>
        </is>
      </c>
      <c r="E239" s="140" t="n"/>
      <c r="F239" s="140" t="inlineStr">
        <is>
          <t>0…60 bar</t>
        </is>
      </c>
      <c r="G239" s="140" t="n">
        <v>1.5</v>
      </c>
      <c r="H239" s="140" t="inlineStr">
        <is>
          <t>Трубная</t>
        </is>
      </c>
      <c r="I239" s="140" t="n">
        <v>12</v>
      </c>
      <c r="J239" s="140" t="inlineStr">
        <is>
          <t>4К12</t>
        </is>
      </c>
      <c r="K239" s="140" t="inlineStr">
        <is>
          <t>Радиальный</t>
        </is>
      </c>
    </row>
    <row r="240">
      <c r="A240" s="140">
        <f>IF(B240&lt;&gt;"", COUNTA($B$2:B240), "")</f>
        <v/>
      </c>
      <c r="B240" s="140" t="inlineStr">
        <is>
          <t>Манометр технический</t>
        </is>
      </c>
      <c r="C240" s="140" t="inlineStr">
        <is>
          <t>ДМ</t>
        </is>
      </c>
      <c r="D240" s="141" t="inlineStr">
        <is>
          <t>15355</t>
        </is>
      </c>
      <c r="E240" s="140" t="n"/>
      <c r="F240" s="140" t="inlineStr">
        <is>
          <t>0…6 кгс/см2</t>
        </is>
      </c>
      <c r="G240" s="140" t="n">
        <v>1</v>
      </c>
      <c r="H240" s="140" t="inlineStr">
        <is>
          <t>Метрическая</t>
        </is>
      </c>
      <c r="I240" s="140" t="n">
        <v>12</v>
      </c>
      <c r="J240" s="140" t="inlineStr">
        <is>
          <t>1К25</t>
        </is>
      </c>
      <c r="K240" s="140" t="inlineStr">
        <is>
          <t>Радиальный</t>
        </is>
      </c>
    </row>
    <row r="241">
      <c r="A241" s="140">
        <f>IF(B241&lt;&gt;"", COUNTA($B$2:B241), "")</f>
        <v/>
      </c>
      <c r="B241" s="140" t="inlineStr">
        <is>
          <t>Манометр технический</t>
        </is>
      </c>
      <c r="C241" s="140" t="inlineStr">
        <is>
          <t>МП4-УУ2</t>
        </is>
      </c>
      <c r="D241" s="141" t="inlineStr">
        <is>
          <t>6106</t>
        </is>
      </c>
      <c r="E241" s="140" t="n"/>
      <c r="F241" s="140" t="inlineStr">
        <is>
          <t>0…160 кгс/см2</t>
        </is>
      </c>
      <c r="G241" s="140" t="n">
        <v>1.5</v>
      </c>
      <c r="H241" s="140" t="inlineStr">
        <is>
          <t>Метрическая</t>
        </is>
      </c>
      <c r="I241" s="140" t="n">
        <v>12</v>
      </c>
      <c r="J241" s="140" t="inlineStr">
        <is>
          <t>1К25</t>
        </is>
      </c>
      <c r="K241" s="140" t="inlineStr">
        <is>
          <t>Радиальный Ушастый</t>
        </is>
      </c>
    </row>
    <row r="242">
      <c r="A242" s="140">
        <f>IF(B242&lt;&gt;"", COUNTA($B$2:B242), "")</f>
        <v/>
      </c>
      <c r="B242" s="140" t="inlineStr">
        <is>
          <t>Манометр технический</t>
        </is>
      </c>
      <c r="C242" s="140" t="inlineStr">
        <is>
          <t>МП4-УУ2</t>
        </is>
      </c>
      <c r="D242" s="141" t="inlineStr">
        <is>
          <t>15107</t>
        </is>
      </c>
      <c r="E242" s="140" t="n"/>
      <c r="F242" s="140" t="inlineStr">
        <is>
          <t>0…160 кгс/см2</t>
        </is>
      </c>
      <c r="G242" s="140" t="n">
        <v>1</v>
      </c>
      <c r="H242" s="140" t="inlineStr">
        <is>
          <t>Метрическая</t>
        </is>
      </c>
      <c r="I242" s="140" t="n">
        <v>12</v>
      </c>
      <c r="J242" s="140" t="inlineStr">
        <is>
          <t>1К25</t>
        </is>
      </c>
      <c r="K242" s="140" t="inlineStr">
        <is>
          <t>Радиальный Ушастый</t>
        </is>
      </c>
    </row>
    <row r="243">
      <c r="A243" s="140">
        <f>IF(B243&lt;&gt;"", COUNTA($B$2:B243), "")</f>
        <v/>
      </c>
      <c r="B243" s="140" t="inlineStr">
        <is>
          <t>Манометр технический</t>
        </is>
      </c>
      <c r="C243" s="140" t="inlineStr">
        <is>
          <t>МП4-УУ2</t>
        </is>
      </c>
      <c r="D243" s="141" t="n">
        <v>15181</v>
      </c>
      <c r="E243" s="140" t="n"/>
      <c r="F243" s="140" t="inlineStr">
        <is>
          <t>0…16 кгс/см2</t>
        </is>
      </c>
      <c r="G243" s="140" t="n">
        <v>1.5</v>
      </c>
      <c r="H243" s="140" t="inlineStr">
        <is>
          <t>Метрическая</t>
        </is>
      </c>
      <c r="I243" s="140" t="n">
        <v>12</v>
      </c>
      <c r="J243" s="140" t="inlineStr">
        <is>
          <t>1К25</t>
        </is>
      </c>
      <c r="K243" s="140" t="inlineStr">
        <is>
          <t>Радиальный Ушастый</t>
        </is>
      </c>
    </row>
    <row r="244">
      <c r="A244" s="140">
        <f>IF(B244&lt;&gt;"", COUNTA($B$2:B244), "")</f>
        <v/>
      </c>
      <c r="B244" s="140" t="inlineStr">
        <is>
          <t>Манометр технический</t>
        </is>
      </c>
      <c r="C244" s="140" t="inlineStr">
        <is>
          <t>МП4-УУ2</t>
        </is>
      </c>
      <c r="D244" s="141" t="inlineStr">
        <is>
          <t>15343</t>
        </is>
      </c>
      <c r="E244" s="140" t="n"/>
      <c r="F244" s="140" t="inlineStr">
        <is>
          <t>0…160 кгс/см2</t>
        </is>
      </c>
      <c r="G244" s="140" t="n">
        <v>1.5</v>
      </c>
      <c r="H244" s="140" t="inlineStr">
        <is>
          <t>Метрическая</t>
        </is>
      </c>
      <c r="I244" s="140" t="n">
        <v>12</v>
      </c>
      <c r="J244" s="140" t="inlineStr">
        <is>
          <t>отсутствует</t>
        </is>
      </c>
      <c r="K244" s="140" t="inlineStr">
        <is>
          <t>Осевой</t>
        </is>
      </c>
    </row>
    <row r="245">
      <c r="A245" s="140">
        <f>IF(B245&lt;&gt;"", COUNTA($B$2:B245), "")</f>
        <v/>
      </c>
      <c r="B245" s="140" t="inlineStr">
        <is>
          <t>Манометр технический</t>
        </is>
      </c>
      <c r="C245" s="140" t="inlineStr">
        <is>
          <t>МП4-УУ2</t>
        </is>
      </c>
      <c r="D245" s="141" t="inlineStr">
        <is>
          <t>15353</t>
        </is>
      </c>
      <c r="E245" s="140" t="n"/>
      <c r="F245" s="140" t="inlineStr">
        <is>
          <t>0…160 кгс/см2</t>
        </is>
      </c>
      <c r="G245" s="140" t="n">
        <v>1.5</v>
      </c>
      <c r="H245" s="140" t="inlineStr">
        <is>
          <t>Метрическая</t>
        </is>
      </c>
      <c r="I245" s="140" t="n">
        <v>12</v>
      </c>
      <c r="J245" s="140" t="inlineStr">
        <is>
          <t>25ДЯУ</t>
        </is>
      </c>
      <c r="K245" s="140" t="inlineStr">
        <is>
          <t>Осевой</t>
        </is>
      </c>
    </row>
    <row r="246">
      <c r="A246" s="140">
        <f>IF(B246&lt;&gt;"", COUNTA($B$2:B246), "")</f>
        <v/>
      </c>
      <c r="B246" s="140" t="inlineStr">
        <is>
          <t>Манометр технический</t>
        </is>
      </c>
      <c r="C246" s="140" t="inlineStr">
        <is>
          <t>МП4-УУ2</t>
        </is>
      </c>
      <c r="D246" s="141" t="inlineStr">
        <is>
          <t>436</t>
        </is>
      </c>
      <c r="E246" s="140" t="n"/>
      <c r="F246" s="140" t="inlineStr">
        <is>
          <t>0…160 кгс/см2</t>
        </is>
      </c>
      <c r="G246" s="140" t="n">
        <v>1.5</v>
      </c>
      <c r="H246" s="140" t="inlineStr">
        <is>
          <t>Метрическая</t>
        </is>
      </c>
      <c r="I246" s="140" t="n">
        <v>12</v>
      </c>
      <c r="J246" s="140" t="inlineStr">
        <is>
          <t>25ДЯУ</t>
        </is>
      </c>
      <c r="K246" s="140" t="inlineStr">
        <is>
          <t>Осевой</t>
        </is>
      </c>
    </row>
    <row r="247">
      <c r="A247" s="140">
        <f>IF(B247&lt;&gt;"", COUNTA($B$2:B247), "")</f>
        <v/>
      </c>
      <c r="B247" s="140" t="inlineStr">
        <is>
          <t>Манометр технический</t>
        </is>
      </c>
      <c r="C247" s="140" t="inlineStr">
        <is>
          <t>МП4-УУ2</t>
        </is>
      </c>
      <c r="D247" s="141" t="inlineStr">
        <is>
          <t>15340</t>
        </is>
      </c>
      <c r="E247" s="140" t="n"/>
      <c r="F247" s="140" t="inlineStr">
        <is>
          <t>0…160 кгс/см2</t>
        </is>
      </c>
      <c r="G247" s="140" t="n">
        <v>1.5</v>
      </c>
      <c r="H247" s="140" t="inlineStr">
        <is>
          <t>Метрическая</t>
        </is>
      </c>
      <c r="I247" s="140" t="n">
        <v>12</v>
      </c>
      <c r="J247" s="140" t="inlineStr">
        <is>
          <t>25ДЯУ</t>
        </is>
      </c>
      <c r="K247" s="140" t="inlineStr">
        <is>
          <t>Осевой</t>
        </is>
      </c>
    </row>
    <row r="248">
      <c r="A248" s="140">
        <f>IF(B248&lt;&gt;"", COUNTA($B$2:B248), "")</f>
        <v/>
      </c>
      <c r="B248" s="140" t="inlineStr">
        <is>
          <t>Манометр технический</t>
        </is>
      </c>
      <c r="C248" s="140" t="inlineStr">
        <is>
          <t>МП4-УУ2</t>
        </is>
      </c>
      <c r="D248" s="141" t="inlineStr">
        <is>
          <t>15077</t>
        </is>
      </c>
      <c r="E248" s="140" t="n"/>
      <c r="F248" s="140" t="inlineStr">
        <is>
          <t>0…160 кгс/см2</t>
        </is>
      </c>
      <c r="G248" s="140" t="n">
        <v>1.5</v>
      </c>
      <c r="H248" s="140" t="inlineStr">
        <is>
          <t>Метрическая</t>
        </is>
      </c>
      <c r="I248" s="140" t="n">
        <v>12</v>
      </c>
      <c r="J248" s="140" t="inlineStr">
        <is>
          <t>25ДЯУ</t>
        </is>
      </c>
      <c r="K248" s="140" t="inlineStr">
        <is>
          <t>Осевой</t>
        </is>
      </c>
    </row>
    <row r="249">
      <c r="A249" s="140">
        <f>IF(B249&lt;&gt;"", COUNTA($B$2:B249), "")</f>
        <v/>
      </c>
      <c r="B249" s="140" t="inlineStr">
        <is>
          <t>Манометр технический</t>
        </is>
      </c>
      <c r="C249" s="140" t="inlineStr">
        <is>
          <t>МП4-УУ2</t>
        </is>
      </c>
      <c r="D249" s="141" t="inlineStr">
        <is>
          <t>15329</t>
        </is>
      </c>
      <c r="E249" s="140" t="n"/>
      <c r="F249" s="140" t="inlineStr">
        <is>
          <t>0…160 кгс/см2</t>
        </is>
      </c>
      <c r="G249" s="140" t="n">
        <v>1.5</v>
      </c>
      <c r="H249" s="140" t="inlineStr">
        <is>
          <t>Метрическая</t>
        </is>
      </c>
      <c r="I249" s="140" t="n">
        <v>12</v>
      </c>
      <c r="J249" s="140" t="inlineStr">
        <is>
          <t>25ДЯУ</t>
        </is>
      </c>
      <c r="K249" s="140" t="inlineStr">
        <is>
          <t>Осевой</t>
        </is>
      </c>
    </row>
    <row r="250">
      <c r="A250" s="140">
        <f>IF(B250&lt;&gt;"", COUNTA($B$2:B250), "")</f>
        <v/>
      </c>
      <c r="B250" s="140" t="inlineStr">
        <is>
          <t>Манометр технический</t>
        </is>
      </c>
      <c r="C250" s="140" t="inlineStr">
        <is>
          <t>МП4-УУ2</t>
        </is>
      </c>
      <c r="D250" s="141" t="inlineStr">
        <is>
          <t>15347</t>
        </is>
      </c>
      <c r="E250" s="140" t="n"/>
      <c r="F250" s="140" t="inlineStr">
        <is>
          <t>0…160 кгс/см2</t>
        </is>
      </c>
      <c r="G250" s="140" t="n">
        <v>1.5</v>
      </c>
      <c r="H250" s="140" t="inlineStr">
        <is>
          <t>Метрическая</t>
        </is>
      </c>
      <c r="I250" s="140" t="n">
        <v>12</v>
      </c>
      <c r="J250" s="140" t="inlineStr">
        <is>
          <t>25ДЯУ</t>
        </is>
      </c>
      <c r="K250" s="140" t="inlineStr">
        <is>
          <t>Осевой</t>
        </is>
      </c>
    </row>
    <row r="251">
      <c r="A251" s="140">
        <f>IF(B251&lt;&gt;"", COUNTA($B$2:B251), "")</f>
        <v/>
      </c>
      <c r="B251" s="140" t="inlineStr">
        <is>
          <t>Манометр технический</t>
        </is>
      </c>
      <c r="C251" s="140" t="inlineStr">
        <is>
          <t>МП4-УУ2</t>
        </is>
      </c>
      <c r="D251" s="141" t="inlineStr">
        <is>
          <t>15073</t>
        </is>
      </c>
      <c r="E251" s="140" t="n"/>
      <c r="F251" s="140" t="inlineStr">
        <is>
          <t>0…160 кгс/см2</t>
        </is>
      </c>
      <c r="G251" s="140" t="n">
        <v>1.5</v>
      </c>
      <c r="H251" s="140" t="inlineStr">
        <is>
          <t>Метрическая</t>
        </is>
      </c>
      <c r="I251" s="140" t="n">
        <v>12</v>
      </c>
      <c r="J251" s="140" t="inlineStr">
        <is>
          <t>25ДЯУ</t>
        </is>
      </c>
      <c r="K251" s="140" t="inlineStr">
        <is>
          <t>Осевой</t>
        </is>
      </c>
    </row>
    <row r="252">
      <c r="A252" s="140">
        <f>IF(B252&lt;&gt;"", COUNTA($B$2:B252), "")</f>
        <v/>
      </c>
      <c r="B252" s="140" t="inlineStr">
        <is>
          <t>Манометр технический</t>
        </is>
      </c>
      <c r="C252" s="140" t="inlineStr">
        <is>
          <t>МП4-УУ2</t>
        </is>
      </c>
      <c r="D252" s="141" t="inlineStr">
        <is>
          <t>15647</t>
        </is>
      </c>
      <c r="E252" s="140" t="n"/>
      <c r="F252" s="140" t="inlineStr">
        <is>
          <t>0…160 кгс/см2</t>
        </is>
      </c>
      <c r="G252" s="140" t="n">
        <v>1.5</v>
      </c>
      <c r="H252" s="140" t="inlineStr">
        <is>
          <t>Метрическая</t>
        </is>
      </c>
      <c r="I252" s="140" t="n">
        <v>12</v>
      </c>
      <c r="J252" s="140" t="inlineStr">
        <is>
          <t>25ДЯУ</t>
        </is>
      </c>
      <c r="K252" s="140" t="inlineStr">
        <is>
          <t>Осевой</t>
        </is>
      </c>
    </row>
    <row r="253">
      <c r="A253" s="140">
        <f>IF(B253&lt;&gt;"", COUNTA($B$2:B253), "")</f>
        <v/>
      </c>
      <c r="B253" s="140" t="inlineStr">
        <is>
          <t>Манометр технический</t>
        </is>
      </c>
      <c r="C253" s="140" t="inlineStr">
        <is>
          <t>МП4-УУ2</t>
        </is>
      </c>
      <c r="D253" s="141" t="inlineStr">
        <is>
          <t>15341</t>
        </is>
      </c>
      <c r="E253" s="140" t="n"/>
      <c r="F253" s="140" t="inlineStr">
        <is>
          <t>0…160 кгс/см2</t>
        </is>
      </c>
      <c r="G253" s="140" t="n">
        <v>1.5</v>
      </c>
      <c r="H253" s="140" t="inlineStr">
        <is>
          <t>Метрическая</t>
        </is>
      </c>
      <c r="I253" s="140" t="n">
        <v>12</v>
      </c>
      <c r="J253" s="140" t="inlineStr">
        <is>
          <t>25ДЯУ</t>
        </is>
      </c>
      <c r="K253" s="140" t="inlineStr">
        <is>
          <t>Осевой</t>
        </is>
      </c>
    </row>
    <row r="254">
      <c r="A254" s="140">
        <f>IF(B254&lt;&gt;"", COUNTA($B$2:B254), "")</f>
        <v/>
      </c>
      <c r="B254" s="140" t="inlineStr">
        <is>
          <t>Манометр технический</t>
        </is>
      </c>
      <c r="C254" s="140" t="inlineStr">
        <is>
          <t>МП4-УУ2</t>
        </is>
      </c>
      <c r="D254" s="141" t="inlineStr">
        <is>
          <t>15687</t>
        </is>
      </c>
      <c r="E254" s="140" t="n"/>
      <c r="F254" s="140" t="inlineStr">
        <is>
          <t>0…160 кгс/см2</t>
        </is>
      </c>
      <c r="G254" s="140" t="n">
        <v>1.5</v>
      </c>
      <c r="H254" s="140" t="inlineStr">
        <is>
          <t>Метрическая</t>
        </is>
      </c>
      <c r="I254" s="140" t="n">
        <v>12</v>
      </c>
      <c r="J254" s="140" t="inlineStr">
        <is>
          <t>25ДЯУ</t>
        </is>
      </c>
      <c r="K254" s="140" t="inlineStr">
        <is>
          <t>Осевой</t>
        </is>
      </c>
    </row>
    <row r="255" customFormat="1" s="232">
      <c r="A255" s="230">
        <f>IF(B255&lt;&gt;"", COUNTA($B$2:B255), "")</f>
        <v/>
      </c>
      <c r="B255" s="230" t="inlineStr">
        <is>
          <t>Манометр технический</t>
        </is>
      </c>
      <c r="C255" s="230" t="inlineStr">
        <is>
          <t>МП3-УУ2</t>
        </is>
      </c>
      <c r="D255" s="231" t="inlineStr">
        <is>
          <t>600273</t>
        </is>
      </c>
      <c r="E255" s="230" t="n">
        <v>1999</v>
      </c>
      <c r="F255" s="230" t="inlineStr">
        <is>
          <t>0…6 кгс/см2</t>
        </is>
      </c>
      <c r="G255" s="230" t="n">
        <v>1.5</v>
      </c>
      <c r="H255" s="230" t="inlineStr">
        <is>
          <t>Метрическая</t>
        </is>
      </c>
      <c r="I255" s="230" t="n">
        <v>12</v>
      </c>
      <c r="J255" s="230" t="inlineStr">
        <is>
          <t>1К25</t>
        </is>
      </c>
      <c r="K255" s="230" t="inlineStr">
        <is>
          <t>Радиальный</t>
        </is>
      </c>
    </row>
    <row r="256" customFormat="1" s="232">
      <c r="A256" s="230">
        <f>IF(B256&lt;&gt;"", COUNTA($B$2:B256), "")</f>
        <v/>
      </c>
      <c r="B256" s="230" t="inlineStr">
        <is>
          <t>Манометр технический</t>
        </is>
      </c>
      <c r="C256" s="230" t="inlineStr">
        <is>
          <t>МП3-УУ2</t>
        </is>
      </c>
      <c r="D256" s="231" t="inlineStr">
        <is>
          <t>051744</t>
        </is>
      </c>
      <c r="E256" s="230" t="n"/>
      <c r="F256" s="230" t="inlineStr">
        <is>
          <t>0…600 кПа</t>
        </is>
      </c>
      <c r="G256" s="230" t="n">
        <v>1.5</v>
      </c>
      <c r="H256" s="230" t="inlineStr">
        <is>
          <t>Метрическая</t>
        </is>
      </c>
      <c r="I256" s="230" t="n">
        <v>12</v>
      </c>
      <c r="J256" s="230" t="inlineStr">
        <is>
          <t>1К25</t>
        </is>
      </c>
      <c r="K256" s="230" t="inlineStr">
        <is>
          <t>Радиальный</t>
        </is>
      </c>
    </row>
    <row r="257" customFormat="1" s="232">
      <c r="A257" s="230">
        <f>IF(B257&lt;&gt;"", COUNTA($B$2:B257), "")</f>
        <v/>
      </c>
      <c r="B257" s="230" t="inlineStr">
        <is>
          <t>Манометр технический</t>
        </is>
      </c>
      <c r="C257" s="230" t="inlineStr">
        <is>
          <t>МП3-УТ2</t>
        </is>
      </c>
      <c r="D257" s="231" t="inlineStr">
        <is>
          <t>1322108</t>
        </is>
      </c>
      <c r="E257" s="230" t="n"/>
      <c r="F257" s="230" t="inlineStr">
        <is>
          <t>0…6 кгс/см2</t>
        </is>
      </c>
      <c r="G257" s="230" t="n">
        <v>1.5</v>
      </c>
      <c r="H257" s="230" t="inlineStr">
        <is>
          <t>Метрическая</t>
        </is>
      </c>
      <c r="I257" s="230" t="n">
        <v>12</v>
      </c>
      <c r="J257" s="230" t="inlineStr">
        <is>
          <t>1К25</t>
        </is>
      </c>
      <c r="K257" s="230" t="inlineStr">
        <is>
          <t>Радиальный</t>
        </is>
      </c>
    </row>
    <row r="258">
      <c r="A258" s="140">
        <f>IF(B258&lt;&gt;"", COUNTA($B$2:B258), "")</f>
        <v/>
      </c>
      <c r="B258" s="140" t="inlineStr">
        <is>
          <t>Манометр технический</t>
        </is>
      </c>
      <c r="C258" s="140" t="inlineStr">
        <is>
          <t>МП4-УУ2</t>
        </is>
      </c>
      <c r="D258" s="141" t="inlineStr">
        <is>
          <t>15344</t>
        </is>
      </c>
      <c r="E258" s="140" t="n"/>
      <c r="F258" s="140" t="inlineStr">
        <is>
          <t>0…160 кгс/см2</t>
        </is>
      </c>
      <c r="G258" s="140" t="n">
        <v>1.5</v>
      </c>
      <c r="H258" s="140" t="inlineStr">
        <is>
          <t>Метрическая</t>
        </is>
      </c>
      <c r="I258" s="140" t="n">
        <v>12</v>
      </c>
      <c r="J258" s="140" t="inlineStr">
        <is>
          <t>25ДЯУ</t>
        </is>
      </c>
      <c r="K258" s="140" t="inlineStr">
        <is>
          <t>Осевой</t>
        </is>
      </c>
    </row>
    <row r="259">
      <c r="A259" s="140">
        <f>IF(B259&lt;&gt;"", COUNTA($B$2:B259), "")</f>
        <v/>
      </c>
      <c r="B259" s="140" t="inlineStr">
        <is>
          <t>Термометр биметаллический</t>
        </is>
      </c>
      <c r="C259" s="140" t="inlineStr">
        <is>
          <t>ТБ-2УХЛ2</t>
        </is>
      </c>
      <c r="D259" s="141" t="inlineStr">
        <is>
          <t>3744</t>
        </is>
      </c>
      <c r="E259" s="140" t="n"/>
      <c r="F259" s="140" t="inlineStr">
        <is>
          <t>0...150°С</t>
        </is>
      </c>
      <c r="G259" s="140" t="n">
        <v>1.5</v>
      </c>
      <c r="H259" s="140" t="inlineStr">
        <is>
          <t>Метрическая</t>
        </is>
      </c>
      <c r="I259" s="140" t="n">
        <v>24</v>
      </c>
      <c r="J259" s="140" t="inlineStr">
        <is>
          <t>1К24</t>
        </is>
      </c>
      <c r="K259" s="140" t="inlineStr">
        <is>
          <t>Осевой L=80мм</t>
        </is>
      </c>
    </row>
    <row r="260">
      <c r="A260" s="140">
        <f>IF(B260&lt;&gt;"", COUNTA($B$2:B260), "")</f>
        <v/>
      </c>
      <c r="B260" s="140" t="inlineStr">
        <is>
          <t>Термометр биметаллический</t>
        </is>
      </c>
      <c r="C260" s="140" t="inlineStr">
        <is>
          <t>ТБ-2УХЛ2</t>
        </is>
      </c>
      <c r="D260" s="141" t="inlineStr">
        <is>
          <t>3748</t>
        </is>
      </c>
      <c r="E260" s="140" t="n"/>
      <c r="F260" s="140" t="inlineStr">
        <is>
          <t>0...150°С</t>
        </is>
      </c>
      <c r="G260" s="140" t="n">
        <v>1.5</v>
      </c>
      <c r="H260" s="140" t="inlineStr">
        <is>
          <t>Метрическая</t>
        </is>
      </c>
      <c r="I260" s="140" t="n">
        <v>24</v>
      </c>
      <c r="J260" s="140" t="inlineStr">
        <is>
          <t>2К24</t>
        </is>
      </c>
      <c r="K260" s="140" t="inlineStr">
        <is>
          <t>Осевой L=80мм</t>
        </is>
      </c>
    </row>
    <row r="261">
      <c r="A261" s="140">
        <f>IF(B261&lt;&gt;"", COUNTA($B$2:B261), "")</f>
        <v/>
      </c>
      <c r="B261" s="140" t="inlineStr">
        <is>
          <t>Термометр биметаллический</t>
        </is>
      </c>
      <c r="C261" s="140" t="inlineStr">
        <is>
          <t>ТБ-2</t>
        </is>
      </c>
      <c r="D261" s="141" t="inlineStr">
        <is>
          <t>2989</t>
        </is>
      </c>
      <c r="E261" s="140" t="n">
        <v>2012</v>
      </c>
      <c r="F261" s="140" t="inlineStr">
        <is>
          <t>0...120°С</t>
        </is>
      </c>
      <c r="G261" s="140" t="n">
        <v>1</v>
      </c>
      <c r="H261" s="140" t="inlineStr">
        <is>
          <t>Метрическая</t>
        </is>
      </c>
      <c r="I261" s="140" t="n">
        <v>24</v>
      </c>
      <c r="J261" s="140" t="inlineStr">
        <is>
          <t>1К24</t>
        </is>
      </c>
      <c r="K261" s="140" t="inlineStr">
        <is>
          <t>Осевой L=80мм</t>
        </is>
      </c>
    </row>
    <row r="262">
      <c r="A262" s="140">
        <f>IF(B262&lt;&gt;"", COUNTA($B$2:B262), "")</f>
        <v/>
      </c>
      <c r="B262" s="140" t="inlineStr">
        <is>
          <t>Термометр биметаллический</t>
        </is>
      </c>
      <c r="C262" s="140" t="inlineStr">
        <is>
          <t>ТБ-1</t>
        </is>
      </c>
      <c r="D262" s="141" t="inlineStr">
        <is>
          <t>2118</t>
        </is>
      </c>
      <c r="E262" s="140" t="n"/>
      <c r="F262" s="148" t="inlineStr">
        <is>
          <t>-50...50°С</t>
        </is>
      </c>
      <c r="G262" s="140" t="n">
        <v>1.5</v>
      </c>
      <c r="H262" s="140" t="inlineStr">
        <is>
          <t>Метрическая</t>
        </is>
      </c>
      <c r="I262" s="140" t="n">
        <v>24</v>
      </c>
      <c r="J262" s="140" t="inlineStr">
        <is>
          <t>2К24</t>
        </is>
      </c>
      <c r="K262" s="140" t="inlineStr">
        <is>
          <t>Осевой L=125мм</t>
        </is>
      </c>
    </row>
    <row r="263">
      <c r="A263" s="140">
        <f>IF(B263&lt;&gt;"", COUNTA($B$2:B263), "")</f>
        <v/>
      </c>
      <c r="B263" s="140" t="inlineStr">
        <is>
          <t>Термометр биметаллический</t>
        </is>
      </c>
      <c r="C263" s="140" t="inlineStr">
        <is>
          <t>Manotherm</t>
        </is>
      </c>
      <c r="D263" s="141" t="n">
        <v>112001890</v>
      </c>
      <c r="E263" s="140" t="n"/>
      <c r="F263" s="140" t="inlineStr">
        <is>
          <t>0...200°С</t>
        </is>
      </c>
      <c r="G263" s="140" t="n">
        <v>1</v>
      </c>
      <c r="H263" s="140" t="inlineStr">
        <is>
          <t>Метрическая</t>
        </is>
      </c>
      <c r="I263" s="140" t="n">
        <v>24</v>
      </c>
      <c r="J263" s="140" t="inlineStr">
        <is>
          <t>2К24</t>
        </is>
      </c>
      <c r="K263" s="140" t="inlineStr">
        <is>
          <t>Радиальный L=70мм</t>
        </is>
      </c>
    </row>
    <row r="264">
      <c r="A264" s="140">
        <f>IF(B264&lt;&gt;"", COUNTA($B$2:B264), "")</f>
        <v/>
      </c>
      <c r="B264" s="140" t="inlineStr">
        <is>
          <t>Термометр биметаллический</t>
        </is>
      </c>
      <c r="C264" s="140" t="inlineStr">
        <is>
          <t>Manotherm</t>
        </is>
      </c>
      <c r="D264" s="141" t="n">
        <v>112001889</v>
      </c>
      <c r="E264" s="140" t="n"/>
      <c r="F264" s="140" t="inlineStr">
        <is>
          <t>0...200°С</t>
        </is>
      </c>
      <c r="G264" s="140" t="n">
        <v>1</v>
      </c>
      <c r="H264" s="140" t="inlineStr">
        <is>
          <t>Метрическая</t>
        </is>
      </c>
      <c r="I264" s="140" t="n">
        <v>24</v>
      </c>
      <c r="J264" s="140" t="inlineStr">
        <is>
          <t>2К24</t>
        </is>
      </c>
      <c r="K264" s="140" t="inlineStr">
        <is>
          <t>Радиальный L=70мм</t>
        </is>
      </c>
    </row>
    <row r="265">
      <c r="A265" s="140">
        <f>IF(B265&lt;&gt;"", COUNTA($B$2:B265), "")</f>
        <v/>
      </c>
      <c r="B265" s="140" t="inlineStr">
        <is>
          <t>Термометр биметаллический</t>
        </is>
      </c>
      <c r="C265" s="140" t="inlineStr">
        <is>
          <t>Manotherm</t>
        </is>
      </c>
      <c r="D265" s="141" t="n">
        <v>112001894</v>
      </c>
      <c r="E265" s="140" t="n"/>
      <c r="F265" s="140" t="inlineStr">
        <is>
          <t>0...200°С</t>
        </is>
      </c>
      <c r="G265" s="140" t="n">
        <v>1</v>
      </c>
      <c r="H265" s="140" t="inlineStr">
        <is>
          <t>Метрическая</t>
        </is>
      </c>
      <c r="I265" s="140" t="n">
        <v>24</v>
      </c>
      <c r="J265" s="140" t="inlineStr">
        <is>
          <t>2К24</t>
        </is>
      </c>
      <c r="K265" s="140" t="inlineStr">
        <is>
          <t>Радиальный L=70мм</t>
        </is>
      </c>
    </row>
    <row r="266">
      <c r="A266" s="140">
        <f>IF(B266&lt;&gt;"", COUNTA($B$2:B266), "")</f>
        <v/>
      </c>
      <c r="B266" s="140" t="inlineStr">
        <is>
          <t>Термометр биметаллический</t>
        </is>
      </c>
      <c r="C266" s="140" t="inlineStr">
        <is>
          <t>ТБ-2Р</t>
        </is>
      </c>
      <c r="D266" s="141" t="n">
        <v>6557</v>
      </c>
      <c r="E266" s="140" t="n"/>
      <c r="F266" s="140" t="inlineStr">
        <is>
          <t>0...120°С</t>
        </is>
      </c>
      <c r="G266" s="140" t="n">
        <v>1</v>
      </c>
      <c r="H266" s="140" t="inlineStr">
        <is>
          <t>Метрическая</t>
        </is>
      </c>
      <c r="I266" s="140" t="n">
        <v>24</v>
      </c>
      <c r="J266" s="140" t="inlineStr">
        <is>
          <t>2К24</t>
        </is>
      </c>
      <c r="K266" s="140" t="inlineStr">
        <is>
          <t>Радиальный L=100мм</t>
        </is>
      </c>
    </row>
    <row r="267">
      <c r="A267" s="140">
        <f>IF(B267&lt;&gt;"", COUNTA($B$2:B267), "")</f>
        <v/>
      </c>
      <c r="B267" s="140" t="inlineStr">
        <is>
          <t>Термометр биметаллический</t>
        </is>
      </c>
      <c r="C267" s="140" t="inlineStr">
        <is>
          <t>ТБ-2Р</t>
        </is>
      </c>
      <c r="D267" s="141" t="n">
        <v>9450</v>
      </c>
      <c r="E267" s="140" t="n"/>
      <c r="F267" s="140" t="inlineStr">
        <is>
          <t>0...150°С</t>
        </is>
      </c>
      <c r="G267" s="140" t="n">
        <v>1</v>
      </c>
      <c r="H267" s="140" t="inlineStr">
        <is>
          <t>Метрическая</t>
        </is>
      </c>
      <c r="I267" s="140" t="n">
        <v>24</v>
      </c>
      <c r="J267" s="140" t="inlineStr">
        <is>
          <t>2К24</t>
        </is>
      </c>
      <c r="K267" s="140" t="inlineStr">
        <is>
          <t>Радиальный L=125мм</t>
        </is>
      </c>
    </row>
    <row r="268">
      <c r="A268" s="140">
        <f>IF(B268&lt;&gt;"", COUNTA($B$2:B268), "")</f>
        <v/>
      </c>
      <c r="B268" s="140" t="inlineStr">
        <is>
          <t>Термометр биметаллический</t>
        </is>
      </c>
      <c r="C268" s="140" t="inlineStr">
        <is>
          <t>ТБ-2Р</t>
        </is>
      </c>
      <c r="D268" s="141" t="n">
        <v>725</v>
      </c>
      <c r="E268" s="140" t="n"/>
      <c r="F268" s="148" t="inlineStr">
        <is>
          <t>-20...40°С</t>
        </is>
      </c>
      <c r="G268" s="140" t="n">
        <v>1</v>
      </c>
      <c r="H268" s="140" t="inlineStr">
        <is>
          <t>Метрическая</t>
        </is>
      </c>
      <c r="I268" s="140" t="n">
        <v>24</v>
      </c>
      <c r="J268" s="140" t="inlineStr">
        <is>
          <t>2К24</t>
        </is>
      </c>
      <c r="K268" s="140" t="inlineStr">
        <is>
          <t>Радиальный L=125мм</t>
        </is>
      </c>
    </row>
    <row r="269">
      <c r="A269" s="140">
        <f>IF(B269&lt;&gt;"", COUNTA($B$2:B269), "")</f>
        <v/>
      </c>
      <c r="B269" s="140" t="inlineStr">
        <is>
          <t>Термометр биметаллический</t>
        </is>
      </c>
      <c r="C269" s="140" t="inlineStr">
        <is>
          <t>ТБ-2Р</t>
        </is>
      </c>
      <c r="D269" s="141" t="n">
        <v>6593</v>
      </c>
      <c r="E269" s="140" t="n"/>
      <c r="F269" s="140" t="inlineStr">
        <is>
          <t>0...120°С</t>
        </is>
      </c>
      <c r="G269" s="140" t="n">
        <v>1</v>
      </c>
      <c r="H269" s="140" t="inlineStr">
        <is>
          <t>Метрическая</t>
        </is>
      </c>
      <c r="I269" s="140" t="n">
        <v>24</v>
      </c>
      <c r="J269" s="140" t="inlineStr">
        <is>
          <t>2К24</t>
        </is>
      </c>
      <c r="K269" s="140" t="inlineStr">
        <is>
          <t>Радиальный L=80мм</t>
        </is>
      </c>
    </row>
    <row r="270">
      <c r="A270" s="140">
        <f>IF(B270&lt;&gt;"", COUNTA($B$2:B270), "")</f>
        <v/>
      </c>
      <c r="B270" s="140" t="inlineStr">
        <is>
          <t>Термометр биметаллический</t>
        </is>
      </c>
      <c r="C270" s="140" t="inlineStr">
        <is>
          <t>ТБ-2</t>
        </is>
      </c>
      <c r="D270" s="141" t="n">
        <v>5797</v>
      </c>
      <c r="E270" s="140" t="n"/>
      <c r="F270" s="140" t="inlineStr">
        <is>
          <t>0...150°С</t>
        </is>
      </c>
      <c r="G270" s="140" t="n">
        <v>1</v>
      </c>
      <c r="H270" s="140" t="inlineStr">
        <is>
          <t>Метрическая</t>
        </is>
      </c>
      <c r="I270" s="140" t="n">
        <v>24</v>
      </c>
      <c r="J270" s="140" t="inlineStr">
        <is>
          <t>2К24</t>
        </is>
      </c>
      <c r="K270" s="140" t="inlineStr">
        <is>
          <t>Радиальный L=80мм</t>
        </is>
      </c>
    </row>
    <row r="271">
      <c r="A271" s="140">
        <f>IF(B271&lt;&gt;"", COUNTA($B$2:B271), "")</f>
        <v/>
      </c>
      <c r="B271" s="140" t="inlineStr">
        <is>
          <t>Термометр биметаллический</t>
        </is>
      </c>
      <c r="C271" s="140" t="inlineStr">
        <is>
          <t>ТБ-2УХЛ2</t>
        </is>
      </c>
      <c r="D271" s="141" t="n">
        <v>7598</v>
      </c>
      <c r="E271" s="140" t="n"/>
      <c r="F271" s="148" t="inlineStr">
        <is>
          <t>-50...150°С</t>
        </is>
      </c>
      <c r="G271" s="140" t="n">
        <v>1.5</v>
      </c>
      <c r="H271" s="140" t="inlineStr">
        <is>
          <t>Метрическая</t>
        </is>
      </c>
      <c r="I271" s="140" t="n">
        <v>24</v>
      </c>
      <c r="J271" s="140" t="inlineStr">
        <is>
          <t>2К24</t>
        </is>
      </c>
      <c r="K271" s="140" t="inlineStr">
        <is>
          <t>Осевой L=80мм</t>
        </is>
      </c>
    </row>
    <row r="272">
      <c r="A272" s="140">
        <f>IF(B272&lt;&gt;"", COUNTA($B$2:B272), "")</f>
        <v/>
      </c>
      <c r="B272" s="140" t="inlineStr">
        <is>
          <t>Термометр биметаллический</t>
        </is>
      </c>
      <c r="C272" s="140" t="inlineStr">
        <is>
          <t>ТБ-2</t>
        </is>
      </c>
      <c r="D272" s="141" t="n">
        <v>9645</v>
      </c>
      <c r="E272" s="140" t="n"/>
      <c r="F272" s="140" t="inlineStr">
        <is>
          <t>0...150°С</t>
        </is>
      </c>
      <c r="G272" s="140" t="n">
        <v>1</v>
      </c>
      <c r="H272" s="140" t="inlineStr">
        <is>
          <t>Метрическая</t>
        </is>
      </c>
      <c r="I272" s="140" t="n">
        <v>24</v>
      </c>
      <c r="J272" s="140" t="inlineStr">
        <is>
          <t>2К24</t>
        </is>
      </c>
      <c r="K272" s="140" t="inlineStr">
        <is>
          <t>Осевой L=250мм</t>
        </is>
      </c>
    </row>
    <row r="273">
      <c r="A273" s="140">
        <f>IF(B273&lt;&gt;"", COUNTA($B$2:B273), "")</f>
        <v/>
      </c>
      <c r="B273" s="140" t="inlineStr">
        <is>
          <t>Термометр биметаллический</t>
        </is>
      </c>
      <c r="C273" s="140" t="inlineStr">
        <is>
          <t>ТБ-2</t>
        </is>
      </c>
      <c r="D273" s="141" t="n">
        <v>8960</v>
      </c>
      <c r="E273" s="140" t="n"/>
      <c r="F273" s="140" t="inlineStr">
        <is>
          <t>0...100°С</t>
        </is>
      </c>
      <c r="G273" s="140" t="n">
        <v>1.5</v>
      </c>
      <c r="H273" s="140" t="inlineStr">
        <is>
          <t>Метрическая</t>
        </is>
      </c>
      <c r="I273" s="140" t="n">
        <v>24</v>
      </c>
      <c r="J273" s="140" t="inlineStr">
        <is>
          <t>2К24</t>
        </is>
      </c>
      <c r="K273" s="140" t="inlineStr">
        <is>
          <t>Радиальный L=80мм</t>
        </is>
      </c>
    </row>
    <row r="274">
      <c r="A274" s="140">
        <f>IF(B274&lt;&gt;"", COUNTA($B$2:B274), "")</f>
        <v/>
      </c>
      <c r="B274" s="140" t="inlineStr">
        <is>
          <t>Термометр биметаллический</t>
        </is>
      </c>
      <c r="C274" s="140" t="inlineStr">
        <is>
          <t>ТБ-2Р</t>
        </is>
      </c>
      <c r="D274" s="141" t="n">
        <v>6553</v>
      </c>
      <c r="E274" s="140" t="n"/>
      <c r="F274" s="140" t="inlineStr">
        <is>
          <t>0...120°С</t>
        </is>
      </c>
      <c r="G274" s="140" t="n">
        <v>1</v>
      </c>
      <c r="H274" s="140" t="inlineStr">
        <is>
          <t>Метрическая</t>
        </is>
      </c>
      <c r="I274" s="140" t="n">
        <v>24</v>
      </c>
      <c r="J274" s="140" t="inlineStr">
        <is>
          <t>2К24</t>
        </is>
      </c>
      <c r="K274" s="140" t="inlineStr">
        <is>
          <t>Радиальный L=100мм</t>
        </is>
      </c>
    </row>
    <row r="275">
      <c r="A275" s="140">
        <f>IF(B275&lt;&gt;"", COUNTA($B$2:B275), "")</f>
        <v/>
      </c>
      <c r="B275" s="140" t="inlineStr">
        <is>
          <t>Термометр биметаллический</t>
        </is>
      </c>
      <c r="C275" s="140" t="inlineStr">
        <is>
          <t>ТБ-2РУХЛ2</t>
        </is>
      </c>
      <c r="D275" s="141" t="n">
        <v>7315</v>
      </c>
      <c r="E275" s="140" t="n"/>
      <c r="F275" s="140" t="inlineStr">
        <is>
          <t>0...100°С</t>
        </is>
      </c>
      <c r="G275" s="140" t="n">
        <v>1.5</v>
      </c>
      <c r="H275" s="140" t="inlineStr">
        <is>
          <t>Метрическая</t>
        </is>
      </c>
      <c r="I275" s="140" t="n">
        <v>24</v>
      </c>
      <c r="J275" s="140" t="inlineStr">
        <is>
          <t>2К24</t>
        </is>
      </c>
      <c r="K275" s="140" t="inlineStr">
        <is>
          <t>Радиальный L=100мм</t>
        </is>
      </c>
    </row>
    <row r="276">
      <c r="A276" s="140">
        <f>IF(B276&lt;&gt;"", COUNTA($B$2:B276), "")</f>
        <v/>
      </c>
      <c r="B276" s="140" t="inlineStr">
        <is>
          <t>Термометр биметаллический</t>
        </is>
      </c>
      <c r="C276" s="140" t="inlineStr">
        <is>
          <t>ТБ-1Р</t>
        </is>
      </c>
      <c r="D276" s="141" t="n">
        <v>1289</v>
      </c>
      <c r="E276" s="140" t="n"/>
      <c r="F276" s="140" t="inlineStr">
        <is>
          <t>0...150°С</t>
        </is>
      </c>
      <c r="G276" s="140" t="n">
        <v>1.5</v>
      </c>
      <c r="H276" s="140" t="inlineStr">
        <is>
          <t>Метрическая</t>
        </is>
      </c>
      <c r="I276" s="140" t="n">
        <v>24</v>
      </c>
      <c r="J276" s="140" t="inlineStr">
        <is>
          <t>2К24</t>
        </is>
      </c>
      <c r="K276" s="140" t="inlineStr">
        <is>
          <t>Радиальный L=125мм</t>
        </is>
      </c>
    </row>
    <row r="277">
      <c r="A277" s="140">
        <f>IF(B277&lt;&gt;"", COUNTA($B$2:B277), "")</f>
        <v/>
      </c>
      <c r="B277" s="140" t="inlineStr">
        <is>
          <t>Термометр биметаллический</t>
        </is>
      </c>
      <c r="C277" s="140" t="inlineStr">
        <is>
          <t>ТБ-2</t>
        </is>
      </c>
      <c r="D277" s="141" t="n">
        <v>5212</v>
      </c>
      <c r="E277" s="140" t="n"/>
      <c r="F277" s="140" t="inlineStr">
        <is>
          <t>0...150°С</t>
        </is>
      </c>
      <c r="G277" s="140" t="n">
        <v>1</v>
      </c>
      <c r="H277" s="140" t="inlineStr">
        <is>
          <t>Метрическая</t>
        </is>
      </c>
      <c r="I277" s="140" t="n">
        <v>24</v>
      </c>
      <c r="J277" s="140" t="inlineStr">
        <is>
          <t>2К24</t>
        </is>
      </c>
      <c r="K277" s="140" t="inlineStr">
        <is>
          <t>Осевой L=250мм</t>
        </is>
      </c>
    </row>
    <row r="278">
      <c r="A278" s="140">
        <f>IF(B278&lt;&gt;"", COUNTA($B$2:B278), "")</f>
        <v/>
      </c>
      <c r="B278" s="140" t="inlineStr">
        <is>
          <t>Термометр биметаллический</t>
        </is>
      </c>
      <c r="C278" s="140" t="inlineStr">
        <is>
          <t>ТБ-2</t>
        </is>
      </c>
      <c r="D278" s="141" t="n">
        <v>3783</v>
      </c>
      <c r="E278" s="140" t="n"/>
      <c r="F278" s="140" t="inlineStr">
        <is>
          <t>0...200°С</t>
        </is>
      </c>
      <c r="G278" s="140" t="n">
        <v>1</v>
      </c>
      <c r="H278" s="140" t="inlineStr">
        <is>
          <t>Метрическая</t>
        </is>
      </c>
      <c r="I278" s="140" t="n">
        <v>24</v>
      </c>
      <c r="J278" s="140" t="inlineStr">
        <is>
          <t>2К24</t>
        </is>
      </c>
      <c r="K278" s="140" t="inlineStr">
        <is>
          <t>Радиальный L=100мм</t>
        </is>
      </c>
    </row>
    <row r="279">
      <c r="A279" s="140">
        <f>IF(B279&lt;&gt;"", COUNTA($B$2:B279), "")</f>
        <v/>
      </c>
      <c r="B279" s="140" t="inlineStr">
        <is>
          <t>Термометр биметаллический</t>
        </is>
      </c>
      <c r="C279" s="140" t="inlineStr">
        <is>
          <t>ТБ-2УХЛ2</t>
        </is>
      </c>
      <c r="D279" s="141" t="n">
        <v>737</v>
      </c>
      <c r="E279" s="140" t="n"/>
      <c r="F279" s="148" t="inlineStr">
        <is>
          <t>-50...150°С</t>
        </is>
      </c>
      <c r="G279" s="140" t="n">
        <v>1.5</v>
      </c>
      <c r="H279" s="140" t="inlineStr">
        <is>
          <t>Метрическая</t>
        </is>
      </c>
      <c r="I279" s="140" t="n">
        <v>24</v>
      </c>
      <c r="J279" s="140" t="inlineStr">
        <is>
          <t>2К24</t>
        </is>
      </c>
      <c r="K279" s="140" t="inlineStr">
        <is>
          <t>Осевой L=80мм</t>
        </is>
      </c>
    </row>
    <row r="280">
      <c r="A280" s="140">
        <f>IF(B280&lt;&gt;"", COUNTA($B$2:B280), "")</f>
        <v/>
      </c>
      <c r="B280" s="140" t="inlineStr">
        <is>
          <t>Термометр биметаллический</t>
        </is>
      </c>
      <c r="C280" s="140" t="inlineStr">
        <is>
          <t>ТБ-2УХЛ2</t>
        </is>
      </c>
      <c r="D280" s="141" t="n">
        <v>7575</v>
      </c>
      <c r="E280" s="140" t="n"/>
      <c r="F280" s="148" t="inlineStr">
        <is>
          <t>-50...150°С</t>
        </is>
      </c>
      <c r="G280" s="140" t="n">
        <v>1.5</v>
      </c>
      <c r="H280" s="140" t="inlineStr">
        <is>
          <t>Метрическая</t>
        </is>
      </c>
      <c r="I280" s="140" t="n">
        <v>24</v>
      </c>
      <c r="J280" s="140" t="inlineStr">
        <is>
          <t>2К24</t>
        </is>
      </c>
      <c r="K280" s="140" t="inlineStr">
        <is>
          <t>Осевой L=80мм</t>
        </is>
      </c>
    </row>
    <row r="281">
      <c r="A281" s="140">
        <f>IF(B281&lt;&gt;"", COUNTA($B$2:B281), "")</f>
        <v/>
      </c>
      <c r="B281" s="140" t="inlineStr">
        <is>
          <t>Термометр биметаллический</t>
        </is>
      </c>
      <c r="C281" s="140" t="inlineStr">
        <is>
          <t>ТБ-2УХЛ2</t>
        </is>
      </c>
      <c r="D281" s="141" t="n">
        <v>7468</v>
      </c>
      <c r="E281" s="140" t="n"/>
      <c r="F281" s="140" t="inlineStr">
        <is>
          <t>0...120°С</t>
        </is>
      </c>
      <c r="G281" s="140" t="n">
        <v>1.5</v>
      </c>
      <c r="H281" s="140" t="inlineStr">
        <is>
          <t>Метрическая</t>
        </is>
      </c>
      <c r="I281" s="140" t="n">
        <v>24</v>
      </c>
      <c r="J281" s="140" t="inlineStr">
        <is>
          <t>2К24</t>
        </is>
      </c>
      <c r="K281" s="140" t="inlineStr">
        <is>
          <t>Осевой L=80мм</t>
        </is>
      </c>
    </row>
    <row r="282">
      <c r="A282" s="140">
        <f>IF(B282&lt;&gt;"", COUNTA($B$2:B282), "")</f>
        <v/>
      </c>
      <c r="B282" s="140" t="inlineStr">
        <is>
          <t>Термометр биметаллический</t>
        </is>
      </c>
      <c r="C282" s="140" t="inlineStr">
        <is>
          <t>ТБ-1Р</t>
        </is>
      </c>
      <c r="D282" s="141" t="n">
        <v>684</v>
      </c>
      <c r="E282" s="140" t="n">
        <v>2018</v>
      </c>
      <c r="F282" s="140" t="inlineStr">
        <is>
          <t>0...150°С</t>
        </is>
      </c>
      <c r="G282" s="140" t="n">
        <v>1.5</v>
      </c>
      <c r="H282" s="140" t="inlineStr">
        <is>
          <t>Метрическая</t>
        </is>
      </c>
      <c r="I282" s="140" t="n">
        <v>24</v>
      </c>
      <c r="J282" s="140" t="inlineStr">
        <is>
          <t>2К24</t>
        </is>
      </c>
      <c r="K282" s="140" t="inlineStr">
        <is>
          <t>Радиальный L=125мм</t>
        </is>
      </c>
    </row>
    <row r="283">
      <c r="A283" s="140">
        <f>IF(B283&lt;&gt;"", COUNTA($B$2:B283), "")</f>
        <v/>
      </c>
      <c r="B283" s="140" t="inlineStr">
        <is>
          <t>Термометр биметаллический</t>
        </is>
      </c>
      <c r="C283" s="140" t="inlineStr">
        <is>
          <t>ТБ-2</t>
        </is>
      </c>
      <c r="D283" s="141" t="n">
        <v>5971</v>
      </c>
      <c r="E283" s="140" t="n"/>
      <c r="F283" s="140" t="inlineStr">
        <is>
          <t>0...120°С</t>
        </is>
      </c>
      <c r="G283" s="140" t="n">
        <v>1</v>
      </c>
      <c r="H283" s="140" t="inlineStr">
        <is>
          <t>Метрическая</t>
        </is>
      </c>
      <c r="I283" s="140" t="n">
        <v>24</v>
      </c>
      <c r="J283" s="140" t="inlineStr">
        <is>
          <t>1К24</t>
        </is>
      </c>
      <c r="K283" s="140" t="inlineStr">
        <is>
          <t>Осевой L=80мм</t>
        </is>
      </c>
    </row>
    <row r="284">
      <c r="A284" s="140">
        <f>IF(B284&lt;&gt;"", COUNTA($B$2:B284), "")</f>
        <v/>
      </c>
      <c r="B284" s="140" t="inlineStr">
        <is>
          <t>Термометр биметаллический</t>
        </is>
      </c>
      <c r="C284" s="140" t="inlineStr">
        <is>
          <t>ТБ-2УХЛ2</t>
        </is>
      </c>
      <c r="D284" s="141" t="n">
        <v>704</v>
      </c>
      <c r="E284" s="140" t="n"/>
      <c r="F284" s="148" t="inlineStr">
        <is>
          <t>-50...150°С</t>
        </is>
      </c>
      <c r="G284" s="140" t="n">
        <v>1.5</v>
      </c>
      <c r="H284" s="140" t="inlineStr">
        <is>
          <t>Метрическая</t>
        </is>
      </c>
      <c r="I284" s="140" t="n">
        <v>24</v>
      </c>
      <c r="J284" s="140" t="inlineStr">
        <is>
          <t>2К24</t>
        </is>
      </c>
      <c r="K284" s="140" t="inlineStr">
        <is>
          <t>Осевой L=80мм</t>
        </is>
      </c>
    </row>
    <row r="285">
      <c r="A285" s="140">
        <f>IF(B285&lt;&gt;"", COUNTA($B$2:B285), "")</f>
        <v/>
      </c>
      <c r="B285" s="140" t="inlineStr">
        <is>
          <t>Термометр биметаллический</t>
        </is>
      </c>
      <c r="C285" s="140" t="inlineStr">
        <is>
          <t>ТБ-2УХЛ2</t>
        </is>
      </c>
      <c r="D285" s="141" t="n">
        <v>1635</v>
      </c>
      <c r="E285" s="140" t="n"/>
      <c r="F285" s="148" t="inlineStr">
        <is>
          <t>-30…60°С</t>
        </is>
      </c>
      <c r="G285" s="140" t="n">
        <v>1</v>
      </c>
      <c r="H285" s="140" t="inlineStr">
        <is>
          <t>Метрическая</t>
        </is>
      </c>
      <c r="I285" s="140" t="n">
        <v>24</v>
      </c>
      <c r="J285" s="140" t="inlineStr">
        <is>
          <t>1К24</t>
        </is>
      </c>
      <c r="K285" s="140" t="inlineStr">
        <is>
          <t>Осевой L=80мм</t>
        </is>
      </c>
    </row>
    <row r="286">
      <c r="A286" s="140">
        <f>IF(B286&lt;&gt;"", COUNTA($B$2:B286), "")</f>
        <v/>
      </c>
      <c r="B286" s="140" t="inlineStr">
        <is>
          <t>Термометр биметаллический</t>
        </is>
      </c>
      <c r="C286" s="140" t="inlineStr">
        <is>
          <t>ТБ-2УХЛ2</t>
        </is>
      </c>
      <c r="D286" s="141" t="n">
        <v>3432</v>
      </c>
      <c r="E286" s="140" t="n"/>
      <c r="F286" s="148" t="inlineStr">
        <is>
          <t>-30…60°С</t>
        </is>
      </c>
      <c r="G286" s="140" t="n">
        <v>1</v>
      </c>
      <c r="H286" s="140" t="inlineStr">
        <is>
          <t>Метрическая</t>
        </is>
      </c>
      <c r="I286" s="140" t="n">
        <v>24</v>
      </c>
      <c r="J286" s="140" t="inlineStr">
        <is>
          <t>1К24</t>
        </is>
      </c>
      <c r="K286" s="140" t="inlineStr">
        <is>
          <t>Осевой L=80мм</t>
        </is>
      </c>
    </row>
    <row r="287">
      <c r="A287" s="140">
        <f>IF(B287&lt;&gt;"", COUNTA($B$2:B287), "")</f>
        <v/>
      </c>
      <c r="B287" s="140" t="inlineStr">
        <is>
          <t>Термометр биметаллический</t>
        </is>
      </c>
      <c r="C287" s="140" t="inlineStr">
        <is>
          <t>ТБ-2</t>
        </is>
      </c>
      <c r="D287" s="141" t="n">
        <v>3047</v>
      </c>
      <c r="E287" s="140" t="n"/>
      <c r="F287" s="140" t="inlineStr">
        <is>
          <t>0...120°С</t>
        </is>
      </c>
      <c r="G287" s="140" t="n">
        <v>1</v>
      </c>
      <c r="H287" s="140" t="inlineStr">
        <is>
          <t>Метрическая</t>
        </is>
      </c>
      <c r="I287" s="140" t="n">
        <v>24</v>
      </c>
      <c r="J287" s="140" t="inlineStr">
        <is>
          <t>1К24</t>
        </is>
      </c>
      <c r="K287" s="140" t="inlineStr">
        <is>
          <t>Осевой L=80мм</t>
        </is>
      </c>
    </row>
    <row r="288">
      <c r="A288" s="140">
        <f>IF(B288&lt;&gt;"", COUNTA($B$2:B288), "")</f>
        <v/>
      </c>
      <c r="B288" s="140" t="inlineStr">
        <is>
          <t>Термометр биметаллический</t>
        </is>
      </c>
      <c r="C288" s="140" t="inlineStr">
        <is>
          <t>ТБ-2УХЛ2</t>
        </is>
      </c>
      <c r="D288" s="141" t="n">
        <v>7574</v>
      </c>
      <c r="E288" s="140" t="n"/>
      <c r="F288" s="148" t="inlineStr">
        <is>
          <t>-50...150°С</t>
        </is>
      </c>
      <c r="G288" s="140" t="n">
        <v>1.5</v>
      </c>
      <c r="H288" s="140" t="inlineStr">
        <is>
          <t>Метрическая</t>
        </is>
      </c>
      <c r="I288" s="140" t="n">
        <v>24</v>
      </c>
      <c r="J288" s="140" t="inlineStr">
        <is>
          <t>2К24</t>
        </is>
      </c>
      <c r="K288" s="140" t="inlineStr">
        <is>
          <t>Осевой L=80мм</t>
        </is>
      </c>
    </row>
    <row r="289">
      <c r="A289" s="140">
        <f>IF(B289&lt;&gt;"", COUNTA($B$2:B289), "")</f>
        <v/>
      </c>
      <c r="B289" s="140" t="inlineStr">
        <is>
          <t>Термометр биметаллический</t>
        </is>
      </c>
      <c r="C289" s="140" t="inlineStr">
        <is>
          <t>ТБ-2</t>
        </is>
      </c>
      <c r="D289" s="141" t="n">
        <v>5974</v>
      </c>
      <c r="E289" s="140" t="n"/>
      <c r="F289" s="140" t="inlineStr">
        <is>
          <t>0...120°С</t>
        </is>
      </c>
      <c r="G289" s="140" t="n">
        <v>1</v>
      </c>
      <c r="H289" s="140" t="inlineStr">
        <is>
          <t>Метрическая</t>
        </is>
      </c>
      <c r="I289" s="140" t="n">
        <v>24</v>
      </c>
      <c r="J289" s="140" t="inlineStr">
        <is>
          <t>1К24</t>
        </is>
      </c>
      <c r="K289" s="140" t="inlineStr">
        <is>
          <t>Осевой L=80мм</t>
        </is>
      </c>
    </row>
    <row r="290">
      <c r="A290" s="140">
        <f>IF(B290&lt;&gt;"", COUNTA($B$2:B290), "")</f>
        <v/>
      </c>
      <c r="B290" s="140" t="inlineStr">
        <is>
          <t>Термометр биметаллический</t>
        </is>
      </c>
      <c r="C290" s="140" t="inlineStr">
        <is>
          <t>ТБ-2УХЛ2</t>
        </is>
      </c>
      <c r="D290" s="141" t="n">
        <v>7576</v>
      </c>
      <c r="E290" s="140" t="n"/>
      <c r="F290" s="148" t="inlineStr">
        <is>
          <t>-50...150°С</t>
        </is>
      </c>
      <c r="G290" s="140" t="n">
        <v>1.5</v>
      </c>
      <c r="H290" s="140" t="inlineStr">
        <is>
          <t>Метрическая</t>
        </is>
      </c>
      <c r="I290" s="140" t="n">
        <v>24</v>
      </c>
      <c r="J290" s="140" t="inlineStr">
        <is>
          <t>2К24</t>
        </is>
      </c>
      <c r="K290" s="140" t="inlineStr">
        <is>
          <t>Осевой L=80мм</t>
        </is>
      </c>
    </row>
    <row r="298">
      <c r="F298" s="144" t="inlineStr">
        <is>
          <t> </t>
        </is>
      </c>
    </row>
  </sheetData>
  <conditionalFormatting sqref="J1">
    <cfRule type="expression" priority="2" dxfId="0">
      <formula>OR(AND(IF(VALUE(LEFT(TEXT($J1,"0"),1))&lt;=INT((MONTH(TODAY())+2)/3),1),IF(VALUE(RIGHT(TEXT($J1,"0"),2))+($I1/12)&lt;=VALUE(TEXT(TODAY(),"ГГ")),1),OR($K1="К",$K1="K", ,$K1="П")),IFERROR(AND(IF(INT((MONTH($J1)+2)/3)&lt;=INT((MONTH(TODAY())+2)/3),1),IF(VALUE(TEXT($J1,"ГГ"))+($I1/12)&lt;=VALUE(TEXT(TODAY(),"ГГ")),1),OR($K1="К",$K1="K",$K1="П")),0))</formula>
    </cfRule>
  </conditionalFormatting>
  <conditionalFormatting sqref="M84">
    <cfRule type="expression" priority="1" dxfId="0">
      <formula>OR(AND(IF(VALUE(LEFT(TEXT($M84,"0"),1))&lt;=INT((MONTH(TODAY())+2)/3),1),IF(VALUE(RIGHT(TEXT($M84,"0"),2))+($L84/12)&lt;=VALUE(TEXT(TODAY(),"ГГ")),1),OR($N84="К",$N84="K", ,$N84="П")),IFERROR(AND(IF(INT((MONTH($M84)+2)/3)&lt;=INT((MONTH(TODAY())+2)/3),1),IF(VALUE(TEXT($M84,"ГГ"))+($L84/12)&lt;=VALUE(TEXT(TODAY(),"ГГ")),1),OR($N84="К",$N84="K",$N84="П")),0))</formula>
    </cfRule>
  </conditionalFormatting>
  <pageMargins left="0.7" right="0.7" top="0.75" bottom="0.75" header="0.3" footer="0.3"/>
  <pageSetup orientation="portrait" paperSize="9"/>
</worksheet>
</file>

<file path=xl/worksheets/sheet22.xml><?xml version="1.0" encoding="utf-8"?>
<worksheet xmlns="http://schemas.openxmlformats.org/spreadsheetml/2006/main">
  <sheetPr codeName="Лист21">
    <outlinePr summaryBelow="1" summaryRight="1"/>
    <pageSetUpPr/>
  </sheetPr>
  <dimension ref="A1:O39"/>
  <sheetViews>
    <sheetView zoomScale="115" zoomScaleNormal="115" workbookViewId="0">
      <pane ySplit="1" topLeftCell="A26" activePane="bottomLeft" state="frozen"/>
      <selection pane="bottomLeft" activeCell="B44" sqref="B44"/>
    </sheetView>
  </sheetViews>
  <sheetFormatPr baseColWidth="8" defaultRowHeight="11.25"/>
  <cols>
    <col width="3.140625" bestFit="1" customWidth="1" style="144" min="1" max="1"/>
    <col width="21.85546875" bestFit="1" customWidth="1" style="144" min="2" max="2"/>
    <col width="10.42578125" bestFit="1" customWidth="1" style="144" min="3" max="3"/>
    <col width="8" bestFit="1" customWidth="1" style="144" min="4" max="4"/>
    <col width="6.5703125" bestFit="1" customWidth="1" style="144" min="5" max="5"/>
    <col width="11.42578125" bestFit="1" customWidth="1" style="144" min="6" max="6"/>
    <col width="7.42578125" bestFit="1" customWidth="1" style="144" min="7" max="7"/>
    <col width="10" bestFit="1" customWidth="1" style="144" min="8" max="8"/>
    <col width="9" bestFit="1" customWidth="1" style="144" min="9" max="9"/>
    <col width="8.85546875" bestFit="1" customWidth="1" style="144" min="10" max="10"/>
    <col width="9.28515625" bestFit="1" customWidth="1" style="144" min="11" max="11"/>
    <col width="9.140625" customWidth="1" style="108" min="12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Тип резьбы</t>
        </is>
      </c>
      <c r="I1" s="15" t="inlineStr">
        <is>
          <t>Межповерочный интервал, мес.</t>
        </is>
      </c>
      <c r="J1" s="15" t="inlineStr">
        <is>
          <t>Дата последней поверки / калибровки</t>
        </is>
      </c>
      <c r="K1" s="175" t="inlineStr">
        <is>
          <t>Ориентация штуцера</t>
        </is>
      </c>
    </row>
    <row r="2">
      <c r="A2" s="140">
        <f>IF(B2&lt;&gt;"", COUNTA($B$2:B2), "")</f>
        <v/>
      </c>
      <c r="B2" s="140" t="inlineStr">
        <is>
          <t>Манометр технический</t>
        </is>
      </c>
      <c r="C2" s="140" t="inlineStr">
        <is>
          <t>КМ2</t>
        </is>
      </c>
      <c r="D2" s="140" t="inlineStr">
        <is>
          <t>б/н</t>
        </is>
      </c>
      <c r="E2" s="140" t="n"/>
      <c r="F2" s="140" t="inlineStr">
        <is>
          <t>0…2,5 кПа</t>
        </is>
      </c>
      <c r="G2" s="140" t="n">
        <v>1.5</v>
      </c>
      <c r="H2" s="140" t="inlineStr">
        <is>
          <t>Метрическая</t>
        </is>
      </c>
      <c r="I2" s="140" t="n">
        <v>12</v>
      </c>
      <c r="J2" s="141" t="n"/>
      <c r="K2" s="140" t="inlineStr">
        <is>
          <t>Радиальный</t>
        </is>
      </c>
      <c r="M2" s="117" t="n"/>
    </row>
    <row r="3">
      <c r="A3" s="140">
        <f>IF(B3&lt;&gt;"", COUNTA($B$2:B3), "")</f>
        <v/>
      </c>
      <c r="B3" s="140" t="inlineStr">
        <is>
          <t>Манометр технический</t>
        </is>
      </c>
      <c r="C3" s="140" t="inlineStr">
        <is>
          <t>КМ2</t>
        </is>
      </c>
      <c r="D3" s="140" t="inlineStr">
        <is>
          <t>б/н</t>
        </is>
      </c>
      <c r="E3" s="140" t="n"/>
      <c r="F3" s="140" t="inlineStr">
        <is>
          <t>0…2,5 кПа</t>
        </is>
      </c>
      <c r="G3" s="140" t="n">
        <v>1.5</v>
      </c>
      <c r="H3" s="140" t="inlineStr">
        <is>
          <t>Метрическая</t>
        </is>
      </c>
      <c r="I3" s="140" t="n">
        <v>12</v>
      </c>
      <c r="J3" s="141" t="n"/>
      <c r="K3" s="140" t="inlineStr">
        <is>
          <t>Радиальный</t>
        </is>
      </c>
    </row>
    <row r="4">
      <c r="A4" s="140">
        <f>IF(B4&lt;&gt;"", COUNTA($B$2:B4), "")</f>
        <v/>
      </c>
      <c r="B4" s="140" t="inlineStr">
        <is>
          <t>Манометр технический</t>
        </is>
      </c>
      <c r="C4" s="140" t="inlineStr">
        <is>
          <t>КМ2</t>
        </is>
      </c>
      <c r="D4" s="140" t="inlineStr">
        <is>
          <t>б/н</t>
        </is>
      </c>
      <c r="E4" s="140" t="n"/>
      <c r="F4" s="140" t="inlineStr">
        <is>
          <t>0…2,5 кПа</t>
        </is>
      </c>
      <c r="G4" s="140" t="n">
        <v>1.5</v>
      </c>
      <c r="H4" s="140" t="inlineStr">
        <is>
          <t>Метрическая</t>
        </is>
      </c>
      <c r="I4" s="140" t="n">
        <v>12</v>
      </c>
      <c r="J4" s="141" t="n"/>
      <c r="K4" s="140" t="inlineStr">
        <is>
          <t>Радиальный</t>
        </is>
      </c>
    </row>
    <row r="5">
      <c r="A5" s="140">
        <f>IF(B5&lt;&gt;"", COUNTA($B$2:B5), "")</f>
        <v/>
      </c>
      <c r="B5" s="140" t="inlineStr">
        <is>
          <t>Манометр технический</t>
        </is>
      </c>
      <c r="C5" s="140" t="inlineStr">
        <is>
          <t>КМ2</t>
        </is>
      </c>
      <c r="D5" s="140" t="inlineStr">
        <is>
          <t>б/н</t>
        </is>
      </c>
      <c r="E5" s="140" t="n"/>
      <c r="F5" s="140" t="inlineStr">
        <is>
          <t>0…25 кПа</t>
        </is>
      </c>
      <c r="G5" s="140" t="n">
        <v>1.5</v>
      </c>
      <c r="H5" s="140" t="inlineStr">
        <is>
          <t>Метрическая</t>
        </is>
      </c>
      <c r="I5" s="140" t="n">
        <v>12</v>
      </c>
      <c r="J5" s="141" t="n"/>
      <c r="K5" s="140" t="inlineStr">
        <is>
          <t>Радиальный</t>
        </is>
      </c>
    </row>
    <row r="6">
      <c r="A6" s="140">
        <f>IF(B6&lt;&gt;"", COUNTA($B$2:B6), "")</f>
        <v/>
      </c>
      <c r="B6" s="140" t="inlineStr">
        <is>
          <t>Манометр технический</t>
        </is>
      </c>
      <c r="C6" s="140" t="inlineStr">
        <is>
          <t>КМ2</t>
        </is>
      </c>
      <c r="D6" s="140" t="inlineStr">
        <is>
          <t>б/н</t>
        </is>
      </c>
      <c r="E6" s="140" t="n"/>
      <c r="F6" s="140" t="inlineStr">
        <is>
          <t>0…25 кПа</t>
        </is>
      </c>
      <c r="G6" s="140" t="n">
        <v>1.5</v>
      </c>
      <c r="H6" s="140" t="inlineStr">
        <is>
          <t>Метрическая</t>
        </is>
      </c>
      <c r="I6" s="140" t="n">
        <v>12</v>
      </c>
      <c r="J6" s="141" t="n"/>
      <c r="K6" s="140" t="inlineStr">
        <is>
          <t>Радиальный</t>
        </is>
      </c>
    </row>
    <row r="7">
      <c r="A7" s="140">
        <f>IF(B7&lt;&gt;"", COUNTA($B$2:B7), "")</f>
        <v/>
      </c>
      <c r="B7" s="140" t="inlineStr">
        <is>
          <t>Манометр технический</t>
        </is>
      </c>
      <c r="C7" s="140" t="inlineStr">
        <is>
          <t>КМ2</t>
        </is>
      </c>
      <c r="D7" s="140" t="inlineStr">
        <is>
          <t>б/н</t>
        </is>
      </c>
      <c r="E7" s="140" t="n"/>
      <c r="F7" s="140" t="inlineStr">
        <is>
          <t>0…25 кПа</t>
        </is>
      </c>
      <c r="G7" s="140" t="n">
        <v>1.5</v>
      </c>
      <c r="H7" s="140" t="inlineStr">
        <is>
          <t>Метрическая</t>
        </is>
      </c>
      <c r="I7" s="140" t="n">
        <v>12</v>
      </c>
      <c r="J7" s="141" t="n"/>
      <c r="K7" s="140" t="inlineStr">
        <is>
          <t>Радиальный</t>
        </is>
      </c>
    </row>
    <row r="8">
      <c r="A8" s="140">
        <f>IF(B8&lt;&gt;"", COUNTA($B$2:B8), "")</f>
        <v/>
      </c>
      <c r="B8" s="140" t="inlineStr">
        <is>
          <t>Манометр технический</t>
        </is>
      </c>
      <c r="C8" s="140" t="inlineStr">
        <is>
          <t>ДМ8008-Вуф</t>
        </is>
      </c>
      <c r="D8" s="141" t="inlineStr">
        <is>
          <t>012869</t>
        </is>
      </c>
      <c r="E8" s="140" t="n"/>
      <c r="F8" s="140" t="inlineStr">
        <is>
          <t>0…600 кПа</t>
        </is>
      </c>
      <c r="G8" s="140" t="n">
        <v>1</v>
      </c>
      <c r="H8" s="140" t="inlineStr">
        <is>
          <t>Метрическая</t>
        </is>
      </c>
      <c r="I8" s="140" t="n">
        <v>12</v>
      </c>
      <c r="J8" s="141" t="inlineStr">
        <is>
          <t>01.2020</t>
        </is>
      </c>
      <c r="K8" s="140" t="inlineStr">
        <is>
          <t>Радиальный</t>
        </is>
      </c>
    </row>
    <row r="9">
      <c r="A9" s="140">
        <f>IF(B9&lt;&gt;"", COUNTA($B$2:B9), "")</f>
        <v/>
      </c>
      <c r="B9" s="140" t="inlineStr">
        <is>
          <t>Манометр технический</t>
        </is>
      </c>
      <c r="C9" s="140" t="inlineStr">
        <is>
          <t>ДМ8008-Вуф</t>
        </is>
      </c>
      <c r="D9" s="141" t="inlineStr">
        <is>
          <t>012849</t>
        </is>
      </c>
      <c r="E9" s="140" t="n"/>
      <c r="F9" s="140" t="inlineStr">
        <is>
          <t>0…600 кПа</t>
        </is>
      </c>
      <c r="G9" s="140" t="n">
        <v>1</v>
      </c>
      <c r="H9" s="140" t="inlineStr">
        <is>
          <t>Метрическая</t>
        </is>
      </c>
      <c r="I9" s="140" t="n">
        <v>12</v>
      </c>
      <c r="J9" s="141" t="inlineStr">
        <is>
          <t>01.2020</t>
        </is>
      </c>
      <c r="K9" s="140" t="inlineStr">
        <is>
          <t>Радиальный</t>
        </is>
      </c>
    </row>
    <row r="10">
      <c r="A10" s="140">
        <f>IF(B10&lt;&gt;"", COUNTA($B$2:B10), "")</f>
        <v/>
      </c>
      <c r="B10" s="140" t="inlineStr">
        <is>
          <t>Манометр технический</t>
        </is>
      </c>
      <c r="C10" s="140" t="inlineStr">
        <is>
          <t>ДМ8008-Вуф</t>
        </is>
      </c>
      <c r="D10" s="141" t="inlineStr">
        <is>
          <t>004887</t>
        </is>
      </c>
      <c r="E10" s="140" t="n"/>
      <c r="F10" s="140" t="inlineStr">
        <is>
          <t>0…600 кПа</t>
        </is>
      </c>
      <c r="G10" s="140" t="n">
        <v>1</v>
      </c>
      <c r="H10" s="140" t="inlineStr">
        <is>
          <t>Метрическая</t>
        </is>
      </c>
      <c r="I10" s="140" t="n">
        <v>12</v>
      </c>
      <c r="J10" s="141" t="inlineStr">
        <is>
          <t>01.2020</t>
        </is>
      </c>
      <c r="K10" s="140" t="inlineStr">
        <is>
          <t>Радиальный</t>
        </is>
      </c>
      <c r="O10" s="117" t="n"/>
    </row>
    <row r="11">
      <c r="A11" s="140">
        <f>IF(B11&lt;&gt;"", COUNTA($B$2:B11), "")</f>
        <v/>
      </c>
      <c r="B11" s="140" t="inlineStr">
        <is>
          <t>Манометр технический</t>
        </is>
      </c>
      <c r="C11" s="140" t="inlineStr">
        <is>
          <t>ДМ8008-Вуф</t>
        </is>
      </c>
      <c r="D11" s="141" t="inlineStr">
        <is>
          <t>012783</t>
        </is>
      </c>
      <c r="E11" s="140" t="n"/>
      <c r="F11" s="140" t="inlineStr">
        <is>
          <t>0…600 кПа</t>
        </is>
      </c>
      <c r="G11" s="140" t="n">
        <v>1</v>
      </c>
      <c r="H11" s="140" t="inlineStr">
        <is>
          <t>Метрическая</t>
        </is>
      </c>
      <c r="I11" s="140" t="n">
        <v>12</v>
      </c>
      <c r="J11" s="141" t="inlineStr">
        <is>
          <t>01.2020</t>
        </is>
      </c>
      <c r="K11" s="140" t="inlineStr">
        <is>
          <t>Радиальный</t>
        </is>
      </c>
    </row>
    <row r="12">
      <c r="A12" s="140">
        <f>IF(B12&lt;&gt;"", COUNTA($B$2:B12), "")</f>
        <v/>
      </c>
      <c r="B12" s="140" t="inlineStr">
        <is>
          <t>Манометр технический</t>
        </is>
      </c>
      <c r="C12" s="140" t="inlineStr">
        <is>
          <t>ДМ8008-Вуф</t>
        </is>
      </c>
      <c r="D12" s="141" t="inlineStr">
        <is>
          <t>012980</t>
        </is>
      </c>
      <c r="E12" s="140" t="n"/>
      <c r="F12" s="140" t="inlineStr">
        <is>
          <t>0…600 кПа</t>
        </is>
      </c>
      <c r="G12" s="140" t="n">
        <v>1</v>
      </c>
      <c r="H12" s="140" t="inlineStr">
        <is>
          <t>Метрическая</t>
        </is>
      </c>
      <c r="I12" s="140" t="n">
        <v>12</v>
      </c>
      <c r="J12" s="141" t="inlineStr">
        <is>
          <t>01.2020</t>
        </is>
      </c>
      <c r="K12" s="140" t="inlineStr">
        <is>
          <t>Радиальный</t>
        </is>
      </c>
    </row>
    <row r="13">
      <c r="A13" s="140">
        <f>IF(B13&lt;&gt;"", COUNTA($B$2:B13), "")</f>
        <v/>
      </c>
      <c r="B13" s="140" t="inlineStr">
        <is>
          <t>Манометр технический</t>
        </is>
      </c>
      <c r="C13" s="140" t="inlineStr">
        <is>
          <t>ДМ8008-Вуф</t>
        </is>
      </c>
      <c r="D13" s="141" t="inlineStr">
        <is>
          <t>012994</t>
        </is>
      </c>
      <c r="E13" s="140" t="n"/>
      <c r="F13" s="140" t="inlineStr">
        <is>
          <t>0…600 кПа</t>
        </is>
      </c>
      <c r="G13" s="140" t="n">
        <v>1</v>
      </c>
      <c r="H13" s="140" t="inlineStr">
        <is>
          <t>Метрическая</t>
        </is>
      </c>
      <c r="I13" s="140" t="n">
        <v>12</v>
      </c>
      <c r="J13" s="141" t="inlineStr">
        <is>
          <t>01.2020</t>
        </is>
      </c>
      <c r="K13" s="140" t="inlineStr">
        <is>
          <t>Радиальный</t>
        </is>
      </c>
    </row>
    <row r="14">
      <c r="A14" s="140">
        <f>IF(B14&lt;&gt;"", COUNTA($B$2:B14), "")</f>
        <v/>
      </c>
      <c r="B14" s="140" t="inlineStr">
        <is>
          <t>Манометр технический</t>
        </is>
      </c>
      <c r="C14" s="140" t="inlineStr">
        <is>
          <t>ДМ8008-Вуф</t>
        </is>
      </c>
      <c r="D14" s="141" t="inlineStr">
        <is>
          <t>004898</t>
        </is>
      </c>
      <c r="E14" s="140" t="n"/>
      <c r="F14" s="140" t="inlineStr">
        <is>
          <t>0…600 кПа</t>
        </is>
      </c>
      <c r="G14" s="140" t="n">
        <v>1</v>
      </c>
      <c r="H14" s="140" t="inlineStr">
        <is>
          <t>Метрическая</t>
        </is>
      </c>
      <c r="I14" s="140" t="n">
        <v>12</v>
      </c>
      <c r="J14" s="141" t="inlineStr">
        <is>
          <t>01.2020</t>
        </is>
      </c>
      <c r="K14" s="140" t="inlineStr">
        <is>
          <t>Радиальный</t>
        </is>
      </c>
    </row>
    <row r="15">
      <c r="A15" s="140">
        <f>IF(B15&lt;&gt;"", COUNTA($B$2:B15), "")</f>
        <v/>
      </c>
      <c r="B15" s="140" t="inlineStr">
        <is>
          <t>Манометр технический</t>
        </is>
      </c>
      <c r="C15" s="140" t="inlineStr">
        <is>
          <t>ДМ8008-Вуф</t>
        </is>
      </c>
      <c r="D15" s="141" t="inlineStr">
        <is>
          <t>005050</t>
        </is>
      </c>
      <c r="E15" s="140" t="n"/>
      <c r="F15" s="140" t="inlineStr">
        <is>
          <t>0…600 кПа</t>
        </is>
      </c>
      <c r="G15" s="140" t="n">
        <v>1</v>
      </c>
      <c r="H15" s="140" t="inlineStr">
        <is>
          <t>Метрическая</t>
        </is>
      </c>
      <c r="I15" s="140" t="n">
        <v>12</v>
      </c>
      <c r="J15" s="141" t="inlineStr">
        <is>
          <t>01.2020</t>
        </is>
      </c>
      <c r="K15" s="140" t="inlineStr">
        <is>
          <t>Радиальный</t>
        </is>
      </c>
    </row>
    <row r="16">
      <c r="A16" s="140">
        <f>IF(B16&lt;&gt;"", COUNTA($B$2:B16), "")</f>
        <v/>
      </c>
      <c r="B16" s="140" t="inlineStr">
        <is>
          <t>Манометр технический</t>
        </is>
      </c>
      <c r="C16" s="140" t="inlineStr">
        <is>
          <t>ДМ8008-Вуф</t>
        </is>
      </c>
      <c r="D16" s="141" t="inlineStr">
        <is>
          <t>012860</t>
        </is>
      </c>
      <c r="E16" s="140" t="n"/>
      <c r="F16" s="140" t="inlineStr">
        <is>
          <t>0…600 кПа</t>
        </is>
      </c>
      <c r="G16" s="140" t="n">
        <v>1</v>
      </c>
      <c r="H16" s="140" t="inlineStr">
        <is>
          <t>Метрическая</t>
        </is>
      </c>
      <c r="I16" s="140" t="n">
        <v>12</v>
      </c>
      <c r="J16" s="141" t="inlineStr">
        <is>
          <t>01.2020</t>
        </is>
      </c>
      <c r="K16" s="140" t="inlineStr">
        <is>
          <t>Радиальный</t>
        </is>
      </c>
    </row>
    <row r="17">
      <c r="A17" s="140">
        <f>IF(B17&lt;&gt;"", COUNTA($B$2:B17), "")</f>
        <v/>
      </c>
      <c r="B17" s="140" t="inlineStr">
        <is>
          <t>Манометр технический</t>
        </is>
      </c>
      <c r="C17" s="140" t="inlineStr">
        <is>
          <t>ДМ8008-Вуф</t>
        </is>
      </c>
      <c r="D17" s="141" t="inlineStr">
        <is>
          <t>005055</t>
        </is>
      </c>
      <c r="E17" s="140" t="n"/>
      <c r="F17" s="140" t="inlineStr">
        <is>
          <t>0…600 кПа</t>
        </is>
      </c>
      <c r="G17" s="140" t="n">
        <v>1</v>
      </c>
      <c r="H17" s="140" t="inlineStr">
        <is>
          <t>Метрическая</t>
        </is>
      </c>
      <c r="I17" s="140" t="n">
        <v>12</v>
      </c>
      <c r="J17" s="141" t="inlineStr">
        <is>
          <t>01.2020</t>
        </is>
      </c>
      <c r="K17" s="140" t="inlineStr">
        <is>
          <t>Радиальный</t>
        </is>
      </c>
    </row>
    <row r="18">
      <c r="A18" s="140">
        <f>IF(B18&lt;&gt;"", COUNTA($B$2:B18), "")</f>
        <v/>
      </c>
      <c r="B18" s="140" t="inlineStr">
        <is>
          <t>Манометр технический</t>
        </is>
      </c>
      <c r="C18" s="140" t="inlineStr">
        <is>
          <t>ДМ8008-Вуф</t>
        </is>
      </c>
      <c r="D18" s="141" t="inlineStr">
        <is>
          <t>004998</t>
        </is>
      </c>
      <c r="E18" s="140" t="n"/>
      <c r="F18" s="140" t="inlineStr">
        <is>
          <t>0…600 кПа</t>
        </is>
      </c>
      <c r="G18" s="140" t="n">
        <v>1</v>
      </c>
      <c r="H18" s="140" t="inlineStr">
        <is>
          <t>Метрическая</t>
        </is>
      </c>
      <c r="I18" s="140" t="n">
        <v>12</v>
      </c>
      <c r="J18" s="141" t="inlineStr">
        <is>
          <t>01.2020</t>
        </is>
      </c>
      <c r="K18" s="140" t="inlineStr">
        <is>
          <t>Радиальный</t>
        </is>
      </c>
    </row>
    <row r="19">
      <c r="A19" s="140">
        <f>IF(B19&lt;&gt;"", COUNTA($B$2:B19), "")</f>
        <v/>
      </c>
      <c r="B19" s="140" t="inlineStr">
        <is>
          <t>Манометр технический</t>
        </is>
      </c>
      <c r="C19" s="140" t="inlineStr">
        <is>
          <t>ДМ8008-Вуф</t>
        </is>
      </c>
      <c r="D19" s="141" t="inlineStr">
        <is>
          <t>013815</t>
        </is>
      </c>
      <c r="E19" s="140" t="n"/>
      <c r="F19" s="140" t="inlineStr">
        <is>
          <t>0…600 кПа</t>
        </is>
      </c>
      <c r="G19" s="140" t="n">
        <v>1</v>
      </c>
      <c r="H19" s="140" t="inlineStr">
        <is>
          <t>Метрическая</t>
        </is>
      </c>
      <c r="I19" s="140" t="n">
        <v>12</v>
      </c>
      <c r="J19" s="141" t="inlineStr">
        <is>
          <t>01.2020</t>
        </is>
      </c>
      <c r="K19" s="140" t="inlineStr">
        <is>
          <t>Радиальный</t>
        </is>
      </c>
    </row>
    <row r="20">
      <c r="A20" s="140">
        <f>IF(B20&lt;&gt;"", COUNTA($B$2:B20), "")</f>
        <v/>
      </c>
      <c r="B20" s="140" t="inlineStr">
        <is>
          <t>Манометр технический</t>
        </is>
      </c>
      <c r="C20" s="140" t="inlineStr">
        <is>
          <t>ДМ8008-Вуф</t>
        </is>
      </c>
      <c r="D20" s="141" t="inlineStr">
        <is>
          <t>005008</t>
        </is>
      </c>
      <c r="E20" s="140" t="n"/>
      <c r="F20" s="140" t="inlineStr">
        <is>
          <t>0…600 кПа</t>
        </is>
      </c>
      <c r="G20" s="140" t="n">
        <v>1</v>
      </c>
      <c r="H20" s="140" t="inlineStr">
        <is>
          <t>Метрическая</t>
        </is>
      </c>
      <c r="I20" s="140" t="n">
        <v>12</v>
      </c>
      <c r="J20" s="141" t="inlineStr">
        <is>
          <t>01.2020</t>
        </is>
      </c>
      <c r="K20" s="140" t="inlineStr">
        <is>
          <t>Радиальный</t>
        </is>
      </c>
    </row>
    <row r="21">
      <c r="A21" s="140">
        <f>IF(B21&lt;&gt;"", COUNTA($B$2:B21), "")</f>
        <v/>
      </c>
      <c r="B21" s="140" t="inlineStr">
        <is>
          <t>Манометр технический</t>
        </is>
      </c>
      <c r="C21" s="140" t="inlineStr">
        <is>
          <t>ДМ8008-Вуф</t>
        </is>
      </c>
      <c r="D21" s="141" t="inlineStr">
        <is>
          <t>004848</t>
        </is>
      </c>
      <c r="E21" s="140" t="n"/>
      <c r="F21" s="140" t="inlineStr">
        <is>
          <t>0…600 кПа</t>
        </is>
      </c>
      <c r="G21" s="140" t="n">
        <v>1</v>
      </c>
      <c r="H21" s="140" t="inlineStr">
        <is>
          <t>Метрическая</t>
        </is>
      </c>
      <c r="I21" s="140" t="n">
        <v>12</v>
      </c>
      <c r="J21" s="141" t="inlineStr">
        <is>
          <t>01.2020</t>
        </is>
      </c>
      <c r="K21" s="140" t="inlineStr">
        <is>
          <t>Радиальный</t>
        </is>
      </c>
    </row>
    <row r="22">
      <c r="A22" s="140">
        <f>IF(B22&lt;&gt;"", COUNTA($B$2:B22), "")</f>
        <v/>
      </c>
      <c r="B22" s="140" t="inlineStr">
        <is>
          <t>Манометр технический</t>
        </is>
      </c>
      <c r="C22" s="140" t="inlineStr">
        <is>
          <t>ДМ8008-Вуф</t>
        </is>
      </c>
      <c r="D22" s="141" t="inlineStr">
        <is>
          <t>012875</t>
        </is>
      </c>
      <c r="E22" s="140" t="n"/>
      <c r="F22" s="140" t="inlineStr">
        <is>
          <t>0…600 кПа</t>
        </is>
      </c>
      <c r="G22" s="140" t="n">
        <v>1</v>
      </c>
      <c r="H22" s="140" t="inlineStr">
        <is>
          <t>Метрическая</t>
        </is>
      </c>
      <c r="I22" s="140" t="n">
        <v>12</v>
      </c>
      <c r="J22" s="141" t="inlineStr">
        <is>
          <t>01.2020</t>
        </is>
      </c>
      <c r="K22" s="140" t="inlineStr">
        <is>
          <t>Радиальный</t>
        </is>
      </c>
    </row>
    <row r="23">
      <c r="A23" s="140">
        <f>IF(B23&lt;&gt;"", COUNTA($B$2:B23), "")</f>
        <v/>
      </c>
      <c r="B23" s="140" t="inlineStr">
        <is>
          <t>Манометр технический</t>
        </is>
      </c>
      <c r="C23" s="140" t="inlineStr">
        <is>
          <t>ДМ8008-Вуф</t>
        </is>
      </c>
      <c r="D23" s="141" t="inlineStr">
        <is>
          <t>012880</t>
        </is>
      </c>
      <c r="E23" s="140" t="n"/>
      <c r="F23" s="140" t="inlineStr">
        <is>
          <t>0…600 кПа</t>
        </is>
      </c>
      <c r="G23" s="140" t="n">
        <v>1</v>
      </c>
      <c r="H23" s="140" t="inlineStr">
        <is>
          <t>Метрическая</t>
        </is>
      </c>
      <c r="I23" s="140" t="n">
        <v>12</v>
      </c>
      <c r="J23" s="141" t="inlineStr">
        <is>
          <t>01.2020</t>
        </is>
      </c>
      <c r="K23" s="140" t="inlineStr">
        <is>
          <t>Радиальный</t>
        </is>
      </c>
    </row>
    <row r="24">
      <c r="A24" s="140">
        <f>IF(B24&lt;&gt;"", COUNTA($B$2:B24), "")</f>
        <v/>
      </c>
      <c r="B24" s="140" t="inlineStr">
        <is>
          <t>Манометр технический</t>
        </is>
      </c>
      <c r="C24" s="140" t="inlineStr">
        <is>
          <t>ДМ8008-Вуф</t>
        </is>
      </c>
      <c r="D24" s="141" t="inlineStr">
        <is>
          <t>013398</t>
        </is>
      </c>
      <c r="E24" s="140" t="n"/>
      <c r="F24" s="140" t="inlineStr">
        <is>
          <t>0…600 кПа</t>
        </is>
      </c>
      <c r="G24" s="140" t="n">
        <v>1</v>
      </c>
      <c r="H24" s="140" t="inlineStr">
        <is>
          <t>Метрическая</t>
        </is>
      </c>
      <c r="I24" s="140" t="n">
        <v>12</v>
      </c>
      <c r="J24" s="141" t="inlineStr">
        <is>
          <t>01.2020</t>
        </is>
      </c>
      <c r="K24" s="140" t="inlineStr">
        <is>
          <t>Радиальный</t>
        </is>
      </c>
    </row>
    <row r="25">
      <c r="A25" s="140">
        <f>IF(B25&lt;&gt;"", COUNTA($B$2:B25), "")</f>
        <v/>
      </c>
      <c r="B25" s="140" t="inlineStr">
        <is>
          <t>Манометр технический</t>
        </is>
      </c>
      <c r="C25" s="140" t="inlineStr">
        <is>
          <t>ДМ8008-Вуф</t>
        </is>
      </c>
      <c r="D25" s="141" t="inlineStr">
        <is>
          <t>012757</t>
        </is>
      </c>
      <c r="E25" s="140" t="n"/>
      <c r="F25" s="140" t="inlineStr">
        <is>
          <t>0…600 Кпа</t>
        </is>
      </c>
      <c r="G25" s="140" t="n">
        <v>1</v>
      </c>
      <c r="H25" s="140" t="inlineStr">
        <is>
          <t>Метрическая</t>
        </is>
      </c>
      <c r="I25" s="140" t="n">
        <v>12</v>
      </c>
      <c r="J25" s="141" t="inlineStr">
        <is>
          <t>01.2020</t>
        </is>
      </c>
      <c r="K25" s="140" t="inlineStr">
        <is>
          <t>Радиальный</t>
        </is>
      </c>
    </row>
    <row r="26">
      <c r="A26" s="140">
        <f>IF(B26&lt;&gt;"", COUNTA($B$2:B26), "")</f>
        <v/>
      </c>
      <c r="B26" s="140" t="inlineStr">
        <is>
          <t>Манометр технический</t>
        </is>
      </c>
      <c r="C26" s="140" t="inlineStr">
        <is>
          <t>ДМ8008-Вуф</t>
        </is>
      </c>
      <c r="D26" s="141" t="inlineStr">
        <is>
          <t>005029</t>
        </is>
      </c>
      <c r="E26" s="140" t="n"/>
      <c r="F26" s="140" t="inlineStr">
        <is>
          <t>0…600 кПа</t>
        </is>
      </c>
      <c r="G26" s="140" t="n">
        <v>1</v>
      </c>
      <c r="H26" s="140" t="inlineStr">
        <is>
          <t>Метрическая</t>
        </is>
      </c>
      <c r="I26" s="140" t="n">
        <v>12</v>
      </c>
      <c r="J26" s="141" t="inlineStr">
        <is>
          <t>01.2020</t>
        </is>
      </c>
      <c r="K26" s="140" t="inlineStr">
        <is>
          <t>Радиальный</t>
        </is>
      </c>
    </row>
    <row r="27">
      <c r="A27" s="140">
        <f>IF(B27&lt;&gt;"", COUNTA($B$2:B27), "")</f>
        <v/>
      </c>
      <c r="B27" s="140" t="inlineStr">
        <is>
          <t>Манометр технический</t>
        </is>
      </c>
      <c r="C27" s="140" t="inlineStr">
        <is>
          <t>ДМ8008-Вуф</t>
        </is>
      </c>
      <c r="D27" s="141" t="inlineStr">
        <is>
          <t>012854</t>
        </is>
      </c>
      <c r="E27" s="140" t="n"/>
      <c r="F27" s="140" t="inlineStr">
        <is>
          <t>0…600 кПа</t>
        </is>
      </c>
      <c r="G27" s="140" t="n">
        <v>1</v>
      </c>
      <c r="H27" s="140" t="inlineStr">
        <is>
          <t>Метрическая</t>
        </is>
      </c>
      <c r="I27" s="140" t="n">
        <v>12</v>
      </c>
      <c r="J27" s="141" t="inlineStr">
        <is>
          <t>01.2020</t>
        </is>
      </c>
      <c r="K27" s="140" t="inlineStr">
        <is>
          <t>Радиальный</t>
        </is>
      </c>
    </row>
    <row r="28">
      <c r="A28" s="140">
        <f>IF(B28&lt;&gt;"", COUNTA($B$2:B28), "")</f>
        <v/>
      </c>
      <c r="B28" s="140" t="inlineStr">
        <is>
          <t>Манометр технический</t>
        </is>
      </c>
      <c r="C28" s="140" t="inlineStr">
        <is>
          <t>МП3-Уф</t>
        </is>
      </c>
      <c r="D28" s="140" t="n">
        <v>960288</v>
      </c>
      <c r="E28" s="140" t="n"/>
      <c r="F28" s="140" t="inlineStr">
        <is>
          <t>0…250 кгс/см2</t>
        </is>
      </c>
      <c r="G28" s="140" t="n">
        <v>1.5</v>
      </c>
      <c r="H28" s="140" t="inlineStr">
        <is>
          <t>Метрическая</t>
        </is>
      </c>
      <c r="I28" s="140" t="n">
        <v>12</v>
      </c>
      <c r="J28" s="141" t="inlineStr">
        <is>
          <t>08.2018</t>
        </is>
      </c>
      <c r="K28" s="140" t="inlineStr">
        <is>
          <t>Радиальный</t>
        </is>
      </c>
    </row>
    <row r="29">
      <c r="A29" s="140">
        <f>IF(B29&lt;&gt;"", COUNTA($B$2:B29), "")</f>
        <v/>
      </c>
      <c r="B29" s="140" t="inlineStr">
        <is>
          <t>Манометр технический</t>
        </is>
      </c>
      <c r="C29" s="140" t="inlineStr">
        <is>
          <t>МП3-Уф</t>
        </is>
      </c>
      <c r="D29" s="141" t="inlineStr">
        <is>
          <t>014533</t>
        </is>
      </c>
      <c r="E29" s="140" t="n"/>
      <c r="F29" s="140" t="inlineStr">
        <is>
          <t>0…400 кПа</t>
        </is>
      </c>
      <c r="G29" s="140" t="n">
        <v>1.5</v>
      </c>
      <c r="H29" s="140" t="inlineStr">
        <is>
          <t>Метрическая</t>
        </is>
      </c>
      <c r="I29" s="140" t="n">
        <v>12</v>
      </c>
      <c r="J29" s="141" t="n"/>
      <c r="K29" s="140" t="inlineStr">
        <is>
          <t>Радиальный</t>
        </is>
      </c>
    </row>
    <row r="30">
      <c r="A30" s="140">
        <f>IF(B30&lt;&gt;"", COUNTA($B$2:B30), "")</f>
        <v/>
      </c>
      <c r="B30" s="140" t="inlineStr">
        <is>
          <t>Манометр технический</t>
        </is>
      </c>
      <c r="C30" s="140" t="inlineStr">
        <is>
          <t>МП3-Уф</t>
        </is>
      </c>
      <c r="D30" s="141" t="inlineStr">
        <is>
          <t>010746</t>
        </is>
      </c>
      <c r="E30" s="140" t="n"/>
      <c r="F30" s="140" t="inlineStr">
        <is>
          <t>0…400 кПа</t>
        </is>
      </c>
      <c r="G30" s="140" t="n">
        <v>1.5</v>
      </c>
      <c r="H30" s="140" t="inlineStr">
        <is>
          <t>Метрическая</t>
        </is>
      </c>
      <c r="I30" s="140" t="n">
        <v>12</v>
      </c>
      <c r="J30" s="141" t="n"/>
      <c r="K30" s="140" t="inlineStr">
        <is>
          <t>Радиальный</t>
        </is>
      </c>
    </row>
    <row r="31">
      <c r="A31" s="140">
        <f>IF(B31&lt;&gt;"", COUNTA($B$2:B31), "")</f>
        <v/>
      </c>
      <c r="B31" s="140" t="inlineStr">
        <is>
          <t>Манометр технический</t>
        </is>
      </c>
      <c r="C31" s="140" t="inlineStr">
        <is>
          <t>МП3-Уф</t>
        </is>
      </c>
      <c r="D31" s="141" t="inlineStr">
        <is>
          <t>005994</t>
        </is>
      </c>
      <c r="E31" s="140" t="n"/>
      <c r="F31" s="140" t="inlineStr">
        <is>
          <t>0…600 кПа</t>
        </is>
      </c>
      <c r="G31" s="140" t="n">
        <v>1.5</v>
      </c>
      <c r="H31" s="140" t="inlineStr">
        <is>
          <t>Метрическая</t>
        </is>
      </c>
      <c r="I31" s="140" t="n">
        <v>12</v>
      </c>
      <c r="J31" s="141" t="n"/>
      <c r="K31" s="140" t="inlineStr">
        <is>
          <t>Радиальный</t>
        </is>
      </c>
    </row>
    <row r="32">
      <c r="A32" s="140">
        <f>IF(B32&lt;&gt;"", COUNTA($B$2:B32), "")</f>
        <v/>
      </c>
      <c r="B32" s="140" t="inlineStr">
        <is>
          <t>Манометр технический</t>
        </is>
      </c>
      <c r="C32" s="140" t="inlineStr">
        <is>
          <t>МП3-Уф</t>
        </is>
      </c>
      <c r="D32" s="141" t="inlineStr">
        <is>
          <t>005903</t>
        </is>
      </c>
      <c r="E32" s="140" t="n"/>
      <c r="F32" s="140" t="inlineStr">
        <is>
          <t>0…600 кПа</t>
        </is>
      </c>
      <c r="G32" s="140" t="n">
        <v>1.5</v>
      </c>
      <c r="H32" s="140" t="inlineStr">
        <is>
          <t>Метрическая</t>
        </is>
      </c>
      <c r="I32" s="140" t="n">
        <v>12</v>
      </c>
      <c r="J32" s="141" t="inlineStr">
        <is>
          <t>01.2020</t>
        </is>
      </c>
      <c r="K32" s="140" t="inlineStr">
        <is>
          <t>Радиальный</t>
        </is>
      </c>
    </row>
    <row r="33">
      <c r="A33" s="140">
        <f>IF(B33&lt;&gt;"", COUNTA($B$2:B33), "")</f>
        <v/>
      </c>
      <c r="B33" s="140" t="inlineStr">
        <is>
          <t>Манометр технический</t>
        </is>
      </c>
      <c r="C33" s="140" t="inlineStr">
        <is>
          <t>МП3-Уф</t>
        </is>
      </c>
      <c r="D33" s="141" t="inlineStr">
        <is>
          <t>005414</t>
        </is>
      </c>
      <c r="E33" s="140" t="n"/>
      <c r="F33" s="140" t="inlineStr">
        <is>
          <t>0…600 кПа</t>
        </is>
      </c>
      <c r="G33" s="140" t="n">
        <v>1.5</v>
      </c>
      <c r="H33" s="140" t="inlineStr">
        <is>
          <t>Метрическая</t>
        </is>
      </c>
      <c r="I33" s="140" t="n">
        <v>12</v>
      </c>
      <c r="J33" s="141" t="inlineStr">
        <is>
          <t>01.2020</t>
        </is>
      </c>
      <c r="K33" s="140" t="inlineStr">
        <is>
          <t>Радиальный</t>
        </is>
      </c>
    </row>
    <row r="34" ht="22.5" customFormat="1" customHeight="1" s="135">
      <c r="A34" s="140">
        <f>IF(B34&lt;&gt;"", COUNTA($B$2:B34), "")</f>
        <v/>
      </c>
      <c r="B34" s="10" t="inlineStr">
        <is>
          <t>Термоманометр технический</t>
        </is>
      </c>
      <c r="C34" s="10" t="inlineStr">
        <is>
          <t>ТМТБ-3</t>
        </is>
      </c>
      <c r="D34" s="11" t="inlineStr">
        <is>
          <t>В1852413</t>
        </is>
      </c>
      <c r="E34" s="10" t="n"/>
      <c r="F34" s="26" t="inlineStr">
        <is>
          <t>0..1,0 МРа                      0..150 °С</t>
        </is>
      </c>
      <c r="G34" s="10" t="n">
        <v>2.5</v>
      </c>
      <c r="H34" s="10" t="inlineStr">
        <is>
          <t>Метрическая</t>
        </is>
      </c>
      <c r="I34" s="10" t="n">
        <v>12</v>
      </c>
      <c r="J34" s="11" t="inlineStr">
        <is>
          <t>08.2025</t>
        </is>
      </c>
      <c r="K34" s="10" t="inlineStr">
        <is>
          <t>Осевой</t>
        </is>
      </c>
    </row>
    <row r="35" ht="22.5" customFormat="1" customHeight="1" s="135">
      <c r="A35" s="140">
        <f>IF(B35&lt;&gt;"", COUNTA($B$2:B35), "")</f>
        <v/>
      </c>
      <c r="B35" s="10" t="inlineStr">
        <is>
          <t>Термоманометр технический</t>
        </is>
      </c>
      <c r="C35" s="10" t="inlineStr">
        <is>
          <t>ТМТБ-3</t>
        </is>
      </c>
      <c r="D35" s="11" t="inlineStr">
        <is>
          <t>В1854246</t>
        </is>
      </c>
      <c r="E35" s="10" t="n"/>
      <c r="F35" s="26" t="inlineStr">
        <is>
          <t>0..1,0 МРа                      0..150 °С</t>
        </is>
      </c>
      <c r="G35" s="10" t="n">
        <v>2.5</v>
      </c>
      <c r="H35" s="10" t="inlineStr">
        <is>
          <t>Метрическая</t>
        </is>
      </c>
      <c r="I35" s="10" t="n">
        <v>12</v>
      </c>
      <c r="J35" s="11" t="inlineStr">
        <is>
          <t>08.2025</t>
        </is>
      </c>
      <c r="K35" s="10" t="inlineStr">
        <is>
          <t>Осевой</t>
        </is>
      </c>
    </row>
    <row r="36" ht="22.5" customFormat="1" customHeight="1" s="135">
      <c r="A36" s="140">
        <f>IF(B36&lt;&gt;"", COUNTA($B$2:B36), "")</f>
        <v/>
      </c>
      <c r="B36" s="10" t="inlineStr">
        <is>
          <t>Термоманометр технический</t>
        </is>
      </c>
      <c r="C36" s="10" t="inlineStr">
        <is>
          <t>ТМТБ-3</t>
        </is>
      </c>
      <c r="D36" s="11" t="inlineStr">
        <is>
          <t>В1852307</t>
        </is>
      </c>
      <c r="E36" s="10" t="n"/>
      <c r="F36" s="26" t="inlineStr">
        <is>
          <t>0..1,0 МРа                      0..150 °С</t>
        </is>
      </c>
      <c r="G36" s="10" t="n">
        <v>2.5</v>
      </c>
      <c r="H36" s="10" t="inlineStr">
        <is>
          <t>Метрическая</t>
        </is>
      </c>
      <c r="I36" s="10" t="n">
        <v>12</v>
      </c>
      <c r="J36" s="11" t="inlineStr">
        <is>
          <t>08.2025</t>
        </is>
      </c>
      <c r="K36" s="10" t="inlineStr">
        <is>
          <t>Осевой</t>
        </is>
      </c>
    </row>
    <row r="37" ht="22.5" customFormat="1" customHeight="1" s="135">
      <c r="A37" s="140">
        <f>IF(B37&lt;&gt;"", COUNTA($B$2:B37), "")</f>
        <v/>
      </c>
      <c r="B37" s="10" t="inlineStr">
        <is>
          <t>Термоманометр технический</t>
        </is>
      </c>
      <c r="C37" s="10" t="inlineStr">
        <is>
          <t>ТМТБ-3</t>
        </is>
      </c>
      <c r="D37" s="11" t="inlineStr">
        <is>
          <t>В1854248</t>
        </is>
      </c>
      <c r="E37" s="10" t="n"/>
      <c r="F37" s="26" t="inlineStr">
        <is>
          <t>0..1,0 МРа                      0..150 °С</t>
        </is>
      </c>
      <c r="G37" s="10" t="n">
        <v>2.5</v>
      </c>
      <c r="H37" s="10" t="inlineStr">
        <is>
          <t>Метрическая</t>
        </is>
      </c>
      <c r="I37" s="10" t="n">
        <v>12</v>
      </c>
      <c r="J37" s="11" t="inlineStr">
        <is>
          <t>08.2025</t>
        </is>
      </c>
      <c r="K37" s="10" t="inlineStr">
        <is>
          <t>Осевой</t>
        </is>
      </c>
    </row>
    <row r="38" ht="22.5" customFormat="1" customHeight="1" s="135">
      <c r="A38" s="140">
        <f>IF(B38&lt;&gt;"", COUNTA($B$2:B38), "")</f>
        <v/>
      </c>
      <c r="B38" s="10" t="inlineStr">
        <is>
          <t>Термоманометр технический</t>
        </is>
      </c>
      <c r="C38" s="10" t="inlineStr">
        <is>
          <t>ТМТБ-3</t>
        </is>
      </c>
      <c r="D38" s="11" t="inlineStr">
        <is>
          <t>В1851887</t>
        </is>
      </c>
      <c r="E38" s="10" t="n"/>
      <c r="F38" s="26" t="inlineStr">
        <is>
          <t>0..1,0 МРа                      0..150 °С</t>
        </is>
      </c>
      <c r="G38" s="10" t="n">
        <v>2.5</v>
      </c>
      <c r="H38" s="10" t="inlineStr">
        <is>
          <t>Метрическая</t>
        </is>
      </c>
      <c r="I38" s="10" t="n">
        <v>12</v>
      </c>
      <c r="J38" s="11" t="inlineStr">
        <is>
          <t>08.2025</t>
        </is>
      </c>
      <c r="K38" s="10" t="inlineStr">
        <is>
          <t>Осевой</t>
        </is>
      </c>
    </row>
    <row r="39" ht="22.5" customFormat="1" customHeight="1" s="135">
      <c r="A39" s="140">
        <f>IF(B39&lt;&gt;"", COUNTA($B$2:B39), "")</f>
        <v/>
      </c>
      <c r="B39" s="10" t="inlineStr">
        <is>
          <t>Термоманометр технический</t>
        </is>
      </c>
      <c r="C39" s="10" t="inlineStr">
        <is>
          <t>ТМТБ-3</t>
        </is>
      </c>
      <c r="D39" s="11" t="inlineStr">
        <is>
          <t>В1853131</t>
        </is>
      </c>
      <c r="E39" s="10" t="n"/>
      <c r="F39" s="26" t="inlineStr">
        <is>
          <t>0..1,0 МРа                      0..150 °С</t>
        </is>
      </c>
      <c r="G39" s="10" t="n">
        <v>2.5</v>
      </c>
      <c r="H39" s="10" t="inlineStr">
        <is>
          <t>Метрическая</t>
        </is>
      </c>
      <c r="I39" s="10" t="n">
        <v>12</v>
      </c>
      <c r="J39" s="11" t="inlineStr">
        <is>
          <t>08.2025</t>
        </is>
      </c>
      <c r="K39" s="10" t="inlineStr">
        <is>
          <t>Осевой</t>
        </is>
      </c>
    </row>
  </sheetData>
  <conditionalFormatting sqref="J1">
    <cfRule type="expression" priority="1" dxfId="0">
      <formula>OR(AND(IF(VALUE(LEFT(TEXT($J1,"0"),1))&lt;=INT((MONTH(TODAY())+2)/3),1),IF(VALUE(RIGHT(TEXT($J1,"0"),2))+($I1/12)&lt;=VALUE(TEXT(TODAY(),"ГГ")),1),OR($K1="К",$K1="K", ,$K1="П")),IFERROR(AND(IF(INT((MONTH($J1)+2)/3)&lt;=INT((MONTH(TODAY())+2)/3),1),IF(VALUE(TEXT($J1,"ГГ"))+($I1/12)&lt;=VALUE(TEXT(TODAY(),"ГГ")),1),OR($K1="К",$K1="K",$K1="П")),0))</formula>
    </cfRule>
  </conditionalFormatting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 codeName="Лист22">
    <outlinePr summaryBelow="1" summaryRight="1"/>
    <pageSetUpPr/>
  </sheetPr>
  <dimension ref="A1:P229"/>
  <sheetViews>
    <sheetView zoomScale="112" zoomScaleNormal="112" workbookViewId="0">
      <pane ySplit="1" topLeftCell="A26" activePane="bottomLeft" state="frozen"/>
      <selection pane="bottomLeft" activeCell="A84" sqref="A1:P229"/>
    </sheetView>
  </sheetViews>
  <sheetFormatPr baseColWidth="8" defaultColWidth="10" defaultRowHeight="15"/>
  <cols>
    <col width="3.5703125" bestFit="1" customWidth="1" style="72" min="1" max="1"/>
    <col width="18" customWidth="1" style="72" min="2" max="2"/>
    <col width="20.85546875" customWidth="1" style="72" min="3" max="3"/>
    <col width="18.140625" customWidth="1" style="72" min="4" max="4"/>
    <col width="6.5703125" customWidth="1" style="72" min="5" max="5"/>
    <col width="12.7109375" customWidth="1" style="72" min="6" max="6"/>
    <col width="7.42578125" customWidth="1" style="72" min="7" max="7"/>
    <col width="31.7109375" customWidth="1" style="72" min="8" max="8"/>
    <col width="14" customWidth="1" style="72" min="9" max="9"/>
    <col width="11.140625" customWidth="1" style="72" min="10" max="10"/>
    <col width="8" customWidth="1" style="72" min="11" max="11"/>
    <col width="9.85546875" customWidth="1" style="72" min="12" max="12"/>
    <col width="8.85546875" customWidth="1" style="72" min="13" max="13"/>
    <col width="9.85546875" customWidth="1" style="72" min="14" max="14"/>
    <col width="10" customWidth="1" style="72" min="15" max="15"/>
    <col width="10" customWidth="1" style="72" min="16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
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 ht="22.5" customHeight="1" s="151">
      <c r="A2" s="15">
        <f>IF(B2&lt;&gt;"", COUNTA($B$2:B2), "")</f>
        <v/>
      </c>
      <c r="B2" s="280" t="inlineStr">
        <is>
          <t>Манометр технический</t>
        </is>
      </c>
      <c r="C2" s="70" t="inlineStr">
        <is>
          <t>МП4-УУ2</t>
        </is>
      </c>
      <c r="D2" s="70" t="n">
        <v>7000303</v>
      </c>
      <c r="E2" s="70" t="n">
        <v>2018</v>
      </c>
      <c r="F2" s="70" t="inlineStr">
        <is>
          <t>0…16 МПа</t>
        </is>
      </c>
      <c r="G2" s="70" t="n">
        <v>1</v>
      </c>
      <c r="H2" s="175" t="inlineStr">
        <is>
          <t>P газа на выходе нагнетателя</t>
        </is>
      </c>
      <c r="I2" s="8" t="inlineStr">
        <is>
          <t>ГПА 71</t>
        </is>
      </c>
      <c r="J2" s="15" t="inlineStr">
        <is>
          <t>АСУ,А и ТМ (КЦ № 7)</t>
        </is>
      </c>
      <c r="K2" s="15" t="inlineStr">
        <is>
          <t>2020г.</t>
        </is>
      </c>
      <c r="L2" s="15" t="n">
        <v>12</v>
      </c>
      <c r="M2" s="3" t="inlineStr">
        <is>
          <t>2К26</t>
        </is>
      </c>
      <c r="N2" s="70" t="inlineStr">
        <is>
          <t>К</t>
        </is>
      </c>
    </row>
    <row r="3" ht="22.5" customHeight="1" s="151">
      <c r="A3" s="15">
        <f>IF(B3&lt;&gt;"", COUNTA($B$2:B3), "")</f>
        <v/>
      </c>
      <c r="B3" s="280" t="inlineStr">
        <is>
          <t>Манометр технический</t>
        </is>
      </c>
      <c r="C3" s="70" t="inlineStr">
        <is>
          <t>МП4-УУХЛ1</t>
        </is>
      </c>
      <c r="D3" s="70" t="n">
        <v>700099</v>
      </c>
      <c r="E3" s="70" t="n">
        <v>2018</v>
      </c>
      <c r="F3" s="70" t="inlineStr">
        <is>
          <t>0…6 МПа</t>
        </is>
      </c>
      <c r="G3" s="70" t="n">
        <v>1</v>
      </c>
      <c r="H3" s="175" t="inlineStr">
        <is>
          <t>P т.г. после РД5101</t>
        </is>
      </c>
      <c r="I3" s="8" t="inlineStr">
        <is>
          <t>ГПА 71</t>
        </is>
      </c>
      <c r="J3" s="15" t="inlineStr">
        <is>
          <t>АСУ,А и ТМ (КЦ № 7)</t>
        </is>
      </c>
      <c r="K3" s="15" t="inlineStr">
        <is>
          <t>2020г.</t>
        </is>
      </c>
      <c r="L3" s="15" t="n">
        <v>12</v>
      </c>
      <c r="M3" s="3" t="inlineStr">
        <is>
          <t>2К26</t>
        </is>
      </c>
      <c r="N3" s="70" t="inlineStr">
        <is>
          <t>К</t>
        </is>
      </c>
    </row>
    <row r="4" ht="22.5" customHeight="1" s="151">
      <c r="A4" s="15">
        <f>IF(B4&lt;&gt;"", COUNTA($B$2:B4), "")</f>
        <v/>
      </c>
      <c r="B4" s="280" t="inlineStr">
        <is>
          <t>Манометр технический</t>
        </is>
      </c>
      <c r="C4" s="70" t="inlineStr">
        <is>
          <t>МП4-УУХЛ1</t>
        </is>
      </c>
      <c r="D4" s="71" t="n">
        <v>700093</v>
      </c>
      <c r="E4" s="70" t="n">
        <v>2018</v>
      </c>
      <c r="F4" s="70" t="inlineStr">
        <is>
          <t>0…6 МПа</t>
        </is>
      </c>
      <c r="G4" s="70" t="n">
        <v>1</v>
      </c>
      <c r="H4" s="175" t="inlineStr">
        <is>
          <t>P т.г. после РД5102</t>
        </is>
      </c>
      <c r="I4" s="8" t="inlineStr">
        <is>
          <t>ГПА 71</t>
        </is>
      </c>
      <c r="J4" s="15" t="inlineStr">
        <is>
          <t>АСУ,А и ТМ (КЦ № 7)</t>
        </is>
      </c>
      <c r="K4" s="15" t="inlineStr">
        <is>
          <t>2020г.</t>
        </is>
      </c>
      <c r="L4" s="15" t="n">
        <v>12</v>
      </c>
      <c r="M4" s="3" t="inlineStr">
        <is>
          <t>2К26</t>
        </is>
      </c>
      <c r="N4" s="70" t="inlineStr">
        <is>
          <t>К</t>
        </is>
      </c>
    </row>
    <row r="5" ht="22.5" customHeight="1" s="151">
      <c r="A5" s="15">
        <f>IF(B5&lt;&gt;"", COUNTA($B$2:B5), "")</f>
        <v/>
      </c>
      <c r="B5" s="280" t="inlineStr">
        <is>
          <t>Манометр технический</t>
        </is>
      </c>
      <c r="C5" s="70" t="inlineStr">
        <is>
          <t>МП4-УУХЛ1</t>
        </is>
      </c>
      <c r="D5" s="32" t="inlineStr">
        <is>
          <t>7000100</t>
        </is>
      </c>
      <c r="E5" s="70" t="n">
        <v>2018</v>
      </c>
      <c r="F5" s="70" t="inlineStr">
        <is>
          <t>0…10 МПа</t>
        </is>
      </c>
      <c r="G5" s="70" t="n">
        <v>1</v>
      </c>
      <c r="H5" s="175" t="inlineStr">
        <is>
          <t>P т.г. после фильтра-сепаратора</t>
        </is>
      </c>
      <c r="I5" s="8" t="inlineStr">
        <is>
          <t>ГПА 71</t>
        </is>
      </c>
      <c r="J5" s="15" t="inlineStr">
        <is>
          <t>АСУ,А и ТМ (КЦ № 7)</t>
        </is>
      </c>
      <c r="K5" s="15" t="inlineStr">
        <is>
          <t>2020г.</t>
        </is>
      </c>
      <c r="L5" s="15" t="n">
        <v>12</v>
      </c>
      <c r="M5" s="3" t="inlineStr">
        <is>
          <t>2К26</t>
        </is>
      </c>
      <c r="N5" s="70" t="inlineStr">
        <is>
          <t>К</t>
        </is>
      </c>
    </row>
    <row r="6" ht="22.5" customHeight="1" s="151">
      <c r="A6" s="15">
        <f>IF(B6&lt;&gt;"", COUNTA($B$2:B6), "")</f>
        <v/>
      </c>
      <c r="B6" s="280" t="inlineStr">
        <is>
          <t>Манометр технический</t>
        </is>
      </c>
      <c r="C6" s="70" t="inlineStr">
        <is>
          <t>МП4-УУ2</t>
        </is>
      </c>
      <c r="D6" s="32" t="inlineStr">
        <is>
          <t>15655</t>
        </is>
      </c>
      <c r="E6" s="70" t="n">
        <v>2018</v>
      </c>
      <c r="F6" s="70" t="inlineStr">
        <is>
          <t>0…160 кПа</t>
        </is>
      </c>
      <c r="G6" s="70" t="n">
        <v>1.5</v>
      </c>
      <c r="H6" s="175" t="inlineStr">
        <is>
          <t>P з.в. после РД5303</t>
        </is>
      </c>
      <c r="I6" s="8" t="inlineStr">
        <is>
          <t>ГПА 71</t>
        </is>
      </c>
      <c r="J6" s="15" t="inlineStr">
        <is>
          <t>АСУ,А и ТМ (КЦ № 7)</t>
        </is>
      </c>
      <c r="K6" s="15" t="inlineStr">
        <is>
          <t>2020г.</t>
        </is>
      </c>
      <c r="L6" s="15" t="n">
        <v>12</v>
      </c>
      <c r="M6" s="3" t="inlineStr">
        <is>
          <t>2К26</t>
        </is>
      </c>
      <c r="N6" s="70" t="inlineStr">
        <is>
          <t>К</t>
        </is>
      </c>
    </row>
    <row r="7" ht="22.5" customHeight="1" s="151">
      <c r="A7" s="15">
        <f>IF(B7&lt;&gt;"", COUNTA($B$2:B7), "")</f>
        <v/>
      </c>
      <c r="B7" s="280" t="inlineStr">
        <is>
          <t>Манометр технический</t>
        </is>
      </c>
      <c r="C7" s="70" t="inlineStr">
        <is>
          <t>МП4-УУХЛ1</t>
        </is>
      </c>
      <c r="D7" s="32" t="inlineStr">
        <is>
          <t>700088</t>
        </is>
      </c>
      <c r="E7" s="70" t="n">
        <v>2018</v>
      </c>
      <c r="F7" s="70" t="inlineStr">
        <is>
          <t>0…100 кПа</t>
        </is>
      </c>
      <c r="G7" s="70" t="n">
        <v>1</v>
      </c>
      <c r="H7" s="175" t="inlineStr">
        <is>
          <t>P з.в. после ФВ-100</t>
        </is>
      </c>
      <c r="I7" s="8" t="inlineStr">
        <is>
          <t>ГПА 71</t>
        </is>
      </c>
      <c r="J7" s="15" t="inlineStr">
        <is>
          <t>АСУ,А и ТМ (КЦ № 7)</t>
        </is>
      </c>
      <c r="K7" s="15" t="inlineStr">
        <is>
          <t>2020г.</t>
        </is>
      </c>
      <c r="L7" s="15" t="n">
        <v>12</v>
      </c>
      <c r="M7" s="3" t="inlineStr">
        <is>
          <t>2К26</t>
        </is>
      </c>
      <c r="N7" s="70" t="inlineStr">
        <is>
          <t>К</t>
        </is>
      </c>
      <c r="O7" s="66" t="n"/>
    </row>
    <row r="8" ht="22.5" customHeight="1" s="151">
      <c r="A8" s="15">
        <f>IF(B8&lt;&gt;"", COUNTA($B$2:B8), "")</f>
        <v/>
      </c>
      <c r="B8" s="280" t="inlineStr">
        <is>
          <t>Манометр технический</t>
        </is>
      </c>
      <c r="C8" s="70" t="inlineStr">
        <is>
          <t>МП4-УУ2</t>
        </is>
      </c>
      <c r="D8" s="70" t="n">
        <v>15660</v>
      </c>
      <c r="E8" s="70" t="n">
        <v>2018</v>
      </c>
      <c r="F8" s="70" t="inlineStr">
        <is>
          <t>0…160 кПа</t>
        </is>
      </c>
      <c r="G8" s="70" t="n">
        <v>1.5</v>
      </c>
      <c r="H8" s="175" t="inlineStr">
        <is>
          <t>P з.в. после РД5301</t>
        </is>
      </c>
      <c r="I8" s="8" t="inlineStr">
        <is>
          <t>ГПА 71</t>
        </is>
      </c>
      <c r="J8" s="15" t="inlineStr">
        <is>
          <t>АСУ,А и ТМ (КЦ № 7)</t>
        </is>
      </c>
      <c r="K8" s="15" t="inlineStr">
        <is>
          <t>2020г.</t>
        </is>
      </c>
      <c r="L8" s="15" t="n">
        <v>12</v>
      </c>
      <c r="M8" s="3" t="inlineStr">
        <is>
          <t>2К26</t>
        </is>
      </c>
      <c r="N8" s="70" t="inlineStr">
        <is>
          <t>К</t>
        </is>
      </c>
    </row>
    <row r="9" ht="22.5" customHeight="1" s="151">
      <c r="A9" s="15">
        <f>IF(B9&lt;&gt;"", COUNTA($B$2:B9), "")</f>
        <v/>
      </c>
      <c r="B9" s="280" t="inlineStr">
        <is>
          <t>Манометр технический</t>
        </is>
      </c>
      <c r="C9" s="70" t="inlineStr">
        <is>
          <t>МП4-УУХЛ1</t>
        </is>
      </c>
      <c r="D9" s="70" t="n">
        <v>212032150</v>
      </c>
      <c r="E9" s="70" t="n">
        <v>2018</v>
      </c>
      <c r="F9" s="70" t="inlineStr">
        <is>
          <t>0…16 МПа</t>
        </is>
      </c>
      <c r="G9" s="71" t="n">
        <v>1.5</v>
      </c>
      <c r="H9" s="175" t="inlineStr">
        <is>
          <t>P б.г. в фильтре-сепараторе</t>
        </is>
      </c>
      <c r="I9" s="8" t="inlineStr">
        <is>
          <t>ГПА 71</t>
        </is>
      </c>
      <c r="J9" s="15" t="inlineStr">
        <is>
          <t>АСУ,А и ТМ (КЦ № 7)</t>
        </is>
      </c>
      <c r="K9" s="15" t="inlineStr">
        <is>
          <t>2020г.</t>
        </is>
      </c>
      <c r="L9" s="15" t="n">
        <v>12</v>
      </c>
      <c r="M9" s="3" t="inlineStr">
        <is>
          <t>26ДЯУ</t>
        </is>
      </c>
      <c r="N9" s="70" t="inlineStr">
        <is>
          <t>П</t>
        </is>
      </c>
    </row>
    <row r="10" ht="22.5" customHeight="1" s="151">
      <c r="A10" s="15">
        <f>IF(B10&lt;&gt;"", COUNTA($B$2:B10), "")</f>
        <v/>
      </c>
      <c r="B10" s="280" t="inlineStr">
        <is>
          <t>Манометр технический</t>
        </is>
      </c>
      <c r="C10" s="14" t="inlineStr">
        <is>
          <t>EN 837-1</t>
        </is>
      </c>
      <c r="D10" s="14" t="inlineStr">
        <is>
          <t>860008BK</t>
        </is>
      </c>
      <c r="E10" s="70" t="n">
        <v>2018</v>
      </c>
      <c r="F10" s="26" t="inlineStr">
        <is>
          <t>0…160 кгс/см2</t>
        </is>
      </c>
      <c r="G10" s="70" t="n">
        <v>1</v>
      </c>
      <c r="H10" s="175" t="inlineStr">
        <is>
          <t>P б.г. после фильтра PI1</t>
        </is>
      </c>
      <c r="I10" s="8" t="inlineStr">
        <is>
          <t>ГПА 71</t>
        </is>
      </c>
      <c r="J10" s="15" t="inlineStr">
        <is>
          <t>АСУ,А и ТМ (КЦ № 7)</t>
        </is>
      </c>
      <c r="K10" s="15" t="inlineStr">
        <is>
          <t>2020г.</t>
        </is>
      </c>
      <c r="L10" s="15" t="n">
        <v>12</v>
      </c>
      <c r="M10" s="3" t="inlineStr">
        <is>
          <t>2К26</t>
        </is>
      </c>
      <c r="N10" s="70" t="inlineStr">
        <is>
          <t>К</t>
        </is>
      </c>
      <c r="O10" s="86" t="n"/>
    </row>
    <row r="11" ht="22.5" customHeight="1" s="151">
      <c r="A11" s="15">
        <f>IF(B11&lt;&gt;"", COUNTA($B$2:B11), "")</f>
        <v/>
      </c>
      <c r="B11" s="280" t="inlineStr">
        <is>
          <t>Манометр технический</t>
        </is>
      </c>
      <c r="C11" s="14" t="inlineStr">
        <is>
          <t>EN 837-1</t>
        </is>
      </c>
      <c r="D11" s="14" t="inlineStr">
        <is>
          <t>860008BC</t>
        </is>
      </c>
      <c r="E11" s="70" t="n">
        <v>2018</v>
      </c>
      <c r="F11" s="26" t="inlineStr">
        <is>
          <t>0…160 кгс/см2</t>
        </is>
      </c>
      <c r="G11" s="70" t="n">
        <v>1</v>
      </c>
      <c r="H11" s="175" t="inlineStr">
        <is>
          <t>P б.г. после фильтра PI2</t>
        </is>
      </c>
      <c r="I11" s="8" t="inlineStr">
        <is>
          <t>ГПА 71</t>
        </is>
      </c>
      <c r="J11" s="15" t="inlineStr">
        <is>
          <t>АСУ,А и ТМ (КЦ № 7)</t>
        </is>
      </c>
      <c r="K11" s="15" t="inlineStr">
        <is>
          <t>2020г.</t>
        </is>
      </c>
      <c r="L11" s="15" t="n">
        <v>12</v>
      </c>
      <c r="M11" s="3" t="inlineStr">
        <is>
          <t>2К26</t>
        </is>
      </c>
      <c r="N11" s="70" t="inlineStr">
        <is>
          <t>К</t>
        </is>
      </c>
      <c r="O11" s="86" t="n"/>
    </row>
    <row r="12" ht="22.5" customHeight="1" s="151">
      <c r="A12" s="15">
        <f>IF(B12&lt;&gt;"", COUNTA($B$2:B12), "")</f>
        <v/>
      </c>
      <c r="B12" s="280" t="inlineStr">
        <is>
          <t>Манометр технический</t>
        </is>
      </c>
      <c r="C12" s="14" t="inlineStr">
        <is>
          <t>EN 837-1</t>
        </is>
      </c>
      <c r="D12" s="14" t="inlineStr">
        <is>
          <t>860008BN</t>
        </is>
      </c>
      <c r="E12" s="70" t="n">
        <v>2018</v>
      </c>
      <c r="F12" s="26" t="inlineStr">
        <is>
          <t>0…160 кгс/см2</t>
        </is>
      </c>
      <c r="G12" s="70" t="n">
        <v>1</v>
      </c>
      <c r="H12" s="175" t="inlineStr">
        <is>
          <t>P б.г. после фильтра PI3</t>
        </is>
      </c>
      <c r="I12" s="8" t="inlineStr">
        <is>
          <t>ГПА 71</t>
        </is>
      </c>
      <c r="J12" s="15" t="inlineStr">
        <is>
          <t>АСУ,А и ТМ (КЦ № 7)</t>
        </is>
      </c>
      <c r="K12" s="15" t="inlineStr">
        <is>
          <t>2020г.</t>
        </is>
      </c>
      <c r="L12" s="15" t="n">
        <v>12</v>
      </c>
      <c r="M12" s="3" t="inlineStr">
        <is>
          <t>2К26</t>
        </is>
      </c>
      <c r="N12" s="70" t="inlineStr">
        <is>
          <t>К</t>
        </is>
      </c>
      <c r="O12" s="86" t="n"/>
    </row>
    <row r="13" ht="22.5" customHeight="1" s="151">
      <c r="A13" s="15">
        <f>IF(B13&lt;&gt;"", COUNTA($B$2:B13), "")</f>
        <v/>
      </c>
      <c r="B13" s="280" t="inlineStr">
        <is>
          <t>Манометр технический</t>
        </is>
      </c>
      <c r="C13" s="14" t="inlineStr">
        <is>
          <t>EN 837-1</t>
        </is>
      </c>
      <c r="D13" s="14" t="inlineStr">
        <is>
          <t>860008BQ</t>
        </is>
      </c>
      <c r="E13" s="70" t="n">
        <v>2018</v>
      </c>
      <c r="F13" s="26" t="inlineStr">
        <is>
          <t>0…160 кгс/см2</t>
        </is>
      </c>
      <c r="G13" s="70" t="n">
        <v>1</v>
      </c>
      <c r="H13" s="175" t="inlineStr">
        <is>
          <t>P б.г. после фильтра PI4</t>
        </is>
      </c>
      <c r="I13" s="8" t="inlineStr">
        <is>
          <t>ГПА 71</t>
        </is>
      </c>
      <c r="J13" s="15" t="inlineStr">
        <is>
          <t>АСУ,А и ТМ (КЦ № 7)</t>
        </is>
      </c>
      <c r="K13" s="15" t="inlineStr">
        <is>
          <t>2020г.</t>
        </is>
      </c>
      <c r="L13" s="15" t="n">
        <v>12</v>
      </c>
      <c r="M13" s="3" t="inlineStr">
        <is>
          <t>2К26</t>
        </is>
      </c>
      <c r="N13" s="70" t="inlineStr">
        <is>
          <t>К</t>
        </is>
      </c>
      <c r="O13" s="86" t="n"/>
    </row>
    <row r="14" ht="22.5" customHeight="1" s="151">
      <c r="A14" s="15">
        <f>IF(B14&lt;&gt;"", COUNTA($B$2:B14), "")</f>
        <v/>
      </c>
      <c r="B14" s="280" t="inlineStr">
        <is>
          <t>Манометр технический</t>
        </is>
      </c>
      <c r="C14" s="70" t="inlineStr">
        <is>
          <t>МП4-УУ2</t>
        </is>
      </c>
      <c r="D14" s="17" t="inlineStr">
        <is>
          <t>2236038</t>
        </is>
      </c>
      <c r="E14" s="70" t="n">
        <v>2018</v>
      </c>
      <c r="F14" s="70" t="inlineStr">
        <is>
          <t>0…16 МПа</t>
        </is>
      </c>
      <c r="G14" s="70" t="n">
        <v>1</v>
      </c>
      <c r="H14" s="175" t="inlineStr">
        <is>
          <t>P газа на входе в нагнетатель</t>
        </is>
      </c>
      <c r="I14" s="8" t="inlineStr">
        <is>
          <t>ГПА 71</t>
        </is>
      </c>
      <c r="J14" s="15" t="inlineStr">
        <is>
          <t>АСУ,А и ТМ (КЦ № 7)</t>
        </is>
      </c>
      <c r="K14" s="15" t="inlineStr">
        <is>
          <t>2020г.</t>
        </is>
      </c>
      <c r="L14" s="15" t="n">
        <v>12</v>
      </c>
      <c r="M14" s="3" t="inlineStr">
        <is>
          <t>2К26</t>
        </is>
      </c>
      <c r="N14" s="70" t="inlineStr">
        <is>
          <t>К</t>
        </is>
      </c>
    </row>
    <row r="15" ht="22.5" customHeight="1" s="151">
      <c r="A15" s="15">
        <f>IF(B15&lt;&gt;"", COUNTA($B$2:B15), "")</f>
        <v/>
      </c>
      <c r="B15" s="280" t="inlineStr">
        <is>
          <t>Манометр технический</t>
        </is>
      </c>
      <c r="C15" s="70" t="inlineStr">
        <is>
          <t>МП4-УУ2</t>
        </is>
      </c>
      <c r="D15" s="17" t="inlineStr">
        <is>
          <t>15243</t>
        </is>
      </c>
      <c r="E15" s="70" t="n">
        <v>2018</v>
      </c>
      <c r="F15" s="26" t="inlineStr">
        <is>
          <t>0…100 кгс/см2</t>
        </is>
      </c>
      <c r="G15" s="71" t="n">
        <v>1.5</v>
      </c>
      <c r="H15" s="175" t="inlineStr">
        <is>
          <t>P т.г. в фильтре ФГ-80 №1-2</t>
        </is>
      </c>
      <c r="I15" s="8" t="inlineStr">
        <is>
          <t>ГПА 71</t>
        </is>
      </c>
      <c r="J15" s="15" t="inlineStr">
        <is>
          <t>АСУ,А и ТМ (КЦ № 7)</t>
        </is>
      </c>
      <c r="K15" s="15" t="inlineStr">
        <is>
          <t>2020г.</t>
        </is>
      </c>
      <c r="L15" s="15" t="n">
        <v>12</v>
      </c>
      <c r="M15" s="3" t="inlineStr">
        <is>
          <t>26ДЯУ</t>
        </is>
      </c>
      <c r="N15" s="70" t="inlineStr">
        <is>
          <t>П</t>
        </is>
      </c>
    </row>
    <row r="16" ht="22.5" customHeight="1" s="151">
      <c r="A16" s="15">
        <f>IF(B16&lt;&gt;"", COUNTA($B$2:B16), "")</f>
        <v/>
      </c>
      <c r="B16" s="280" t="inlineStr">
        <is>
          <t>Манометр технический</t>
        </is>
      </c>
      <c r="C16" s="70" t="inlineStr">
        <is>
          <t>МП4-УУ2</t>
        </is>
      </c>
      <c r="D16" s="17" t="inlineStr">
        <is>
          <t>15485</t>
        </is>
      </c>
      <c r="E16" s="70" t="n">
        <v>2018</v>
      </c>
      <c r="F16" s="26" t="inlineStr">
        <is>
          <t>0…100 кгс/см2</t>
        </is>
      </c>
      <c r="G16" s="71" t="n">
        <v>1.5</v>
      </c>
      <c r="H16" s="175" t="inlineStr">
        <is>
          <t>P т.г. в фильтре ФГ-80 №1-1</t>
        </is>
      </c>
      <c r="I16" s="8" t="inlineStr">
        <is>
          <t>ГПА 71</t>
        </is>
      </c>
      <c r="J16" s="15" t="inlineStr">
        <is>
          <t>АСУ,А и ТМ (КЦ № 7)</t>
        </is>
      </c>
      <c r="K16" s="15" t="inlineStr">
        <is>
          <t>2020г.</t>
        </is>
      </c>
      <c r="L16" s="15" t="n">
        <v>12</v>
      </c>
      <c r="M16" s="3" t="inlineStr">
        <is>
          <t>26ДЯУ</t>
        </is>
      </c>
      <c r="N16" s="70" t="inlineStr">
        <is>
          <t>П</t>
        </is>
      </c>
    </row>
    <row r="17" ht="22.5" customHeight="1" s="151">
      <c r="A17" s="15">
        <f>IF(B17&lt;&gt;"", COUNTA($B$2:B17), "")</f>
        <v/>
      </c>
      <c r="B17" s="280" t="inlineStr">
        <is>
          <t>Манометр технический</t>
        </is>
      </c>
      <c r="C17" s="70" t="inlineStr">
        <is>
          <t>МП4-УУХЛ1</t>
        </is>
      </c>
      <c r="D17" s="17" t="inlineStr">
        <is>
          <t>700286</t>
        </is>
      </c>
      <c r="E17" s="70" t="n">
        <v>2018</v>
      </c>
      <c r="F17" s="70" t="inlineStr">
        <is>
          <t>0…160 кПа</t>
        </is>
      </c>
      <c r="G17" s="71" t="n">
        <v>1</v>
      </c>
      <c r="H17" s="175" t="inlineStr">
        <is>
          <t>Pм для настройки перепускного  клапана</t>
        </is>
      </c>
      <c r="I17" s="8" t="inlineStr">
        <is>
          <t>ГПА 71</t>
        </is>
      </c>
      <c r="J17" s="15" t="inlineStr">
        <is>
          <t>АСУ,А и ТМ (КЦ № 7)</t>
        </is>
      </c>
      <c r="K17" s="15" t="inlineStr">
        <is>
          <t>2020г.</t>
        </is>
      </c>
      <c r="L17" s="15" t="n">
        <v>12</v>
      </c>
      <c r="M17" s="3" t="inlineStr">
        <is>
          <t>2К26</t>
        </is>
      </c>
      <c r="N17" s="70" t="inlineStr">
        <is>
          <t>К</t>
        </is>
      </c>
    </row>
    <row r="18" ht="22.5" customHeight="1" s="151">
      <c r="A18" s="15">
        <f>IF(B18&lt;&gt;"", COUNTA($B$2:B18), "")</f>
        <v/>
      </c>
      <c r="B18" s="280" t="inlineStr">
        <is>
          <t>Манометр технический</t>
        </is>
      </c>
      <c r="C18" s="70" t="inlineStr">
        <is>
          <t>МП4-УУХЛ1</t>
        </is>
      </c>
      <c r="D18" s="17" t="inlineStr">
        <is>
          <t>15661</t>
        </is>
      </c>
      <c r="E18" s="70" t="n">
        <v>1987</v>
      </c>
      <c r="F18" s="70" t="inlineStr">
        <is>
          <t>0…160 кПа</t>
        </is>
      </c>
      <c r="G18" s="71" t="n">
        <v>1.5</v>
      </c>
      <c r="H18" s="175" t="inlineStr">
        <is>
          <t>P м на входе в фильтры БВМФ 6002</t>
        </is>
      </c>
      <c r="I18" s="8" t="inlineStr">
        <is>
          <t>ГПА 71</t>
        </is>
      </c>
      <c r="J18" s="15" t="inlineStr">
        <is>
          <t>АСУ,А и ТМ (КЦ № 7)</t>
        </is>
      </c>
      <c r="K18" s="15" t="inlineStr">
        <is>
          <t>2020г.</t>
        </is>
      </c>
      <c r="L18" s="15" t="n">
        <v>12</v>
      </c>
      <c r="M18" s="3" t="inlineStr">
        <is>
          <t>2К26</t>
        </is>
      </c>
      <c r="N18" s="70" t="inlineStr">
        <is>
          <t>К</t>
        </is>
      </c>
      <c r="O18" s="66" t="n"/>
    </row>
    <row r="19" ht="22.5" customHeight="1" s="151">
      <c r="A19" s="15">
        <f>IF(B19&lt;&gt;"", COUNTA($B$2:B19), "")</f>
        <v/>
      </c>
      <c r="B19" s="280" t="inlineStr">
        <is>
          <t>Манометр технический</t>
        </is>
      </c>
      <c r="C19" s="70" t="inlineStr">
        <is>
          <t>МП4-УУ2</t>
        </is>
      </c>
      <c r="D19" s="17" t="inlineStr">
        <is>
          <t>10232</t>
        </is>
      </c>
      <c r="E19" s="70" t="n">
        <v>2018</v>
      </c>
      <c r="F19" s="26" t="inlineStr">
        <is>
          <t>0…16 кгс/см2</t>
        </is>
      </c>
      <c r="G19" s="71" t="n">
        <v>1.5</v>
      </c>
      <c r="H19" s="175" t="inlineStr">
        <is>
          <t>P м на входе в фильтры БВМФ 6001</t>
        </is>
      </c>
      <c r="I19" s="8" t="inlineStr">
        <is>
          <t>ГПА 71</t>
        </is>
      </c>
      <c r="J19" s="15" t="inlineStr">
        <is>
          <t>АСУ,А и ТМ (КЦ № 7)</t>
        </is>
      </c>
      <c r="K19" s="15" t="inlineStr">
        <is>
          <t>2020г.</t>
        </is>
      </c>
      <c r="L19" s="15" t="n">
        <v>12</v>
      </c>
      <c r="M19" s="3" t="inlineStr">
        <is>
          <t>2К26</t>
        </is>
      </c>
      <c r="N19" s="70" t="inlineStr">
        <is>
          <t>К</t>
        </is>
      </c>
    </row>
    <row r="20" ht="22.5" customHeight="1" s="151">
      <c r="A20" s="15">
        <f>IF(B20&lt;&gt;"", COUNTA($B$2:B20), "")</f>
        <v/>
      </c>
      <c r="B20" s="280" t="inlineStr">
        <is>
          <t>Манометр технический</t>
        </is>
      </c>
      <c r="C20" s="70" t="inlineStr">
        <is>
          <t>МП4-УУХЛ1</t>
        </is>
      </c>
      <c r="D20" s="3" t="inlineStr">
        <is>
          <t>15600</t>
        </is>
      </c>
      <c r="E20" s="70" t="n">
        <v>2018</v>
      </c>
      <c r="F20" s="26" t="inlineStr">
        <is>
          <t>0…6 кгс/см2</t>
        </is>
      </c>
      <c r="G20" s="71" t="n">
        <v>1</v>
      </c>
      <c r="H20" s="175" t="inlineStr">
        <is>
          <t>P м на выходе из фильтров БВМФ 6001</t>
        </is>
      </c>
      <c r="I20" s="8" t="inlineStr">
        <is>
          <t>ГПА 71</t>
        </is>
      </c>
      <c r="J20" s="15" t="inlineStr">
        <is>
          <t>АСУ,А и ТМ (КЦ № 7)</t>
        </is>
      </c>
      <c r="K20" s="15" t="inlineStr">
        <is>
          <t>2020г.</t>
        </is>
      </c>
      <c r="L20" s="15" t="n">
        <v>12</v>
      </c>
      <c r="M20" s="3" t="inlineStr">
        <is>
          <t>2К26</t>
        </is>
      </c>
      <c r="N20" s="70" t="inlineStr">
        <is>
          <t>К</t>
        </is>
      </c>
    </row>
    <row r="21" ht="22.5" customHeight="1" s="151">
      <c r="A21" s="15">
        <f>IF(B21&lt;&gt;"", COUNTA($B$2:B21), "")</f>
        <v/>
      </c>
      <c r="B21" s="280" t="inlineStr">
        <is>
          <t>Манометр технический</t>
        </is>
      </c>
      <c r="C21" s="70" t="inlineStr">
        <is>
          <t>МП4-УФ БС УФЛ1</t>
        </is>
      </c>
      <c r="D21" s="70" t="n">
        <v>2468</v>
      </c>
      <c r="E21" s="70" t="n">
        <v>2018</v>
      </c>
      <c r="F21" s="70" t="inlineStr">
        <is>
          <t>0…100 кПа</t>
        </is>
      </c>
      <c r="G21" s="71" t="n">
        <v>1</v>
      </c>
      <c r="H21" s="175" t="inlineStr">
        <is>
          <t>P м суфлирования полостей двигателя</t>
        </is>
      </c>
      <c r="I21" s="8" t="inlineStr">
        <is>
          <t>ГПА 71</t>
        </is>
      </c>
      <c r="J21" s="15" t="inlineStr">
        <is>
          <t>АСУ,А и ТМ (КЦ № 7)</t>
        </is>
      </c>
      <c r="K21" s="15" t="inlineStr">
        <is>
          <t>2020г.</t>
        </is>
      </c>
      <c r="L21" s="15" t="n">
        <v>12</v>
      </c>
      <c r="M21" s="3" t="inlineStr">
        <is>
          <t>2К26</t>
        </is>
      </c>
      <c r="N21" s="70" t="inlineStr">
        <is>
          <t>К</t>
        </is>
      </c>
    </row>
    <row r="22" ht="22.5" customHeight="1" s="151">
      <c r="A22" s="15">
        <f>IF(B22&lt;&gt;"", COUNTA($B$2:B22), "")</f>
        <v/>
      </c>
      <c r="B22" s="280" t="inlineStr">
        <is>
          <t>Манометр технический</t>
        </is>
      </c>
      <c r="C22" s="70" t="inlineStr">
        <is>
          <t>МП4-УУ2</t>
        </is>
      </c>
      <c r="D22" s="70" t="n">
        <v>13928</v>
      </c>
      <c r="E22" s="70" t="n">
        <v>2018</v>
      </c>
      <c r="F22" s="26" t="inlineStr">
        <is>
          <t>0…6 кгс/см2</t>
        </is>
      </c>
      <c r="G22" s="71" t="n">
        <v>1</v>
      </c>
      <c r="H22" s="175" t="inlineStr">
        <is>
          <t>P м при пополнении бака маслом</t>
        </is>
      </c>
      <c r="I22" s="8" t="inlineStr">
        <is>
          <t>ГПА 71</t>
        </is>
      </c>
      <c r="J22" s="15" t="inlineStr">
        <is>
          <t>АСУ,А и ТМ (КЦ № 7)</t>
        </is>
      </c>
      <c r="K22" s="15" t="inlineStr">
        <is>
          <t>2020г.</t>
        </is>
      </c>
      <c r="L22" s="15" t="n">
        <v>12</v>
      </c>
      <c r="M22" s="3" t="inlineStr">
        <is>
          <t>2К26</t>
        </is>
      </c>
      <c r="N22" s="70" t="inlineStr">
        <is>
          <t>К</t>
        </is>
      </c>
    </row>
    <row r="23" ht="22.5" customHeight="1" s="151">
      <c r="A23" s="15">
        <f>IF(B23&lt;&gt;"", COUNTA($B$2:B23), "")</f>
        <v/>
      </c>
      <c r="B23" s="280" t="inlineStr">
        <is>
          <t>Манометр технический</t>
        </is>
      </c>
      <c r="C23" s="70" t="inlineStr">
        <is>
          <t>ТМ5</t>
        </is>
      </c>
      <c r="D23" s="32" t="inlineStr">
        <is>
          <t>7000177</t>
        </is>
      </c>
      <c r="E23" s="70" t="n">
        <v>2018</v>
      </c>
      <c r="F23" s="70" t="inlineStr">
        <is>
          <t>0…0,06 МПа</t>
        </is>
      </c>
      <c r="G23" s="71" t="n">
        <v>1.5</v>
      </c>
      <c r="H23" s="175" t="inlineStr">
        <is>
          <t>P в на выходе воздуходувок PI5322</t>
        </is>
      </c>
      <c r="I23" s="8" t="inlineStr">
        <is>
          <t>БКК 71</t>
        </is>
      </c>
      <c r="J23" s="15" t="inlineStr">
        <is>
          <t>АСУ,А и ТМ (КЦ № 7)</t>
        </is>
      </c>
      <c r="K23" s="15" t="inlineStr">
        <is>
          <t>2020г.</t>
        </is>
      </c>
      <c r="L23" s="15" t="n">
        <v>12</v>
      </c>
      <c r="M23" s="3" t="inlineStr">
        <is>
          <t>2К26</t>
        </is>
      </c>
      <c r="N23" s="70" t="inlineStr">
        <is>
          <t>К</t>
        </is>
      </c>
    </row>
    <row r="24" ht="22.5" customHeight="1" s="151">
      <c r="A24" s="15">
        <f>IF(B24&lt;&gt;"", COUNTA($B$2:B24), "")</f>
        <v/>
      </c>
      <c r="B24" s="280" t="inlineStr">
        <is>
          <t>Манометр технический</t>
        </is>
      </c>
      <c r="C24" s="70" t="inlineStr">
        <is>
          <t>МП3-УУ2</t>
        </is>
      </c>
      <c r="D24" s="32" t="inlineStr">
        <is>
          <t>211222848</t>
        </is>
      </c>
      <c r="E24" s="70" t="n">
        <v>2018</v>
      </c>
      <c r="F24" s="70" t="inlineStr">
        <is>
          <t>0…1,6 МПа</t>
        </is>
      </c>
      <c r="G24" s="71" t="n">
        <v>1.5</v>
      </c>
      <c r="H24" s="175" t="inlineStr">
        <is>
          <t>P в в 1 адсорбере PI5314</t>
        </is>
      </c>
      <c r="I24" s="8" t="inlineStr">
        <is>
          <t>БКК 71</t>
        </is>
      </c>
      <c r="J24" s="15" t="inlineStr">
        <is>
          <t>АСУ,А и ТМ (КЦ № 7)</t>
        </is>
      </c>
      <c r="K24" s="15" t="inlineStr">
        <is>
          <t>2020г.</t>
        </is>
      </c>
      <c r="L24" s="15" t="n">
        <v>12</v>
      </c>
      <c r="M24" s="3" t="inlineStr">
        <is>
          <t>26ДЯУ</t>
        </is>
      </c>
      <c r="N24" s="70" t="inlineStr">
        <is>
          <t>П</t>
        </is>
      </c>
    </row>
    <row r="25" ht="22.5" customHeight="1" s="151">
      <c r="A25" s="15">
        <f>IF(B25&lt;&gt;"", COUNTA($B$2:B25), "")</f>
        <v/>
      </c>
      <c r="B25" s="280" t="inlineStr">
        <is>
          <t>Манометр технический</t>
        </is>
      </c>
      <c r="C25" s="70" t="inlineStr">
        <is>
          <t>МП3-УУ2</t>
        </is>
      </c>
      <c r="D25" s="32" t="inlineStr">
        <is>
          <t>211222302</t>
        </is>
      </c>
      <c r="E25" s="70" t="n">
        <v>2018</v>
      </c>
      <c r="F25" s="70" t="inlineStr">
        <is>
          <t>0…1,6 МПа</t>
        </is>
      </c>
      <c r="G25" s="71" t="n">
        <v>1.5</v>
      </c>
      <c r="H25" s="175" t="inlineStr">
        <is>
          <t>P в во 2 адсорбере PI5315</t>
        </is>
      </c>
      <c r="I25" s="8" t="inlineStr">
        <is>
          <t>БКК 71</t>
        </is>
      </c>
      <c r="J25" s="15" t="inlineStr">
        <is>
          <t>АСУ,А и ТМ (КЦ № 7)</t>
        </is>
      </c>
      <c r="K25" s="15" t="inlineStr">
        <is>
          <t>2020г.</t>
        </is>
      </c>
      <c r="L25" s="15" t="n">
        <v>12</v>
      </c>
      <c r="M25" s="3" t="inlineStr">
        <is>
          <t>26ДЯУ</t>
        </is>
      </c>
      <c r="N25" s="70" t="inlineStr">
        <is>
          <t>П</t>
        </is>
      </c>
      <c r="O25" s="86" t="n"/>
    </row>
    <row r="26" ht="22.5" customHeight="1" s="151">
      <c r="A26" s="15">
        <f>IF(B26&lt;&gt;"", COUNTA($B$2:B26), "")</f>
        <v/>
      </c>
      <c r="B26" s="280" t="inlineStr">
        <is>
          <t>Манометр технический</t>
        </is>
      </c>
      <c r="C26" s="70" t="inlineStr">
        <is>
          <t>МП3-УУ2</t>
        </is>
      </c>
      <c r="D26" s="32" t="inlineStr">
        <is>
          <t>211222570</t>
        </is>
      </c>
      <c r="E26" s="70" t="n">
        <v>2018</v>
      </c>
      <c r="F26" s="70" t="inlineStr">
        <is>
          <t>0…1,6 МПа</t>
        </is>
      </c>
      <c r="G26" s="71" t="n">
        <v>1.5</v>
      </c>
      <c r="H26" s="175" t="inlineStr">
        <is>
          <t>P в в 3 адсорбере PI5313</t>
        </is>
      </c>
      <c r="I26" s="8" t="inlineStr">
        <is>
          <t>БКК 71</t>
        </is>
      </c>
      <c r="J26" s="15" t="inlineStr">
        <is>
          <t>АСУ,А и ТМ (КЦ № 7)</t>
        </is>
      </c>
      <c r="K26" s="15" t="inlineStr">
        <is>
          <t>2020г.</t>
        </is>
      </c>
      <c r="L26" s="15" t="n">
        <v>12</v>
      </c>
      <c r="M26" s="3" t="inlineStr">
        <is>
          <t>26ДЯУ</t>
        </is>
      </c>
      <c r="N26" s="70" t="inlineStr">
        <is>
          <t>П</t>
        </is>
      </c>
    </row>
    <row r="27" ht="22.5" customHeight="1" s="151">
      <c r="A27" s="15">
        <f>IF(B27&lt;&gt;"", COUNTA($B$2:B27), "")</f>
        <v/>
      </c>
      <c r="B27" s="280" t="inlineStr">
        <is>
          <t>Манометр технический</t>
        </is>
      </c>
      <c r="C27" s="70" t="inlineStr">
        <is>
          <t>МП3-УУ2</t>
        </is>
      </c>
      <c r="D27" s="32" t="inlineStr">
        <is>
          <t>211222312</t>
        </is>
      </c>
      <c r="E27" s="70" t="n">
        <v>2018</v>
      </c>
      <c r="F27" s="70" t="inlineStr">
        <is>
          <t>0…1,6 МПа</t>
        </is>
      </c>
      <c r="G27" s="71" t="n">
        <v>1.5</v>
      </c>
      <c r="H27" s="175" t="inlineStr">
        <is>
          <t>P в в 4 адсорбере PI5312</t>
        </is>
      </c>
      <c r="I27" s="8" t="inlineStr">
        <is>
          <t>БКК 71</t>
        </is>
      </c>
      <c r="J27" s="15" t="inlineStr">
        <is>
          <t>АСУ,А и ТМ (КЦ № 7)</t>
        </is>
      </c>
      <c r="K27" s="15" t="inlineStr">
        <is>
          <t>2020г.</t>
        </is>
      </c>
      <c r="L27" s="15" t="n">
        <v>12</v>
      </c>
      <c r="M27" s="3" t="inlineStr">
        <is>
          <t>26ДЯУ</t>
        </is>
      </c>
      <c r="N27" s="70" t="inlineStr">
        <is>
          <t>П</t>
        </is>
      </c>
    </row>
    <row r="28" ht="22.5" customHeight="1" s="151">
      <c r="A28" s="15">
        <f>IF(B28&lt;&gt;"", COUNTA($B$2:B28), "")</f>
        <v/>
      </c>
      <c r="B28" s="280" t="inlineStr">
        <is>
          <t>Перепад давления ДМ 5301</t>
        </is>
      </c>
      <c r="C28" s="14" t="inlineStr">
        <is>
          <t>Wika</t>
        </is>
      </c>
      <c r="D28" s="14" t="inlineStr">
        <is>
          <t>110BGBZ5</t>
        </is>
      </c>
      <c r="E28" s="70" t="n">
        <v>2018</v>
      </c>
      <c r="F28" s="70" t="inlineStr">
        <is>
          <t>0…0,6 бар</t>
        </is>
      </c>
      <c r="G28" s="71" t="n"/>
      <c r="H28" s="175" t="inlineStr">
        <is>
          <t>∆P в на фильтре</t>
        </is>
      </c>
      <c r="I28" s="8" t="inlineStr">
        <is>
          <t>БКК 71</t>
        </is>
      </c>
      <c r="J28" s="15" t="inlineStr">
        <is>
          <t>АСУ,А и ТМ (КЦ № 7)</t>
        </is>
      </c>
      <c r="K28" s="15" t="inlineStr">
        <is>
          <t>2020г.</t>
        </is>
      </c>
      <c r="L28" s="15" t="n">
        <v>12</v>
      </c>
      <c r="M28" s="3" t="inlineStr">
        <is>
          <t>1к26</t>
        </is>
      </c>
      <c r="N28" s="70" t="inlineStr">
        <is>
          <t>К</t>
        </is>
      </c>
    </row>
    <row r="29" ht="22.5" customHeight="1" s="151">
      <c r="A29" s="15">
        <f>IF(B29&lt;&gt;"", COUNTA($B$2:B29), "")</f>
        <v/>
      </c>
      <c r="B29" s="280" t="inlineStr">
        <is>
          <t>Перепад давления ДМ 5302</t>
        </is>
      </c>
      <c r="C29" s="14" t="inlineStr">
        <is>
          <t>Wika</t>
        </is>
      </c>
      <c r="D29" s="14" t="inlineStr">
        <is>
          <t>110BGBZR</t>
        </is>
      </c>
      <c r="E29" s="70" t="n">
        <v>2018</v>
      </c>
      <c r="F29" s="70" t="inlineStr">
        <is>
          <t>0…0,6 бар</t>
        </is>
      </c>
      <c r="G29" s="71" t="n"/>
      <c r="H29" s="175" t="inlineStr">
        <is>
          <t>∆P в на фильтре</t>
        </is>
      </c>
      <c r="I29" s="8" t="inlineStr">
        <is>
          <t>БКК 71</t>
        </is>
      </c>
      <c r="J29" s="15" t="inlineStr">
        <is>
          <t>АСУ,А и ТМ (КЦ № 7)</t>
        </is>
      </c>
      <c r="K29" s="15" t="inlineStr">
        <is>
          <t>2020г.</t>
        </is>
      </c>
      <c r="L29" s="15" t="n">
        <v>12</v>
      </c>
      <c r="M29" s="3" t="inlineStr">
        <is>
          <t>1к26</t>
        </is>
      </c>
      <c r="N29" s="70" t="inlineStr">
        <is>
          <t>К</t>
        </is>
      </c>
    </row>
    <row r="30" ht="22.5" customHeight="1" s="151">
      <c r="A30" s="15">
        <f>IF(B30&lt;&gt;"", COUNTA($B$2:B30), "")</f>
        <v/>
      </c>
      <c r="B30" s="280" t="inlineStr">
        <is>
          <t>Перепад давления ДМ 5303</t>
        </is>
      </c>
      <c r="C30" s="14" t="inlineStr">
        <is>
          <t>Wika</t>
        </is>
      </c>
      <c r="D30" s="14" t="inlineStr">
        <is>
          <t>110BGBZM</t>
        </is>
      </c>
      <c r="E30" s="70" t="n">
        <v>2018</v>
      </c>
      <c r="F30" s="70" t="inlineStr">
        <is>
          <t>0…0,6 бар</t>
        </is>
      </c>
      <c r="G30" s="71" t="n"/>
      <c r="H30" s="175" t="inlineStr">
        <is>
          <t>∆P в на фильтре</t>
        </is>
      </c>
      <c r="I30" s="8" t="inlineStr">
        <is>
          <t>БКК 71</t>
        </is>
      </c>
      <c r="J30" s="15" t="inlineStr">
        <is>
          <t>АСУ,А и ТМ (КЦ № 7)</t>
        </is>
      </c>
      <c r="K30" s="15" t="inlineStr">
        <is>
          <t>2020г.</t>
        </is>
      </c>
      <c r="L30" s="15" t="n">
        <v>12</v>
      </c>
      <c r="M30" s="3" t="inlineStr">
        <is>
          <t>1к26</t>
        </is>
      </c>
      <c r="N30" s="70" t="inlineStr">
        <is>
          <t>К</t>
        </is>
      </c>
    </row>
    <row r="31" ht="22.5" customHeight="1" s="151">
      <c r="A31" s="15">
        <f>IF(B31&lt;&gt;"", COUNTA($B$2:B31), "")</f>
        <v/>
      </c>
      <c r="B31" s="280" t="inlineStr">
        <is>
          <t>Перепад давления ДМ 5304</t>
        </is>
      </c>
      <c r="C31" s="14" t="inlineStr">
        <is>
          <t>Wika</t>
        </is>
      </c>
      <c r="D31" s="14" t="inlineStr">
        <is>
          <t>110BGBZN</t>
        </is>
      </c>
      <c r="E31" s="70" t="n">
        <v>2018</v>
      </c>
      <c r="F31" s="70" t="inlineStr">
        <is>
          <t>0…0,6 бар</t>
        </is>
      </c>
      <c r="G31" s="71" t="n"/>
      <c r="H31" s="175" t="inlineStr">
        <is>
          <t>∆P в на фильтре</t>
        </is>
      </c>
      <c r="I31" s="8" t="inlineStr">
        <is>
          <t>БКК 71</t>
        </is>
      </c>
      <c r="J31" s="15" t="inlineStr">
        <is>
          <t>АСУ,А и ТМ (КЦ № 7)</t>
        </is>
      </c>
      <c r="K31" s="15" t="inlineStr">
        <is>
          <t>2020г.</t>
        </is>
      </c>
      <c r="L31" s="15" t="n">
        <v>12</v>
      </c>
      <c r="M31" s="3" t="inlineStr">
        <is>
          <t>1к26</t>
        </is>
      </c>
      <c r="N31" s="70" t="inlineStr">
        <is>
          <t>К</t>
        </is>
      </c>
    </row>
    <row r="32" ht="22.5" customHeight="1" s="151">
      <c r="A32" s="15">
        <f>IF(B32&lt;&gt;"", COUNTA($B$2:B32), "")</f>
        <v/>
      </c>
      <c r="B32" s="280" t="inlineStr">
        <is>
          <t>Перепад давления ДМ 5305</t>
        </is>
      </c>
      <c r="C32" s="14" t="inlineStr">
        <is>
          <t>Wika</t>
        </is>
      </c>
      <c r="D32" s="14" t="inlineStr">
        <is>
          <t>110BGBZT</t>
        </is>
      </c>
      <c r="E32" s="70" t="n">
        <v>2018</v>
      </c>
      <c r="F32" s="70" t="inlineStr">
        <is>
          <t>0…0,6 бар</t>
        </is>
      </c>
      <c r="G32" s="71" t="n"/>
      <c r="H32" s="175" t="inlineStr">
        <is>
          <t>∆P в на фильтре</t>
        </is>
      </c>
      <c r="I32" s="8" t="inlineStr">
        <is>
          <t>БКК 71</t>
        </is>
      </c>
      <c r="J32" s="15" t="inlineStr">
        <is>
          <t>АСУ,А и ТМ (КЦ № 7)</t>
        </is>
      </c>
      <c r="K32" s="15" t="inlineStr">
        <is>
          <t>2020г.</t>
        </is>
      </c>
      <c r="L32" s="15" t="n">
        <v>12</v>
      </c>
      <c r="M32" s="3" t="inlineStr">
        <is>
          <t>1к26</t>
        </is>
      </c>
      <c r="N32" s="70" t="inlineStr">
        <is>
          <t>К</t>
        </is>
      </c>
    </row>
    <row r="33" ht="22.5" customHeight="1" s="151">
      <c r="A33" s="15">
        <f>IF(B33&lt;&gt;"", COUNTA($B$2:B33), "")</f>
        <v/>
      </c>
      <c r="B33" s="280" t="inlineStr">
        <is>
          <t>Манометр технический</t>
        </is>
      </c>
      <c r="C33" s="70" t="inlineStr">
        <is>
          <t>ТМ3</t>
        </is>
      </c>
      <c r="D33" s="175" t="n">
        <v>7000203</v>
      </c>
      <c r="E33" s="70" t="n">
        <v>2018</v>
      </c>
      <c r="F33" s="70" t="inlineStr">
        <is>
          <t>0…0,1 МПа</t>
        </is>
      </c>
      <c r="G33" s="71" t="n">
        <v>1.5</v>
      </c>
      <c r="H33" s="175" t="inlineStr">
        <is>
          <t>P в в ГШ 5301</t>
        </is>
      </c>
      <c r="I33" s="8" t="inlineStr">
        <is>
          <t>БКК 71</t>
        </is>
      </c>
      <c r="J33" s="15" t="inlineStr">
        <is>
          <t>АСУ,А и ТМ (КЦ № 7)</t>
        </is>
      </c>
      <c r="K33" s="15" t="inlineStr">
        <is>
          <t>2020г.</t>
        </is>
      </c>
      <c r="L33" s="15" t="n">
        <v>12</v>
      </c>
      <c r="M33" s="3" t="inlineStr">
        <is>
          <t>1к26</t>
        </is>
      </c>
      <c r="N33" s="70" t="inlineStr">
        <is>
          <t>К</t>
        </is>
      </c>
    </row>
    <row r="34" ht="22.5" customHeight="1" s="151">
      <c r="A34" s="15">
        <f>IF(B34&lt;&gt;"", COUNTA($B$2:B34), "")</f>
        <v/>
      </c>
      <c r="B34" s="280" t="inlineStr">
        <is>
          <t>Манометр технический</t>
        </is>
      </c>
      <c r="C34" s="70" t="inlineStr">
        <is>
          <t>ТМ3</t>
        </is>
      </c>
      <c r="D34" s="175" t="n">
        <v>7000204</v>
      </c>
      <c r="E34" s="70" t="n">
        <v>2018</v>
      </c>
      <c r="F34" s="70" t="inlineStr">
        <is>
          <t>0…0,1 МПа</t>
        </is>
      </c>
      <c r="G34" s="71" t="n">
        <v>1.5</v>
      </c>
      <c r="H34" s="175" t="inlineStr">
        <is>
          <t>P в в ГШ 5302</t>
        </is>
      </c>
      <c r="I34" s="8" t="inlineStr">
        <is>
          <t>БКК 71</t>
        </is>
      </c>
      <c r="J34" s="15" t="inlineStr">
        <is>
          <t>АСУ,А и ТМ (КЦ № 7)</t>
        </is>
      </c>
      <c r="K34" s="15" t="inlineStr">
        <is>
          <t>2020г.</t>
        </is>
      </c>
      <c r="L34" s="15" t="n">
        <v>12</v>
      </c>
      <c r="M34" s="3" t="inlineStr">
        <is>
          <t>1к26</t>
        </is>
      </c>
      <c r="N34" s="70" t="inlineStr">
        <is>
          <t>К</t>
        </is>
      </c>
    </row>
    <row r="35" ht="22.5" customHeight="1" s="151">
      <c r="A35" s="15">
        <f>IF(B35&lt;&gt;"", COUNTA($B$2:B35), "")</f>
        <v/>
      </c>
      <c r="B35" s="280" t="inlineStr">
        <is>
          <t>Манометр технический</t>
        </is>
      </c>
      <c r="C35" s="70" t="inlineStr">
        <is>
          <t>МП3-УУ2</t>
        </is>
      </c>
      <c r="D35" s="175" t="n">
        <v>211211876</v>
      </c>
      <c r="E35" s="70" t="n">
        <v>2018</v>
      </c>
      <c r="F35" s="70" t="inlineStr">
        <is>
          <t>0…1,6 МПа</t>
        </is>
      </c>
      <c r="G35" s="71" t="n">
        <v>1.5</v>
      </c>
      <c r="H35" s="175" t="inlineStr">
        <is>
          <t>P в в ресивере</t>
        </is>
      </c>
      <c r="I35" s="8" t="inlineStr">
        <is>
          <t>ГПА 71</t>
        </is>
      </c>
      <c r="J35" s="15" t="inlineStr">
        <is>
          <t>АСУ,А и ТМ (КЦ № 7)</t>
        </is>
      </c>
      <c r="K35" s="15" t="inlineStr">
        <is>
          <t>2020г.</t>
        </is>
      </c>
      <c r="L35" s="15" t="n">
        <v>12</v>
      </c>
      <c r="M35" s="3" t="inlineStr">
        <is>
          <t>26ДЯУ</t>
        </is>
      </c>
      <c r="N35" s="70" t="inlineStr">
        <is>
          <t>П</t>
        </is>
      </c>
    </row>
    <row r="36" ht="22.5" customHeight="1" s="151">
      <c r="A36" s="15">
        <f>IF(B36&lt;&gt;"", COUNTA($B$2:B36), "")</f>
        <v/>
      </c>
      <c r="B36" s="280" t="inlineStr">
        <is>
          <t>Манометр технический</t>
        </is>
      </c>
      <c r="C36" s="70" t="inlineStr">
        <is>
          <t>МП4-УУ2</t>
        </is>
      </c>
      <c r="D36" s="70" t="n">
        <v>15141</v>
      </c>
      <c r="E36" s="70" t="n">
        <v>2018</v>
      </c>
      <c r="F36" s="26" t="inlineStr">
        <is>
          <t>0…160 кгс/см2</t>
        </is>
      </c>
      <c r="G36" s="71" t="n">
        <v>1.5</v>
      </c>
      <c r="H36" s="175" t="inlineStr">
        <is>
          <t>P г во 2 фильтроэлементе БФБГ №1</t>
        </is>
      </c>
      <c r="I36" s="8" t="inlineStr">
        <is>
          <t>ГПА 71</t>
        </is>
      </c>
      <c r="J36" s="15" t="inlineStr">
        <is>
          <t>АСУ,А и ТМ (КЦ № 7)</t>
        </is>
      </c>
      <c r="K36" s="15" t="inlineStr">
        <is>
          <t>2020г.</t>
        </is>
      </c>
      <c r="L36" s="15" t="n">
        <v>12</v>
      </c>
      <c r="M36" s="3" t="inlineStr">
        <is>
          <t>26ДЯУ</t>
        </is>
      </c>
      <c r="N36" s="70" t="inlineStr">
        <is>
          <t>П</t>
        </is>
      </c>
    </row>
    <row r="37" ht="22.5" customHeight="1" s="151">
      <c r="A37" s="15">
        <f>IF(B37&lt;&gt;"", COUNTA($B$2:B37), "")</f>
        <v/>
      </c>
      <c r="B37" s="280" t="inlineStr">
        <is>
          <t>Манометр технический</t>
        </is>
      </c>
      <c r="C37" s="70" t="inlineStr">
        <is>
          <t>МП4-УУ2</t>
        </is>
      </c>
      <c r="D37" s="70" t="n">
        <v>212032971</v>
      </c>
      <c r="E37" s="70" t="n">
        <v>2018</v>
      </c>
      <c r="F37" s="70" t="inlineStr">
        <is>
          <t>0…16 МПа</t>
        </is>
      </c>
      <c r="G37" s="71" t="n">
        <v>1.5</v>
      </c>
      <c r="H37" s="175" t="inlineStr">
        <is>
          <t>P г в 1 фильтроэлементе БФБГ №1</t>
        </is>
      </c>
      <c r="I37" s="8" t="inlineStr">
        <is>
          <t>ГПА 71</t>
        </is>
      </c>
      <c r="J37" s="15" t="inlineStr">
        <is>
          <t>АСУ,А и ТМ (КЦ № 7)</t>
        </is>
      </c>
      <c r="K37" s="15" t="inlineStr">
        <is>
          <t>2020г.</t>
        </is>
      </c>
      <c r="L37" s="15" t="n">
        <v>12</v>
      </c>
      <c r="M37" s="3" t="inlineStr">
        <is>
          <t>26ДЯУ</t>
        </is>
      </c>
      <c r="N37" s="70" t="inlineStr">
        <is>
          <t>П</t>
        </is>
      </c>
    </row>
    <row r="38" ht="22.5" customHeight="1" s="151">
      <c r="A38" s="15">
        <f>IF(B38&lt;&gt;"", COUNTA($B$2:B38), "")</f>
        <v/>
      </c>
      <c r="B38" s="280" t="inlineStr">
        <is>
          <t>Манометр технический</t>
        </is>
      </c>
      <c r="C38" s="70" t="inlineStr">
        <is>
          <t>МП4-УУ2</t>
        </is>
      </c>
      <c r="D38" s="70" t="n">
        <v>15403</v>
      </c>
      <c r="E38" s="70" t="n">
        <v>2018</v>
      </c>
      <c r="F38" s="26" t="inlineStr">
        <is>
          <t>0…160 кгс/см2</t>
        </is>
      </c>
      <c r="G38" s="71" t="n">
        <v>1</v>
      </c>
      <c r="H38" s="175" t="inlineStr">
        <is>
          <t>P г во 2 фильтроэлементе БФБГ №2</t>
        </is>
      </c>
      <c r="I38" s="8" t="inlineStr">
        <is>
          <t>ГПА 71</t>
        </is>
      </c>
      <c r="J38" s="15" t="inlineStr">
        <is>
          <t>АСУ,А и ТМ (КЦ № 7)</t>
        </is>
      </c>
      <c r="K38" s="15" t="inlineStr">
        <is>
          <t>2020г.</t>
        </is>
      </c>
      <c r="L38" s="15" t="n">
        <v>12</v>
      </c>
      <c r="M38" s="3" t="inlineStr">
        <is>
          <t>26ДЯУ</t>
        </is>
      </c>
      <c r="N38" s="70" t="inlineStr">
        <is>
          <t>П</t>
        </is>
      </c>
    </row>
    <row r="39" ht="22.5" customHeight="1" s="151">
      <c r="A39" s="15">
        <f>IF(B39&lt;&gt;"", COUNTA($B$2:B39), "")</f>
        <v/>
      </c>
      <c r="B39" s="280" t="inlineStr">
        <is>
          <t>Манометр технический</t>
        </is>
      </c>
      <c r="C39" s="70" t="inlineStr">
        <is>
          <t>МП4-УУ2</t>
        </is>
      </c>
      <c r="D39" s="70" t="n">
        <v>212032109</v>
      </c>
      <c r="E39" s="70" t="n">
        <v>2018</v>
      </c>
      <c r="F39" s="70" t="inlineStr">
        <is>
          <t>0…16 МПа</t>
        </is>
      </c>
      <c r="G39" s="71" t="n">
        <v>1.5</v>
      </c>
      <c r="H39" s="175" t="inlineStr">
        <is>
          <t>P г в 1 фильтроэлементе БФБГ №2</t>
        </is>
      </c>
      <c r="I39" s="8" t="inlineStr">
        <is>
          <t>ГПА 71</t>
        </is>
      </c>
      <c r="J39" s="15" t="inlineStr">
        <is>
          <t>АСУ,А и ТМ (КЦ № 7)</t>
        </is>
      </c>
      <c r="K39" s="15" t="inlineStr">
        <is>
          <t>2020г.</t>
        </is>
      </c>
      <c r="L39" s="15" t="n">
        <v>12</v>
      </c>
      <c r="M39" s="3" t="inlineStr">
        <is>
          <t>26ДЯУ</t>
        </is>
      </c>
      <c r="N39" s="70" t="inlineStr">
        <is>
          <t>П</t>
        </is>
      </c>
    </row>
    <row r="40" ht="22.5" customHeight="1" s="151">
      <c r="A40" s="15">
        <f>IF(B40&lt;&gt;"", COUNTA($B$2:B40), "")</f>
        <v/>
      </c>
      <c r="B40" s="280" t="inlineStr">
        <is>
          <t>Манометр технический</t>
        </is>
      </c>
      <c r="C40" s="70" t="inlineStr">
        <is>
          <t>МП4-УУ2</t>
        </is>
      </c>
      <c r="D40" s="70" t="n">
        <v>80334</v>
      </c>
      <c r="E40" s="70" t="n">
        <v>2018</v>
      </c>
      <c r="F40" s="26" t="inlineStr">
        <is>
          <t>0…160 кгс/см2</t>
        </is>
      </c>
      <c r="G40" s="71" t="n">
        <v>1.5</v>
      </c>
      <c r="H40" s="175" t="inlineStr">
        <is>
          <t>P г во 2 фильтроэлементе БФТГ №1</t>
        </is>
      </c>
      <c r="I40" s="8" t="inlineStr">
        <is>
          <t>ГПА 71</t>
        </is>
      </c>
      <c r="J40" s="15" t="inlineStr">
        <is>
          <t>АСУ,А и ТМ (КЦ № 7)</t>
        </is>
      </c>
      <c r="K40" s="15" t="inlineStr">
        <is>
          <t>2020г.</t>
        </is>
      </c>
      <c r="L40" s="15" t="n">
        <v>12</v>
      </c>
      <c r="M40" s="3" t="inlineStr">
        <is>
          <t>26ДЯУ</t>
        </is>
      </c>
      <c r="N40" s="70" t="inlineStr">
        <is>
          <t>П</t>
        </is>
      </c>
    </row>
    <row r="41" ht="22.5" customHeight="1" s="151">
      <c r="A41" s="15">
        <f>IF(B41&lt;&gt;"", COUNTA($B$2:B41), "")</f>
        <v/>
      </c>
      <c r="B41" s="280" t="inlineStr">
        <is>
          <t>Манометр технический</t>
        </is>
      </c>
      <c r="C41" s="70" t="inlineStr">
        <is>
          <t>МП4-УУ2</t>
        </is>
      </c>
      <c r="D41" s="70" t="n">
        <v>212032418</v>
      </c>
      <c r="E41" s="70" t="n">
        <v>2018</v>
      </c>
      <c r="F41" s="70" t="inlineStr">
        <is>
          <t>0…16 МПа</t>
        </is>
      </c>
      <c r="G41" s="71" t="n">
        <v>1.5</v>
      </c>
      <c r="H41" s="175" t="inlineStr">
        <is>
          <t>P г в 1 фильтроэлементе БФТГ №1</t>
        </is>
      </c>
      <c r="I41" s="8" t="inlineStr">
        <is>
          <t>ГПА 71</t>
        </is>
      </c>
      <c r="J41" s="15" t="inlineStr">
        <is>
          <t>АСУ,А и ТМ (КЦ № 7)</t>
        </is>
      </c>
      <c r="K41" s="15" t="inlineStr">
        <is>
          <t>2020г.</t>
        </is>
      </c>
      <c r="L41" s="15" t="n">
        <v>12</v>
      </c>
      <c r="M41" s="3" t="inlineStr">
        <is>
          <t>26ДЯУ</t>
        </is>
      </c>
      <c r="N41" s="70" t="inlineStr">
        <is>
          <t>П</t>
        </is>
      </c>
    </row>
    <row r="42" ht="22.5" customHeight="1" s="151">
      <c r="A42" s="15">
        <f>IF(B42&lt;&gt;"", COUNTA($B$2:B42), "")</f>
        <v/>
      </c>
      <c r="B42" s="280" t="inlineStr">
        <is>
          <t>Манометр технический</t>
        </is>
      </c>
      <c r="C42" s="70" t="inlineStr">
        <is>
          <t>МП4-УУ2</t>
        </is>
      </c>
      <c r="D42" s="70" t="n">
        <v>212032078</v>
      </c>
      <c r="E42" s="70" t="n">
        <v>2018</v>
      </c>
      <c r="F42" s="70" t="inlineStr">
        <is>
          <t>0…16 МПа</t>
        </is>
      </c>
      <c r="G42" s="71" t="n">
        <v>1.5</v>
      </c>
      <c r="H42" s="175" t="inlineStr">
        <is>
          <t>P г в 1 фильтроэлементе БФТГ №2</t>
        </is>
      </c>
      <c r="I42" s="8" t="inlineStr">
        <is>
          <t>ГПА 71</t>
        </is>
      </c>
      <c r="J42" s="15" t="inlineStr">
        <is>
          <t>АСУ,А и ТМ (КЦ № 7)</t>
        </is>
      </c>
      <c r="K42" s="15" t="inlineStr">
        <is>
          <t>2020г.</t>
        </is>
      </c>
      <c r="L42" s="15" t="n">
        <v>12</v>
      </c>
      <c r="M42" s="3" t="inlineStr">
        <is>
          <t>26ДЯУ</t>
        </is>
      </c>
      <c r="N42" s="70" t="inlineStr">
        <is>
          <t>П</t>
        </is>
      </c>
    </row>
    <row r="43" ht="22.5" customHeight="1" s="151">
      <c r="A43" s="15">
        <f>IF(B43&lt;&gt;"", COUNTA($B$2:B43), "")</f>
        <v/>
      </c>
      <c r="B43" s="280" t="inlineStr">
        <is>
          <t>Манометр технический</t>
        </is>
      </c>
      <c r="C43" s="70" t="inlineStr">
        <is>
          <t>МП4-УУ2</t>
        </is>
      </c>
      <c r="D43" s="70" t="n">
        <v>212032143</v>
      </c>
      <c r="E43" s="70" t="n">
        <v>2018</v>
      </c>
      <c r="F43" s="70" t="inlineStr">
        <is>
          <t>0…16 МПа</t>
        </is>
      </c>
      <c r="G43" s="71" t="n">
        <v>1.5</v>
      </c>
      <c r="H43" s="175" t="inlineStr">
        <is>
          <t>P г во 2 фильтроэлементе БФТГ №2</t>
        </is>
      </c>
      <c r="I43" s="8" t="inlineStr">
        <is>
          <t>ГПА 71</t>
        </is>
      </c>
      <c r="J43" s="15" t="inlineStr">
        <is>
          <t>АСУ,А и ТМ (КЦ № 7)</t>
        </is>
      </c>
      <c r="K43" s="15" t="inlineStr">
        <is>
          <t>2020г.</t>
        </is>
      </c>
      <c r="L43" s="15" t="n">
        <v>12</v>
      </c>
      <c r="M43" s="3" t="inlineStr">
        <is>
          <t>26ДЯУ</t>
        </is>
      </c>
      <c r="N43" s="70" t="inlineStr">
        <is>
          <t>П</t>
        </is>
      </c>
    </row>
    <row r="44" ht="22.5" customHeight="1" s="151">
      <c r="A44" s="15">
        <f>IF(B44&lt;&gt;"", COUNTA($B$2:B44), "")</f>
        <v/>
      </c>
      <c r="B44" s="280" t="inlineStr">
        <is>
          <t>Манометр технический</t>
        </is>
      </c>
      <c r="C44" s="70" t="inlineStr">
        <is>
          <t>МП4-УУ2</t>
        </is>
      </c>
      <c r="D44" s="70" t="n">
        <v>700039</v>
      </c>
      <c r="E44" s="70" t="n">
        <v>2018</v>
      </c>
      <c r="F44" s="70" t="inlineStr">
        <is>
          <t>0…16 МПа</t>
        </is>
      </c>
      <c r="G44" s="71" t="n">
        <v>1</v>
      </c>
      <c r="H44" s="175" t="inlineStr">
        <is>
          <t>P имп г крана 3бис</t>
        </is>
      </c>
      <c r="I44" s="8" t="inlineStr">
        <is>
          <t>ГПА 71</t>
        </is>
      </c>
      <c r="J44" s="15" t="inlineStr">
        <is>
          <t>АСУ,А и ТМ (КЦ № 7)</t>
        </is>
      </c>
      <c r="K44" s="15" t="inlineStr">
        <is>
          <t>2020г.</t>
        </is>
      </c>
      <c r="L44" s="15" t="n">
        <v>12</v>
      </c>
      <c r="M44" s="3" t="inlineStr">
        <is>
          <t>2К26</t>
        </is>
      </c>
      <c r="N44" s="70" t="inlineStr">
        <is>
          <t>К</t>
        </is>
      </c>
    </row>
    <row r="45" ht="22.5" customHeight="1" s="151">
      <c r="A45" s="15">
        <f>IF(B45&lt;&gt;"", COUNTA($B$2:B45), "")</f>
        <v/>
      </c>
      <c r="B45" s="280" t="inlineStr">
        <is>
          <t>Манометр технический</t>
        </is>
      </c>
      <c r="C45" s="70" t="inlineStr">
        <is>
          <t>КМ2</t>
        </is>
      </c>
      <c r="D45" s="32" t="inlineStr">
        <is>
          <t>700283</t>
        </is>
      </c>
      <c r="E45" s="70" t="n">
        <v>2018</v>
      </c>
      <c r="F45" s="70" t="inlineStr">
        <is>
          <t>0…25 кПа</t>
        </is>
      </c>
      <c r="G45" s="71" t="n">
        <v>1.5</v>
      </c>
      <c r="H45" s="175" t="inlineStr">
        <is>
          <t>P г после счётчика MH2</t>
        </is>
      </c>
      <c r="I45" s="8" t="inlineStr">
        <is>
          <t>АВГМ 71</t>
        </is>
      </c>
      <c r="J45" s="15" t="inlineStr">
        <is>
          <t>АСУ,А и ТМ (КЦ № 7)</t>
        </is>
      </c>
      <c r="K45" s="15" t="inlineStr">
        <is>
          <t>2020г.</t>
        </is>
      </c>
      <c r="L45" s="15" t="n">
        <v>12</v>
      </c>
      <c r="M45" s="3" t="inlineStr">
        <is>
          <t>2К26</t>
        </is>
      </c>
      <c r="N45" s="70" t="inlineStr">
        <is>
          <t>К</t>
        </is>
      </c>
    </row>
    <row r="46" ht="22.5" customHeight="1" s="151">
      <c r="A46" s="15">
        <f>IF(B46&lt;&gt;"", COUNTA($B$2:B46), "")</f>
        <v/>
      </c>
      <c r="B46" s="280" t="inlineStr">
        <is>
          <t>Манометр технический</t>
        </is>
      </c>
      <c r="C46" s="70" t="inlineStr">
        <is>
          <t>ТМ5</t>
        </is>
      </c>
      <c r="D46" s="32" t="inlineStr">
        <is>
          <t>15421</t>
        </is>
      </c>
      <c r="E46" s="70" t="n">
        <v>2018</v>
      </c>
      <c r="F46" s="26" t="inlineStr">
        <is>
          <t>0…10 кгс/см2</t>
        </is>
      </c>
      <c r="G46" s="71" t="n">
        <v>1.5</v>
      </c>
      <c r="H46" s="175" t="inlineStr">
        <is>
          <t>P г на входе MH1</t>
        </is>
      </c>
      <c r="I46" s="8" t="inlineStr">
        <is>
          <t>АВГМ 71</t>
        </is>
      </c>
      <c r="J46" s="15" t="inlineStr">
        <is>
          <t>АСУ,А и ТМ (КЦ № 7)</t>
        </is>
      </c>
      <c r="K46" s="15" t="inlineStr">
        <is>
          <t>2020г.</t>
        </is>
      </c>
      <c r="L46" s="15" t="n">
        <v>12</v>
      </c>
      <c r="M46" s="3" t="inlineStr">
        <is>
          <t>2К26</t>
        </is>
      </c>
      <c r="N46" s="70" t="inlineStr">
        <is>
          <t>К</t>
        </is>
      </c>
    </row>
    <row r="47" ht="22.5" customHeight="1" s="151">
      <c r="A47" s="15">
        <f>IF(B47&lt;&gt;"", COUNTA($B$2:B47), "")</f>
        <v/>
      </c>
      <c r="B47" s="280" t="inlineStr">
        <is>
          <t>Манометр технический</t>
        </is>
      </c>
      <c r="C47" s="70" t="inlineStr">
        <is>
          <t>МП4-УУ2</t>
        </is>
      </c>
      <c r="D47" s="32" t="inlineStr">
        <is>
          <t>7000105</t>
        </is>
      </c>
      <c r="E47" s="70" t="n">
        <v>2018</v>
      </c>
      <c r="F47" s="70" t="inlineStr">
        <is>
          <t>0…16 МПа</t>
        </is>
      </c>
      <c r="G47" s="71" t="n">
        <v>1</v>
      </c>
      <c r="H47" s="175" t="inlineStr">
        <is>
          <t>P г после защитной решётки</t>
        </is>
      </c>
      <c r="I47" s="8" t="inlineStr">
        <is>
          <t>ГПА 71</t>
        </is>
      </c>
      <c r="J47" s="15" t="inlineStr">
        <is>
          <t>АСУ,А и ТМ (КЦ № 7)</t>
        </is>
      </c>
      <c r="K47" s="15" t="inlineStr">
        <is>
          <t>2020г.</t>
        </is>
      </c>
      <c r="L47" s="15" t="n">
        <v>12</v>
      </c>
      <c r="M47" s="3" t="inlineStr">
        <is>
          <t>2К26</t>
        </is>
      </c>
      <c r="N47" s="70" t="inlineStr">
        <is>
          <t>К</t>
        </is>
      </c>
    </row>
    <row r="48" ht="22.5" customHeight="1" s="151">
      <c r="A48" s="15">
        <f>IF(B48&lt;&gt;"", COUNTA($B$2:B48), "")</f>
        <v/>
      </c>
      <c r="B48" s="280" t="inlineStr">
        <is>
          <t>Манометр технический</t>
        </is>
      </c>
      <c r="C48" s="70" t="inlineStr">
        <is>
          <t>МП4-УУ2</t>
        </is>
      </c>
      <c r="D48" s="32" t="inlineStr">
        <is>
          <t>7000102</t>
        </is>
      </c>
      <c r="E48" s="70" t="n">
        <v>2018</v>
      </c>
      <c r="F48" s="70" t="inlineStr">
        <is>
          <t>0…16 МПа</t>
        </is>
      </c>
      <c r="G48" s="71" t="n">
        <v>1</v>
      </c>
      <c r="H48" s="175" t="inlineStr">
        <is>
          <t>P г до защитной решётки</t>
        </is>
      </c>
      <c r="I48" s="8" t="inlineStr">
        <is>
          <t>ГПА 71</t>
        </is>
      </c>
      <c r="J48" s="15" t="inlineStr">
        <is>
          <t>АСУ,А и ТМ (КЦ № 7)</t>
        </is>
      </c>
      <c r="K48" s="15" t="inlineStr">
        <is>
          <t>2020г.</t>
        </is>
      </c>
      <c r="L48" s="15" t="n">
        <v>12</v>
      </c>
      <c r="M48" s="3" t="inlineStr">
        <is>
          <t>2К26</t>
        </is>
      </c>
      <c r="N48" s="70" t="inlineStr">
        <is>
          <t>К</t>
        </is>
      </c>
    </row>
    <row r="49" ht="22.5" customHeight="1" s="151">
      <c r="A49" s="15">
        <f>IF(B49&lt;&gt;"", COUNTA($B$2:B49), "")</f>
        <v/>
      </c>
      <c r="B49" s="280" t="inlineStr">
        <is>
          <t>Манометр технический</t>
        </is>
      </c>
      <c r="C49" s="70" t="inlineStr">
        <is>
          <t>МП4-УФ БС УФЛ1</t>
        </is>
      </c>
      <c r="D49" s="32" t="inlineStr">
        <is>
          <t>311558</t>
        </is>
      </c>
      <c r="E49" s="70" t="n">
        <v>2018</v>
      </c>
      <c r="F49" s="70" t="inlineStr">
        <is>
          <t>0…16 МПа</t>
        </is>
      </c>
      <c r="G49" s="71" t="n">
        <v>1</v>
      </c>
      <c r="H49" s="175" t="inlineStr">
        <is>
          <t>P г до крана №1-1</t>
        </is>
      </c>
      <c r="I49" s="8" t="inlineStr">
        <is>
          <t>ГПА 71</t>
        </is>
      </c>
      <c r="J49" s="15" t="inlineStr">
        <is>
          <t>АСУ,А и ТМ (КЦ № 7)</t>
        </is>
      </c>
      <c r="K49" s="15" t="inlineStr">
        <is>
          <t>2020г.</t>
        </is>
      </c>
      <c r="L49" s="15" t="n">
        <v>12</v>
      </c>
      <c r="M49" s="3" t="inlineStr">
        <is>
          <t>2К26</t>
        </is>
      </c>
      <c r="N49" s="70" t="inlineStr">
        <is>
          <t>К</t>
        </is>
      </c>
    </row>
    <row r="50" ht="22.5" customHeight="1" s="151">
      <c r="A50" s="15">
        <f>IF(B50&lt;&gt;"", COUNTA($B$2:B50), "")</f>
        <v/>
      </c>
      <c r="B50" s="280" t="inlineStr">
        <is>
          <t>Манометр технический</t>
        </is>
      </c>
      <c r="C50" s="70" t="inlineStr">
        <is>
          <t>МП4-УУ2</t>
        </is>
      </c>
      <c r="D50" s="32" t="inlineStr">
        <is>
          <t>7000104</t>
        </is>
      </c>
      <c r="E50" s="70" t="n">
        <v>2018</v>
      </c>
      <c r="F50" s="70" t="inlineStr">
        <is>
          <t>0…16 МПа</t>
        </is>
      </c>
      <c r="G50" s="71" t="n">
        <v>1</v>
      </c>
      <c r="H50" s="175" t="inlineStr">
        <is>
          <t>P г после крана №1-1</t>
        </is>
      </c>
      <c r="I50" s="8" t="inlineStr">
        <is>
          <t>ГПА 71</t>
        </is>
      </c>
      <c r="J50" s="15" t="inlineStr">
        <is>
          <t>АСУ,А и ТМ (КЦ № 7)</t>
        </is>
      </c>
      <c r="K50" s="15" t="inlineStr">
        <is>
          <t>2020г.</t>
        </is>
      </c>
      <c r="L50" s="15" t="n">
        <v>12</v>
      </c>
      <c r="M50" s="3" t="inlineStr">
        <is>
          <t>2К26</t>
        </is>
      </c>
      <c r="N50" s="70" t="inlineStr">
        <is>
          <t>К</t>
        </is>
      </c>
    </row>
    <row r="51" ht="22.5" customHeight="1" s="151">
      <c r="A51" s="15">
        <f>IF(B51&lt;&gt;"", COUNTA($B$2:B51), "")</f>
        <v/>
      </c>
      <c r="B51" s="280" t="inlineStr">
        <is>
          <t>Манометр технический</t>
        </is>
      </c>
      <c r="C51" s="70" t="inlineStr">
        <is>
          <t>МП3-УУХЛ1</t>
        </is>
      </c>
      <c r="D51" s="32" t="inlineStr">
        <is>
          <t>212033565</t>
        </is>
      </c>
      <c r="E51" s="70" t="n">
        <v>2018</v>
      </c>
      <c r="F51" s="70" t="inlineStr">
        <is>
          <t>0…16 МПа</t>
        </is>
      </c>
      <c r="G51" s="71" t="n">
        <v>1</v>
      </c>
      <c r="H51" s="175" t="inlineStr">
        <is>
          <t>P г в ёмкости Е-1</t>
        </is>
      </c>
      <c r="I51" s="8" t="inlineStr">
        <is>
          <t>ГПА 71</t>
        </is>
      </c>
      <c r="J51" s="15" t="inlineStr">
        <is>
          <t>АСУ,А и ТМ (КЦ № 7)</t>
        </is>
      </c>
      <c r="K51" s="15" t="inlineStr">
        <is>
          <t>2020г.</t>
        </is>
      </c>
      <c r="L51" s="15" t="n">
        <v>12</v>
      </c>
      <c r="M51" s="3" t="inlineStr">
        <is>
          <t>26ДЯУ</t>
        </is>
      </c>
      <c r="N51" s="70" t="inlineStr">
        <is>
          <t>П</t>
        </is>
      </c>
    </row>
    <row r="52" ht="22.5" customHeight="1" s="151">
      <c r="A52" s="15">
        <f>IF(B52&lt;&gt;"", COUNTA($B$2:B52), "")</f>
        <v/>
      </c>
      <c r="B52" s="280" t="inlineStr">
        <is>
          <t>Манометр технический</t>
        </is>
      </c>
      <c r="C52" s="70" t="inlineStr">
        <is>
          <t>МП4-УУ2</t>
        </is>
      </c>
      <c r="D52" s="32" t="inlineStr">
        <is>
          <t>7000111</t>
        </is>
      </c>
      <c r="E52" s="70" t="n">
        <v>2018</v>
      </c>
      <c r="F52" s="70" t="inlineStr">
        <is>
          <t>0…16 МПа</t>
        </is>
      </c>
      <c r="G52" s="71" t="n">
        <v>1.5</v>
      </c>
      <c r="H52" s="175" t="inlineStr">
        <is>
          <t>P г до крана №1</t>
        </is>
      </c>
      <c r="I52" s="8" t="inlineStr">
        <is>
          <t>ГПА 71</t>
        </is>
      </c>
      <c r="J52" s="15" t="inlineStr">
        <is>
          <t>АСУ,А и ТМ (КЦ № 7)</t>
        </is>
      </c>
      <c r="K52" s="15" t="inlineStr">
        <is>
          <t>2020г.</t>
        </is>
      </c>
      <c r="L52" s="15" t="n">
        <v>12</v>
      </c>
      <c r="M52" s="3" t="inlineStr">
        <is>
          <t>2К26</t>
        </is>
      </c>
      <c r="N52" s="70" t="inlineStr">
        <is>
          <t>К</t>
        </is>
      </c>
    </row>
    <row r="53" ht="22.5" customHeight="1" s="151">
      <c r="A53" s="15">
        <f>IF(B53&lt;&gt;"", COUNTA($B$2:B53), "")</f>
        <v/>
      </c>
      <c r="B53" s="280" t="inlineStr">
        <is>
          <t>Манометр технический</t>
        </is>
      </c>
      <c r="C53" s="70" t="inlineStr">
        <is>
          <t>МП4-УУ2</t>
        </is>
      </c>
      <c r="D53" s="32" t="inlineStr">
        <is>
          <t>7000113</t>
        </is>
      </c>
      <c r="E53" s="70" t="n">
        <v>2018</v>
      </c>
      <c r="F53" s="70" t="inlineStr">
        <is>
          <t>0…16 МПа</t>
        </is>
      </c>
      <c r="G53" s="71" t="n">
        <v>1.5</v>
      </c>
      <c r="H53" s="175" t="inlineStr">
        <is>
          <t>P г после крана №1</t>
        </is>
      </c>
      <c r="I53" s="8" t="inlineStr">
        <is>
          <t>ГПА 71</t>
        </is>
      </c>
      <c r="J53" s="15" t="inlineStr">
        <is>
          <t>АСУ,А и ТМ (КЦ № 7)</t>
        </is>
      </c>
      <c r="K53" s="15" t="inlineStr">
        <is>
          <t>2020г.</t>
        </is>
      </c>
      <c r="L53" s="15" t="n">
        <v>12</v>
      </c>
      <c r="M53" s="3" t="inlineStr">
        <is>
          <t>2К26</t>
        </is>
      </c>
      <c r="N53" s="70" t="inlineStr">
        <is>
          <t>К</t>
        </is>
      </c>
    </row>
    <row r="54" ht="22.5" customHeight="1" s="151">
      <c r="A54" s="15">
        <f>IF(B54&lt;&gt;"", COUNTA($B$2:B54), "")</f>
        <v/>
      </c>
      <c r="B54" s="280" t="inlineStr">
        <is>
          <t>Манометр технический</t>
        </is>
      </c>
      <c r="C54" s="70" t="inlineStr">
        <is>
          <t>МП4-УУ2</t>
        </is>
      </c>
      <c r="D54" s="32" t="inlineStr">
        <is>
          <t>7000127</t>
        </is>
      </c>
      <c r="E54" s="70" t="n">
        <v>2018</v>
      </c>
      <c r="F54" s="70" t="inlineStr">
        <is>
          <t>0…16 МПа</t>
        </is>
      </c>
      <c r="G54" s="71" t="n">
        <v>1.5</v>
      </c>
      <c r="H54" s="175" t="inlineStr">
        <is>
          <t>P г на входе в АВОГ</t>
        </is>
      </c>
      <c r="I54" s="8" t="inlineStr">
        <is>
          <t>ГПА 71</t>
        </is>
      </c>
      <c r="J54" s="15" t="inlineStr">
        <is>
          <t>АСУ,А и ТМ (КЦ № 7)</t>
        </is>
      </c>
      <c r="K54" s="15" t="inlineStr">
        <is>
          <t>2020г.</t>
        </is>
      </c>
      <c r="L54" s="15" t="n">
        <v>12</v>
      </c>
      <c r="M54" s="3" t="inlineStr">
        <is>
          <t>2К26</t>
        </is>
      </c>
      <c r="N54" s="70" t="inlineStr">
        <is>
          <t>К</t>
        </is>
      </c>
    </row>
    <row r="55" ht="22.5" customHeight="1" s="151">
      <c r="A55" s="15">
        <f>IF(B55&lt;&gt;"", COUNTA($B$2:B55), "")</f>
        <v/>
      </c>
      <c r="B55" s="280" t="inlineStr">
        <is>
          <t>Манометр технический</t>
        </is>
      </c>
      <c r="C55" s="70" t="inlineStr">
        <is>
          <t>МП4-УУ2</t>
        </is>
      </c>
      <c r="D55" s="175" t="n">
        <v>7000304</v>
      </c>
      <c r="E55" s="70" t="n">
        <v>2018</v>
      </c>
      <c r="F55" s="70" t="inlineStr">
        <is>
          <t>0…16 МПа</t>
        </is>
      </c>
      <c r="G55" s="71" t="n">
        <v>1</v>
      </c>
      <c r="H55" s="175" t="inlineStr">
        <is>
          <t>P г на выходе из АВОГ</t>
        </is>
      </c>
      <c r="I55" s="8" t="inlineStr">
        <is>
          <t>ГПА 71</t>
        </is>
      </c>
      <c r="J55" s="15" t="inlineStr">
        <is>
          <t>АСУ,А и ТМ (КЦ № 7)</t>
        </is>
      </c>
      <c r="K55" s="15" t="inlineStr">
        <is>
          <t>2020г.</t>
        </is>
      </c>
      <c r="L55" s="15" t="n">
        <v>12</v>
      </c>
      <c r="M55" s="3" t="inlineStr">
        <is>
          <t>2К26</t>
        </is>
      </c>
      <c r="N55" s="70" t="inlineStr">
        <is>
          <t>К</t>
        </is>
      </c>
    </row>
    <row r="56" ht="22.5" customHeight="1" s="151">
      <c r="A56" s="15">
        <f>IF(B56&lt;&gt;"", COUNTA($B$2:B56), "")</f>
        <v/>
      </c>
      <c r="B56" s="280" t="inlineStr">
        <is>
          <t>Манометр технический</t>
        </is>
      </c>
      <c r="C56" s="70" t="inlineStr">
        <is>
          <t>МП4-УУ2</t>
        </is>
      </c>
      <c r="D56" s="17" t="inlineStr">
        <is>
          <t>7000107</t>
        </is>
      </c>
      <c r="E56" s="70" t="n">
        <v>2018</v>
      </c>
      <c r="F56" s="70" t="inlineStr">
        <is>
          <t>0…16 МПа</t>
        </is>
      </c>
      <c r="G56" s="71" t="n">
        <v>1.5</v>
      </c>
      <c r="H56" s="175" t="inlineStr">
        <is>
          <t>P г перед краном №2</t>
        </is>
      </c>
      <c r="I56" s="8" t="inlineStr">
        <is>
          <t>ГПА 71</t>
        </is>
      </c>
      <c r="J56" s="15" t="inlineStr">
        <is>
          <t>АСУ,А и ТМ (КЦ № 7)</t>
        </is>
      </c>
      <c r="K56" s="15" t="inlineStr">
        <is>
          <t>2020г.</t>
        </is>
      </c>
      <c r="L56" s="15" t="n">
        <v>12</v>
      </c>
      <c r="M56" s="3" t="inlineStr">
        <is>
          <t>2К26</t>
        </is>
      </c>
      <c r="N56" s="70" t="inlineStr">
        <is>
          <t>К</t>
        </is>
      </c>
    </row>
    <row r="57" ht="22.5" customHeight="1" s="151">
      <c r="A57" s="15">
        <f>IF(B57&lt;&gt;"", COUNTA($B$2:B57), "")</f>
        <v/>
      </c>
      <c r="B57" s="280" t="inlineStr">
        <is>
          <t>Манометр технический</t>
        </is>
      </c>
      <c r="C57" s="70" t="inlineStr">
        <is>
          <t>МП4-УУ2</t>
        </is>
      </c>
      <c r="D57" s="17" t="inlineStr">
        <is>
          <t>7000101</t>
        </is>
      </c>
      <c r="E57" s="70" t="n">
        <v>2018</v>
      </c>
      <c r="F57" s="70" t="inlineStr">
        <is>
          <t>0…16 МПа</t>
        </is>
      </c>
      <c r="G57" s="71" t="n">
        <v>1.5</v>
      </c>
      <c r="H57" s="175" t="inlineStr">
        <is>
          <t>P г после крана №2</t>
        </is>
      </c>
      <c r="I57" s="8" t="inlineStr">
        <is>
          <t>ГПА 71</t>
        </is>
      </c>
      <c r="J57" s="15" t="inlineStr">
        <is>
          <t>АСУ,А и ТМ (КЦ № 7)</t>
        </is>
      </c>
      <c r="K57" s="15" t="inlineStr">
        <is>
          <t>2020г.</t>
        </is>
      </c>
      <c r="L57" s="15" t="n">
        <v>12</v>
      </c>
      <c r="M57" s="3" t="inlineStr">
        <is>
          <t>2К26</t>
        </is>
      </c>
      <c r="N57" s="70" t="inlineStr">
        <is>
          <t>К</t>
        </is>
      </c>
    </row>
    <row r="58" ht="22.5" customHeight="1" s="151">
      <c r="A58" s="15">
        <f>IF(B58&lt;&gt;"", COUNTA($B$2:B58), "")</f>
        <v/>
      </c>
      <c r="B58" s="280" t="inlineStr">
        <is>
          <t>Манометр технический</t>
        </is>
      </c>
      <c r="C58" s="70" t="inlineStr">
        <is>
          <t>МП3-УУ2</t>
        </is>
      </c>
      <c r="D58" s="14" t="n">
        <v>212027990</v>
      </c>
      <c r="E58" s="70" t="n">
        <v>2018</v>
      </c>
      <c r="F58" s="70" t="inlineStr">
        <is>
          <t>0…16 МПа</t>
        </is>
      </c>
      <c r="G58" s="71" t="n">
        <v>1</v>
      </c>
      <c r="H58" s="175" t="inlineStr">
        <is>
          <t>P г на входе установки</t>
        </is>
      </c>
      <c r="I58" s="8" t="inlineStr">
        <is>
          <t>АВОГ 71</t>
        </is>
      </c>
      <c r="J58" s="15" t="inlineStr">
        <is>
          <t>АСУ,А и ТМ (КЦ № 7)</t>
        </is>
      </c>
      <c r="K58" s="15" t="inlineStr">
        <is>
          <t>2020г.</t>
        </is>
      </c>
      <c r="L58" s="15" t="n">
        <v>12</v>
      </c>
      <c r="M58" s="3" t="inlineStr">
        <is>
          <t>2К26</t>
        </is>
      </c>
      <c r="N58" s="70" t="inlineStr">
        <is>
          <t>К</t>
        </is>
      </c>
    </row>
    <row r="59" ht="22.5" customHeight="1" s="151">
      <c r="A59" s="15">
        <f>IF(B59&lt;&gt;"", COUNTA($B$2:B59), "")</f>
        <v/>
      </c>
      <c r="B59" s="280" t="inlineStr">
        <is>
          <t>Манометр технический</t>
        </is>
      </c>
      <c r="C59" s="70" t="inlineStr">
        <is>
          <t>МП3-УУ2</t>
        </is>
      </c>
      <c r="D59" s="14" t="n">
        <v>212027926</v>
      </c>
      <c r="E59" s="70" t="n">
        <v>2018</v>
      </c>
      <c r="F59" s="70" t="inlineStr">
        <is>
          <t>0…16 МПа</t>
        </is>
      </c>
      <c r="G59" s="71" t="n">
        <v>1</v>
      </c>
      <c r="H59" s="175" t="inlineStr">
        <is>
          <t>P г на входе установки</t>
        </is>
      </c>
      <c r="I59" s="8" t="inlineStr">
        <is>
          <t>АВОГ 71</t>
        </is>
      </c>
      <c r="J59" s="15" t="inlineStr">
        <is>
          <t>АСУ,А и ТМ (КЦ № 7)</t>
        </is>
      </c>
      <c r="K59" s="15" t="inlineStr">
        <is>
          <t>2020г.</t>
        </is>
      </c>
      <c r="L59" s="15" t="n">
        <v>12</v>
      </c>
      <c r="M59" s="3" t="inlineStr">
        <is>
          <t>2К26</t>
        </is>
      </c>
      <c r="N59" s="70" t="inlineStr">
        <is>
          <t>К</t>
        </is>
      </c>
    </row>
    <row r="60" ht="22.5" customHeight="1" s="151">
      <c r="A60" s="15">
        <f>IF(B60&lt;&gt;"", COUNTA($B$2:B60), "")</f>
        <v/>
      </c>
      <c r="B60" s="280" t="inlineStr">
        <is>
          <t>Манометр технический</t>
        </is>
      </c>
      <c r="C60" s="70" t="inlineStr">
        <is>
          <t>МП3-УУ2</t>
        </is>
      </c>
      <c r="D60" s="17" t="inlineStr">
        <is>
          <t>212027275</t>
        </is>
      </c>
      <c r="E60" s="70" t="n">
        <v>2018</v>
      </c>
      <c r="F60" s="70" t="inlineStr">
        <is>
          <t>0…16 МПа</t>
        </is>
      </c>
      <c r="G60" s="71" t="n">
        <v>1</v>
      </c>
      <c r="H60" s="175" t="inlineStr">
        <is>
          <t>P г на входе установки</t>
        </is>
      </c>
      <c r="I60" s="8" t="inlineStr">
        <is>
          <t>АВОГ 71</t>
        </is>
      </c>
      <c r="J60" s="15" t="inlineStr">
        <is>
          <t>АСУ,А и ТМ (КЦ № 7)</t>
        </is>
      </c>
      <c r="K60" s="15" t="inlineStr">
        <is>
          <t>2020г.</t>
        </is>
      </c>
      <c r="L60" s="15" t="n">
        <v>12</v>
      </c>
      <c r="M60" s="3" t="inlineStr">
        <is>
          <t>2К26</t>
        </is>
      </c>
      <c r="N60" s="70" t="inlineStr">
        <is>
          <t>К</t>
        </is>
      </c>
    </row>
    <row r="61" ht="22.5" customHeight="1" s="151">
      <c r="A61" s="15">
        <f>IF(B61&lt;&gt;"", COUNTA($B$2:B61), "")</f>
        <v/>
      </c>
      <c r="B61" s="280" t="inlineStr">
        <is>
          <t>Манометр технический</t>
        </is>
      </c>
      <c r="C61" s="70" t="inlineStr">
        <is>
          <t>МП3-УУ2</t>
        </is>
      </c>
      <c r="D61" s="17" t="inlineStr">
        <is>
          <t>212028009</t>
        </is>
      </c>
      <c r="E61" s="70" t="n">
        <v>2018</v>
      </c>
      <c r="F61" s="70" t="inlineStr">
        <is>
          <t>0…16 МПа</t>
        </is>
      </c>
      <c r="G61" s="71" t="n">
        <v>1</v>
      </c>
      <c r="H61" s="175" t="inlineStr">
        <is>
          <t>P г на входе установки</t>
        </is>
      </c>
      <c r="I61" s="8" t="inlineStr">
        <is>
          <t>АВОГ 71</t>
        </is>
      </c>
      <c r="J61" s="15" t="inlineStr">
        <is>
          <t>АСУ,А и ТМ (КЦ № 7)</t>
        </is>
      </c>
      <c r="K61" s="15" t="inlineStr">
        <is>
          <t>2020г.</t>
        </is>
      </c>
      <c r="L61" s="15" t="n">
        <v>12</v>
      </c>
      <c r="M61" s="3" t="inlineStr">
        <is>
          <t>2К26</t>
        </is>
      </c>
      <c r="N61" s="70" t="inlineStr">
        <is>
          <t>К</t>
        </is>
      </c>
    </row>
    <row r="62" ht="22.5" customHeight="1" s="151">
      <c r="A62" s="15">
        <f>IF(B62&lt;&gt;"", COUNTA($B$2:B62), "")</f>
        <v/>
      </c>
      <c r="B62" s="280" t="inlineStr">
        <is>
          <t>Манометр технический</t>
        </is>
      </c>
      <c r="C62" s="70" t="inlineStr">
        <is>
          <t>МП3-УУ2</t>
        </is>
      </c>
      <c r="D62" s="15" t="n">
        <v>212027928</v>
      </c>
      <c r="E62" s="70" t="n">
        <v>2018</v>
      </c>
      <c r="F62" s="70" t="inlineStr">
        <is>
          <t>0…16 МПа</t>
        </is>
      </c>
      <c r="G62" s="71" t="n">
        <v>1</v>
      </c>
      <c r="H62" s="175" t="inlineStr">
        <is>
          <t>P г на входе установки</t>
        </is>
      </c>
      <c r="I62" s="8" t="inlineStr">
        <is>
          <t>АВОГ 71</t>
        </is>
      </c>
      <c r="J62" s="15" t="inlineStr">
        <is>
          <t>АСУ,А и ТМ (КЦ № 7)</t>
        </is>
      </c>
      <c r="K62" s="15" t="inlineStr">
        <is>
          <t>2020г.</t>
        </is>
      </c>
      <c r="L62" s="15" t="n">
        <v>12</v>
      </c>
      <c r="M62" s="3" t="inlineStr">
        <is>
          <t>2К26</t>
        </is>
      </c>
      <c r="N62" s="70" t="inlineStr">
        <is>
          <t>К</t>
        </is>
      </c>
    </row>
    <row r="63" ht="22.5" customHeight="1" s="151">
      <c r="A63" s="15">
        <f>IF(B63&lt;&gt;"", COUNTA($B$2:B63), "")</f>
        <v/>
      </c>
      <c r="B63" s="280" t="inlineStr">
        <is>
          <t>Манометр технический</t>
        </is>
      </c>
      <c r="C63" s="70" t="inlineStr">
        <is>
          <t>МП3-УУ2</t>
        </is>
      </c>
      <c r="D63" s="17" t="inlineStr">
        <is>
          <t>212028008</t>
        </is>
      </c>
      <c r="E63" s="70" t="n">
        <v>2018</v>
      </c>
      <c r="F63" s="70" t="inlineStr">
        <is>
          <t>0…16 МПа</t>
        </is>
      </c>
      <c r="G63" s="71" t="n">
        <v>1</v>
      </c>
      <c r="H63" s="175" t="inlineStr">
        <is>
          <t>P г на входе установки</t>
        </is>
      </c>
      <c r="I63" s="8" t="inlineStr">
        <is>
          <t>АВОГ 71</t>
        </is>
      </c>
      <c r="J63" s="15" t="inlineStr">
        <is>
          <t>АСУ,А и ТМ (КЦ № 7)</t>
        </is>
      </c>
      <c r="K63" s="15" t="inlineStr">
        <is>
          <t>2020г.</t>
        </is>
      </c>
      <c r="L63" s="15" t="n">
        <v>12</v>
      </c>
      <c r="M63" s="3" t="inlineStr">
        <is>
          <t>2К26</t>
        </is>
      </c>
      <c r="N63" s="70" t="inlineStr">
        <is>
          <t>К</t>
        </is>
      </c>
    </row>
    <row r="64" ht="22.5" customHeight="1" s="151">
      <c r="A64" s="15">
        <f>IF(B64&lt;&gt;"", COUNTA($B$2:B64), "")</f>
        <v/>
      </c>
      <c r="B64" s="280" t="inlineStr">
        <is>
          <t>Манометр технический</t>
        </is>
      </c>
      <c r="C64" s="70" t="inlineStr">
        <is>
          <t>МП3-УУ2</t>
        </is>
      </c>
      <c r="D64" s="71" t="n">
        <v>212027274</v>
      </c>
      <c r="E64" s="70" t="n">
        <v>2018</v>
      </c>
      <c r="F64" s="70" t="inlineStr">
        <is>
          <t>0…16 МПа</t>
        </is>
      </c>
      <c r="G64" s="71" t="n">
        <v>1</v>
      </c>
      <c r="H64" s="175" t="inlineStr">
        <is>
          <t>P г на входе установки</t>
        </is>
      </c>
      <c r="I64" s="8" t="inlineStr">
        <is>
          <t>АВОГ 71</t>
        </is>
      </c>
      <c r="J64" s="15" t="inlineStr">
        <is>
          <t>АСУ,А и ТМ (КЦ № 7)</t>
        </is>
      </c>
      <c r="K64" s="15" t="inlineStr">
        <is>
          <t>2020г.</t>
        </is>
      </c>
      <c r="L64" s="15" t="n">
        <v>12</v>
      </c>
      <c r="M64" s="3" t="inlineStr">
        <is>
          <t>2К26</t>
        </is>
      </c>
      <c r="N64" s="70" t="inlineStr">
        <is>
          <t>К</t>
        </is>
      </c>
    </row>
    <row r="65" ht="22.5" customHeight="1" s="151">
      <c r="A65" s="15">
        <f>IF(B65&lt;&gt;"", COUNTA($B$2:B65), "")</f>
        <v/>
      </c>
      <c r="B65" s="280" t="inlineStr">
        <is>
          <t>Манометр технический</t>
        </is>
      </c>
      <c r="C65" s="70" t="inlineStr">
        <is>
          <t>МП3-УУ2</t>
        </is>
      </c>
      <c r="D65" s="71" t="n">
        <v>212027270</v>
      </c>
      <c r="E65" s="70" t="n">
        <v>2018</v>
      </c>
      <c r="F65" s="70" t="inlineStr">
        <is>
          <t>0…16 МПа</t>
        </is>
      </c>
      <c r="G65" s="71" t="n">
        <v>1</v>
      </c>
      <c r="H65" s="175" t="inlineStr">
        <is>
          <t>P г на входе установки</t>
        </is>
      </c>
      <c r="I65" s="8" t="inlineStr">
        <is>
          <t>АВОГ 71</t>
        </is>
      </c>
      <c r="J65" s="15" t="inlineStr">
        <is>
          <t>АСУ,А и ТМ (КЦ № 7)</t>
        </is>
      </c>
      <c r="K65" s="15" t="inlineStr">
        <is>
          <t>2020г.</t>
        </is>
      </c>
      <c r="L65" s="15" t="n">
        <v>12</v>
      </c>
      <c r="M65" s="3" t="inlineStr">
        <is>
          <t>2К26</t>
        </is>
      </c>
      <c r="N65" s="70" t="inlineStr">
        <is>
          <t>К</t>
        </is>
      </c>
    </row>
    <row r="66" ht="22.5" customHeight="1" s="151">
      <c r="A66" s="15">
        <f>IF(B66&lt;&gt;"", COUNTA($B$2:B66), "")</f>
        <v/>
      </c>
      <c r="B66" s="280" t="inlineStr">
        <is>
          <t>Манометр технический</t>
        </is>
      </c>
      <c r="C66" s="70" t="inlineStr">
        <is>
          <t>МП4-УУ2</t>
        </is>
      </c>
      <c r="D66" s="71" t="n">
        <v>7000109</v>
      </c>
      <c r="E66" s="70" t="n">
        <v>2018</v>
      </c>
      <c r="F66" s="70" t="inlineStr">
        <is>
          <t>0…16 МПа</t>
        </is>
      </c>
      <c r="G66" s="71" t="n">
        <v>1.5</v>
      </c>
      <c r="H66" s="175" t="inlineStr">
        <is>
          <t>P имп г крана 6к</t>
        </is>
      </c>
      <c r="I66" s="8" t="inlineStr">
        <is>
          <t>ГПА 71</t>
        </is>
      </c>
      <c r="J66" s="15" t="inlineStr">
        <is>
          <t>АСУ,А и ТМ (КЦ № 7)</t>
        </is>
      </c>
      <c r="K66" s="15" t="inlineStr">
        <is>
          <t>2020г.</t>
        </is>
      </c>
      <c r="L66" s="15" t="n">
        <v>12</v>
      </c>
      <c r="M66" s="3" t="inlineStr">
        <is>
          <t>2К26</t>
        </is>
      </c>
      <c r="N66" s="70" t="inlineStr">
        <is>
          <t>К</t>
        </is>
      </c>
    </row>
    <row r="67" ht="22.5" customHeight="1" s="151">
      <c r="A67" s="15">
        <f>IF(B67&lt;&gt;"", COUNTA($B$2:B67), "")</f>
        <v/>
      </c>
      <c r="B67" s="73" t="inlineStr">
        <is>
          <t>Термометр биметаллический</t>
        </is>
      </c>
      <c r="C67" s="14" t="inlineStr">
        <is>
          <t>ТБ-2р ухл2</t>
        </is>
      </c>
      <c r="D67" s="14" t="n">
        <v>7328</v>
      </c>
      <c r="E67" s="70" t="n">
        <v>2018</v>
      </c>
      <c r="F67" s="70" t="inlineStr">
        <is>
          <t>0…100 °С</t>
        </is>
      </c>
      <c r="G67" s="71" t="n">
        <v>1.5</v>
      </c>
      <c r="H67" s="14" t="inlineStr">
        <is>
          <t>T в до фильтра</t>
        </is>
      </c>
      <c r="I67" s="8" t="inlineStr">
        <is>
          <t>ГПА 71</t>
        </is>
      </c>
      <c r="J67" s="15" t="inlineStr">
        <is>
          <t>АСУ,А и ТМ (КЦ № 7)</t>
        </is>
      </c>
      <c r="K67" s="15" t="inlineStr">
        <is>
          <t>2020г.</t>
        </is>
      </c>
      <c r="L67" s="15" t="n">
        <v>24</v>
      </c>
      <c r="M67" s="3" t="inlineStr">
        <is>
          <t>2К26</t>
        </is>
      </c>
      <c r="N67" s="70" t="inlineStr">
        <is>
          <t>К</t>
        </is>
      </c>
    </row>
    <row r="68" ht="22.5" customHeight="1" s="151">
      <c r="A68" s="15">
        <f>IF(B68&lt;&gt;"", COUNTA($B$2:B68), "")</f>
        <v/>
      </c>
      <c r="B68" s="73" t="inlineStr">
        <is>
          <t>Термометр биметаллический</t>
        </is>
      </c>
      <c r="C68" s="14" t="inlineStr">
        <is>
          <t>ТБ-2</t>
        </is>
      </c>
      <c r="D68" s="14" t="n">
        <v>8563</v>
      </c>
      <c r="E68" s="70" t="n">
        <v>2018</v>
      </c>
      <c r="F68" s="32" t="inlineStr">
        <is>
          <t>-50…100 °С</t>
        </is>
      </c>
      <c r="G68" s="71" t="n">
        <v>1</v>
      </c>
      <c r="H68" s="14" t="inlineStr">
        <is>
          <t>T г на выходе установки</t>
        </is>
      </c>
      <c r="I68" s="8" t="inlineStr">
        <is>
          <t>АВОГ 71</t>
        </is>
      </c>
      <c r="J68" s="15" t="inlineStr">
        <is>
          <t>АСУ,А и ТМ (КЦ № 7)</t>
        </is>
      </c>
      <c r="K68" s="15" t="inlineStr">
        <is>
          <t>2020г.</t>
        </is>
      </c>
      <c r="L68" s="15" t="n">
        <v>24</v>
      </c>
      <c r="M68" s="3" t="inlineStr">
        <is>
          <t>2к26</t>
        </is>
      </c>
      <c r="N68" s="70" t="inlineStr">
        <is>
          <t>К</t>
        </is>
      </c>
      <c r="O68" s="86" t="n"/>
    </row>
    <row r="69" ht="22.5" customHeight="1" s="151">
      <c r="A69" s="15">
        <f>IF(B69&lt;&gt;"", COUNTA($B$2:B69), "")</f>
        <v/>
      </c>
      <c r="B69" s="73" t="inlineStr">
        <is>
          <t>Термометр биметаллический</t>
        </is>
      </c>
      <c r="C69" s="14" t="inlineStr">
        <is>
          <t>ТБ-2</t>
        </is>
      </c>
      <c r="D69" s="14" t="n">
        <v>8571</v>
      </c>
      <c r="E69" s="70" t="n">
        <v>2018</v>
      </c>
      <c r="F69" s="32" t="inlineStr">
        <is>
          <t>-50…100 °С</t>
        </is>
      </c>
      <c r="G69" s="71" t="n">
        <v>1</v>
      </c>
      <c r="H69" s="14" t="inlineStr">
        <is>
          <t>T г на выходе установки</t>
        </is>
      </c>
      <c r="I69" s="8" t="inlineStr">
        <is>
          <t>АВОГ 71</t>
        </is>
      </c>
      <c r="J69" s="15" t="inlineStr">
        <is>
          <t>АСУ,А и ТМ (КЦ № 7)</t>
        </is>
      </c>
      <c r="K69" s="15" t="inlineStr">
        <is>
          <t>2020г.</t>
        </is>
      </c>
      <c r="L69" s="15" t="n">
        <v>24</v>
      </c>
      <c r="M69" s="3" t="inlineStr">
        <is>
          <t>2к26</t>
        </is>
      </c>
      <c r="N69" s="70" t="inlineStr">
        <is>
          <t>К</t>
        </is>
      </c>
      <c r="O69" s="86" t="n"/>
    </row>
    <row r="70" ht="22.5" customHeight="1" s="151">
      <c r="A70" s="15">
        <f>IF(B70&lt;&gt;"", COUNTA($B$2:B70), "")</f>
        <v/>
      </c>
      <c r="B70" s="73" t="inlineStr">
        <is>
          <t>Термометр биметаллический</t>
        </is>
      </c>
      <c r="C70" s="14" t="inlineStr">
        <is>
          <t>ТБ-2</t>
        </is>
      </c>
      <c r="D70" s="14" t="n">
        <v>8536</v>
      </c>
      <c r="E70" s="70" t="n">
        <v>2018</v>
      </c>
      <c r="F70" s="32" t="inlineStr">
        <is>
          <t>-50…100 °С</t>
        </is>
      </c>
      <c r="G70" s="71" t="n">
        <v>1</v>
      </c>
      <c r="H70" s="14" t="inlineStr">
        <is>
          <t>T г на выходе установки</t>
        </is>
      </c>
      <c r="I70" s="8" t="inlineStr">
        <is>
          <t>АВОГ 71</t>
        </is>
      </c>
      <c r="J70" s="15" t="inlineStr">
        <is>
          <t>АСУ,А и ТМ (КЦ № 7)</t>
        </is>
      </c>
      <c r="K70" s="15" t="inlineStr">
        <is>
          <t>2020г.</t>
        </is>
      </c>
      <c r="L70" s="15" t="n">
        <v>24</v>
      </c>
      <c r="M70" s="3" t="inlineStr">
        <is>
          <t>2к26</t>
        </is>
      </c>
      <c r="N70" s="70" t="inlineStr">
        <is>
          <t>К</t>
        </is>
      </c>
      <c r="O70" s="86" t="n"/>
    </row>
    <row r="71" ht="22.5" customHeight="1" s="151">
      <c r="A71" s="15">
        <f>IF(B71&lt;&gt;"", COUNTA($B$2:B71), "")</f>
        <v/>
      </c>
      <c r="B71" s="73" t="inlineStr">
        <is>
          <t>Термометр биметаллический</t>
        </is>
      </c>
      <c r="C71" s="14" t="inlineStr">
        <is>
          <t>ТБ-2</t>
        </is>
      </c>
      <c r="D71" s="14" t="n">
        <v>8532</v>
      </c>
      <c r="E71" s="70" t="n">
        <v>2018</v>
      </c>
      <c r="F71" s="32" t="inlineStr">
        <is>
          <t>-50…100 °С</t>
        </is>
      </c>
      <c r="G71" s="71" t="n">
        <v>1</v>
      </c>
      <c r="H71" s="14" t="inlineStr">
        <is>
          <t>T г на выходе установки</t>
        </is>
      </c>
      <c r="I71" s="8" t="inlineStr">
        <is>
          <t>АВОГ 71</t>
        </is>
      </c>
      <c r="J71" s="15" t="inlineStr">
        <is>
          <t>АСУ,А и ТМ (КЦ № 7)</t>
        </is>
      </c>
      <c r="K71" s="15" t="inlineStr">
        <is>
          <t>2020г.</t>
        </is>
      </c>
      <c r="L71" s="15" t="n">
        <v>24</v>
      </c>
      <c r="M71" s="3" t="inlineStr">
        <is>
          <t>2к26</t>
        </is>
      </c>
      <c r="N71" s="70" t="inlineStr">
        <is>
          <t>К</t>
        </is>
      </c>
      <c r="O71" s="86" t="n"/>
    </row>
    <row r="72" ht="22.5" customHeight="1" s="151">
      <c r="A72" s="15">
        <f>IF(B72&lt;&gt;"", COUNTA($B$2:B72), "")</f>
        <v/>
      </c>
      <c r="B72" s="73" t="inlineStr">
        <is>
          <t>Термометр биметаллический</t>
        </is>
      </c>
      <c r="C72" s="14" t="inlineStr">
        <is>
          <t>ТБ-2</t>
        </is>
      </c>
      <c r="D72" s="14" t="n">
        <v>8560</v>
      </c>
      <c r="E72" s="70" t="n">
        <v>2018</v>
      </c>
      <c r="F72" s="32" t="inlineStr">
        <is>
          <t>-50…100 °С</t>
        </is>
      </c>
      <c r="G72" s="71" t="n">
        <v>1</v>
      </c>
      <c r="H72" s="14" t="inlineStr">
        <is>
          <t>T г на выходе установки</t>
        </is>
      </c>
      <c r="I72" s="8" t="inlineStr">
        <is>
          <t>АВОГ 71</t>
        </is>
      </c>
      <c r="J72" s="15" t="inlineStr">
        <is>
          <t>АСУ,А и ТМ (КЦ № 7)</t>
        </is>
      </c>
      <c r="K72" s="15" t="inlineStr">
        <is>
          <t>2020г.</t>
        </is>
      </c>
      <c r="L72" s="15" t="n">
        <v>24</v>
      </c>
      <c r="M72" s="3" t="inlineStr">
        <is>
          <t>2к26</t>
        </is>
      </c>
      <c r="N72" s="70" t="inlineStr">
        <is>
          <t>К</t>
        </is>
      </c>
      <c r="O72" s="86" t="n"/>
    </row>
    <row r="73" ht="22.5" customHeight="1" s="151">
      <c r="A73" s="15">
        <f>IF(B73&lt;&gt;"", COUNTA($B$2:B73), "")</f>
        <v/>
      </c>
      <c r="B73" s="73" t="inlineStr">
        <is>
          <t>Термометр биметаллический</t>
        </is>
      </c>
      <c r="C73" s="14" t="inlineStr">
        <is>
          <t>ТБ-2</t>
        </is>
      </c>
      <c r="D73" s="14" t="n">
        <v>8568</v>
      </c>
      <c r="E73" s="70" t="n">
        <v>2018</v>
      </c>
      <c r="F73" s="32" t="inlineStr">
        <is>
          <t>-50…100 °С</t>
        </is>
      </c>
      <c r="G73" s="71" t="n">
        <v>1</v>
      </c>
      <c r="H73" s="14" t="inlineStr">
        <is>
          <t>T г на выходе установки</t>
        </is>
      </c>
      <c r="I73" s="8" t="inlineStr">
        <is>
          <t>АВОГ 71</t>
        </is>
      </c>
      <c r="J73" s="15" t="inlineStr">
        <is>
          <t>АСУ,А и ТМ (КЦ № 7)</t>
        </is>
      </c>
      <c r="K73" s="15" t="inlineStr">
        <is>
          <t>2020г.</t>
        </is>
      </c>
      <c r="L73" s="15" t="n">
        <v>24</v>
      </c>
      <c r="M73" s="3" t="inlineStr">
        <is>
          <t>2к26</t>
        </is>
      </c>
      <c r="N73" s="70" t="inlineStr">
        <is>
          <t>К</t>
        </is>
      </c>
      <c r="O73" s="86" t="n"/>
    </row>
    <row r="74" ht="22.5" customHeight="1" s="151">
      <c r="A74" s="15">
        <f>IF(B74&lt;&gt;"", COUNTA($B$2:B74), "")</f>
        <v/>
      </c>
      <c r="B74" s="73" t="inlineStr">
        <is>
          <t>Термометр биметаллический</t>
        </is>
      </c>
      <c r="C74" s="14" t="inlineStr">
        <is>
          <t>ТБ-2</t>
        </is>
      </c>
      <c r="D74" s="14" t="n">
        <v>8564</v>
      </c>
      <c r="E74" s="70" t="n">
        <v>2018</v>
      </c>
      <c r="F74" s="32" t="inlineStr">
        <is>
          <t>-50…100 °С</t>
        </is>
      </c>
      <c r="G74" s="71" t="n">
        <v>1</v>
      </c>
      <c r="H74" s="14" t="inlineStr">
        <is>
          <t>T г на выходе установки</t>
        </is>
      </c>
      <c r="I74" s="8" t="inlineStr">
        <is>
          <t>АВОГ 71</t>
        </is>
      </c>
      <c r="J74" s="15" t="inlineStr">
        <is>
          <t>АСУ,А и ТМ (КЦ № 7)</t>
        </is>
      </c>
      <c r="K74" s="15" t="inlineStr">
        <is>
          <t>2020г.</t>
        </is>
      </c>
      <c r="L74" s="15" t="n">
        <v>24</v>
      </c>
      <c r="M74" s="3" t="inlineStr">
        <is>
          <t>2к26</t>
        </is>
      </c>
      <c r="N74" s="70" t="inlineStr">
        <is>
          <t>К</t>
        </is>
      </c>
      <c r="O74" s="86" t="n"/>
    </row>
    <row r="75" ht="22.5" customHeight="1" s="151">
      <c r="A75" s="15">
        <f>IF(B75&lt;&gt;"", COUNTA($B$2:B75), "")</f>
        <v/>
      </c>
      <c r="B75" s="73" t="inlineStr">
        <is>
          <t>Термометр биметаллический</t>
        </is>
      </c>
      <c r="C75" s="14" t="inlineStr">
        <is>
          <t>ТБ-2</t>
        </is>
      </c>
      <c r="D75" s="14" t="n">
        <v>8566</v>
      </c>
      <c r="E75" s="70" t="n">
        <v>2018</v>
      </c>
      <c r="F75" s="32" t="inlineStr">
        <is>
          <t>-50…100 °С</t>
        </is>
      </c>
      <c r="G75" s="71" t="n">
        <v>1</v>
      </c>
      <c r="H75" s="14" t="inlineStr">
        <is>
          <t>T г на выходе установки</t>
        </is>
      </c>
      <c r="I75" s="8" t="inlineStr">
        <is>
          <t>АВОГ 71</t>
        </is>
      </c>
      <c r="J75" s="15" t="inlineStr">
        <is>
          <t>АСУ,А и ТМ (КЦ № 7)</t>
        </is>
      </c>
      <c r="K75" s="15" t="inlineStr">
        <is>
          <t>2020г.</t>
        </is>
      </c>
      <c r="L75" s="15" t="n">
        <v>24</v>
      </c>
      <c r="M75" s="3" t="inlineStr">
        <is>
          <t>2к26</t>
        </is>
      </c>
      <c r="N75" s="70" t="inlineStr">
        <is>
          <t>К</t>
        </is>
      </c>
      <c r="O75" s="86" t="n"/>
    </row>
    <row r="76" ht="22.5" customHeight="1" s="151">
      <c r="A76" s="15">
        <f>IF(B76&lt;&gt;"", COUNTA($B$2:B76), "")</f>
        <v/>
      </c>
      <c r="B76" s="74" t="inlineStr">
        <is>
          <t>Расходомер</t>
        </is>
      </c>
      <c r="C76" s="14" t="inlineStr">
        <is>
          <t>Yokogawa D-79664</t>
        </is>
      </c>
      <c r="D76" s="14" t="inlineStr">
        <is>
          <t>D1U302281</t>
        </is>
      </c>
      <c r="E76" s="14" t="n">
        <v>2018</v>
      </c>
      <c r="F76" s="172" t="inlineStr">
        <is>
          <t>1200 м3/ч</t>
        </is>
      </c>
      <c r="G76" s="71" t="n"/>
      <c r="H76" s="175" t="inlineStr">
        <is>
          <t>Qбг на входе в ГДУ ПКВ</t>
        </is>
      </c>
      <c r="I76" s="71" t="inlineStr">
        <is>
          <t>ГПА 71</t>
        </is>
      </c>
      <c r="J76" s="14" t="inlineStr">
        <is>
          <t>АСУ,А и ТМ (КЦ № 7)</t>
        </is>
      </c>
      <c r="K76" s="14" t="n"/>
      <c r="L76" s="14" t="n">
        <v>60</v>
      </c>
      <c r="M76" s="17" t="n"/>
      <c r="N76" s="71" t="n"/>
    </row>
    <row r="77" ht="22.5" customHeight="1" s="151">
      <c r="A77" s="15">
        <f>IF(B77&lt;&gt;"", COUNTA($B$2:B77), "")</f>
        <v/>
      </c>
      <c r="B77" s="73" t="inlineStr">
        <is>
          <t>Расходомер</t>
        </is>
      </c>
      <c r="C77" s="14" t="inlineStr">
        <is>
          <t>Yokogawa D-79664</t>
        </is>
      </c>
      <c r="D77" s="14" t="inlineStr">
        <is>
          <t>D1U302286</t>
        </is>
      </c>
      <c r="E77" s="14" t="n">
        <v>2018</v>
      </c>
      <c r="F77" s="172" t="inlineStr">
        <is>
          <t>1200 м3/ч</t>
        </is>
      </c>
      <c r="G77" s="71" t="n"/>
      <c r="H77" s="175" t="inlineStr">
        <is>
          <t>Qбг на входе в ГДУ ЗКВ</t>
        </is>
      </c>
      <c r="I77" s="8" t="inlineStr">
        <is>
          <t>ГПА 71</t>
        </is>
      </c>
      <c r="J77" s="15" t="inlineStr">
        <is>
          <t>АСУ,А и ТМ (КЦ № 7)</t>
        </is>
      </c>
      <c r="K77" s="15" t="n"/>
      <c r="L77" s="15" t="n">
        <v>60</v>
      </c>
      <c r="M77" s="3" t="n"/>
      <c r="N77" s="70" t="n"/>
    </row>
    <row r="78" ht="22.5" customHeight="1" s="151">
      <c r="A78" s="15">
        <f>IF(B78&lt;&gt;"", COUNTA($B$2:B78), "")</f>
        <v/>
      </c>
      <c r="B78" s="73" t="inlineStr">
        <is>
          <t>Расходомер</t>
        </is>
      </c>
      <c r="C78" s="14" t="inlineStr">
        <is>
          <t>Yokogawa D-79664</t>
        </is>
      </c>
      <c r="D78" s="14" t="inlineStr">
        <is>
          <t>D1U42350</t>
        </is>
      </c>
      <c r="E78" s="14" t="n">
        <v>2018</v>
      </c>
      <c r="F78" s="172" t="inlineStr">
        <is>
          <t>20 м3/ч</t>
        </is>
      </c>
      <c r="G78" s="71" t="n"/>
      <c r="H78" s="175" t="inlineStr">
        <is>
          <t xml:space="preserve">Qбг в линии утечек 1-ой ступени ГДУ ПКВ  </t>
        </is>
      </c>
      <c r="I78" s="8" t="inlineStr">
        <is>
          <t>ГПА 71</t>
        </is>
      </c>
      <c r="J78" s="15" t="inlineStr">
        <is>
          <t>АСУ,А и ТМ (КЦ № 7)</t>
        </is>
      </c>
      <c r="K78" s="15" t="n"/>
      <c r="L78" s="15" t="n">
        <v>60</v>
      </c>
      <c r="M78" s="3" t="n"/>
      <c r="N78" s="70" t="n"/>
    </row>
    <row r="79" ht="22.5" customHeight="1" s="151">
      <c r="A79" s="15">
        <f>IF(B79&lt;&gt;"", COUNTA($B$2:B79), "")</f>
        <v/>
      </c>
      <c r="B79" s="73" t="inlineStr">
        <is>
          <t>Расходомер</t>
        </is>
      </c>
      <c r="C79" s="14" t="inlineStr">
        <is>
          <t>Yokogawa D-79664</t>
        </is>
      </c>
      <c r="D79" s="14" t="inlineStr">
        <is>
          <t>D1U42346</t>
        </is>
      </c>
      <c r="E79" s="14" t="n">
        <v>2018</v>
      </c>
      <c r="F79" s="172" t="inlineStr">
        <is>
          <t>20 м3/ч</t>
        </is>
      </c>
      <c r="G79" s="71" t="n"/>
      <c r="H79" s="175" t="inlineStr">
        <is>
          <t xml:space="preserve">Qбг в линии утечек 1-ой ступени ГДУ ЗКВ  </t>
        </is>
      </c>
      <c r="I79" s="8" t="inlineStr">
        <is>
          <t>ГПА 71</t>
        </is>
      </c>
      <c r="J79" s="15" t="inlineStr">
        <is>
          <t>АСУ,А и ТМ (КЦ № 7)</t>
        </is>
      </c>
      <c r="K79" s="15" t="n"/>
      <c r="L79" s="15" t="n">
        <v>60</v>
      </c>
      <c r="M79" s="3" t="n"/>
      <c r="N79" s="70" t="n"/>
    </row>
    <row r="80" ht="22.5" customHeight="1" s="151">
      <c r="A80" s="15">
        <f>IF(B80&lt;&gt;"", COUNTA($B$2:B80), "")</f>
        <v/>
      </c>
      <c r="B80" s="73" t="inlineStr">
        <is>
          <t>Расходомер</t>
        </is>
      </c>
      <c r="C80" s="14" t="inlineStr">
        <is>
          <t>Turbo Flow UFG-F</t>
        </is>
      </c>
      <c r="D80" s="14" t="n">
        <v>90650</v>
      </c>
      <c r="E80" s="14" t="n">
        <v>2018</v>
      </c>
      <c r="F80" s="172" t="inlineStr">
        <is>
          <t>2,2…440 м3/ч</t>
        </is>
      </c>
      <c r="G80" s="75" t="n">
        <v>0.02</v>
      </c>
      <c r="H80" s="14" t="inlineStr">
        <is>
          <t>Расход топл. газа</t>
        </is>
      </c>
      <c r="I80" s="8" t="inlineStr">
        <is>
          <t>ГПА 71</t>
        </is>
      </c>
      <c r="J80" s="15" t="inlineStr">
        <is>
          <t>АСУ,А и ТМ (КЦ № 7)</t>
        </is>
      </c>
      <c r="K80" s="15" t="n"/>
      <c r="L80" s="15" t="n">
        <v>60</v>
      </c>
      <c r="M80" s="3" t="n"/>
      <c r="N80" s="70" t="n"/>
    </row>
    <row r="81" ht="22.5" customHeight="1" s="151">
      <c r="A81" s="15">
        <f>IF(B81&lt;&gt;"", COUNTA($B$2:B81), "")</f>
        <v/>
      </c>
      <c r="B81" s="76" t="inlineStr">
        <is>
          <t>Корректор объёма газа</t>
        </is>
      </c>
      <c r="C81" s="14" t="inlineStr">
        <is>
          <t>ЕК270</t>
        </is>
      </c>
      <c r="D81" s="14" t="n">
        <v>1119090069</v>
      </c>
      <c r="E81" s="15" t="n">
        <v>2019</v>
      </c>
      <c r="F81" s="3" t="n"/>
      <c r="G81" s="71" t="n"/>
      <c r="H81" s="14" t="inlineStr">
        <is>
          <t>коммерческий учет газа</t>
        </is>
      </c>
      <c r="I81" s="8" t="inlineStr">
        <is>
          <t>АВГМ 71</t>
        </is>
      </c>
      <c r="J81" s="15" t="inlineStr">
        <is>
          <t>АСУ,А и ТМ (КЦ № 7)</t>
        </is>
      </c>
      <c r="K81" s="15" t="n"/>
      <c r="L81" s="15" t="n">
        <v>60</v>
      </c>
      <c r="M81" s="3" t="n"/>
      <c r="N81" s="70" t="n"/>
    </row>
    <row r="82" ht="22.5" customHeight="1" s="151">
      <c r="A82" s="15">
        <f>IF(B82&lt;&gt;"", COUNTA($B$2:B82), "")</f>
        <v/>
      </c>
      <c r="B82" s="280" t="inlineStr">
        <is>
          <t>Комплекс для измерения количества газа</t>
        </is>
      </c>
      <c r="C82" s="14" t="inlineStr">
        <is>
          <t>СГ-ЭК-Вз-Р-0,2-160/1,6</t>
        </is>
      </c>
      <c r="D82" s="29" t="inlineStr">
        <is>
          <t>1519090064</t>
        </is>
      </c>
      <c r="E82" s="15" t="n">
        <v>2019</v>
      </c>
      <c r="F82" s="3" t="n"/>
      <c r="G82" s="71" t="n"/>
      <c r="H82" s="14" t="inlineStr">
        <is>
          <t>коммерческий учет газа</t>
        </is>
      </c>
      <c r="I82" s="8" t="inlineStr">
        <is>
          <t>АВГМ 71</t>
        </is>
      </c>
      <c r="J82" s="15" t="inlineStr">
        <is>
          <t>АСУ,А и ТМ (КЦ № 7)</t>
        </is>
      </c>
      <c r="K82" s="15" t="n"/>
      <c r="L82" s="15" t="n">
        <v>60</v>
      </c>
      <c r="M82" s="3" t="n"/>
      <c r="N82" s="70" t="n"/>
    </row>
    <row r="83" ht="22.5" customHeight="1" s="151">
      <c r="A83" s="15">
        <f>IF(B83&lt;&gt;"", COUNTA($B$2:B83), "")</f>
        <v/>
      </c>
      <c r="B83" s="280" t="inlineStr">
        <is>
          <t>Счётчик газа</t>
        </is>
      </c>
      <c r="C83" s="14" t="inlineStr">
        <is>
          <t>RVG G100</t>
        </is>
      </c>
      <c r="D83" s="29" t="inlineStr">
        <is>
          <t>1219090046</t>
        </is>
      </c>
      <c r="E83" s="15" t="n">
        <v>2019</v>
      </c>
      <c r="F83" s="172" t="inlineStr">
        <is>
          <t>3…160 м3/ч</t>
        </is>
      </c>
      <c r="G83" s="75" t="n">
        <v>0.01</v>
      </c>
      <c r="H83" s="14" t="inlineStr">
        <is>
          <t>коммерческий учет газа</t>
        </is>
      </c>
      <c r="I83" s="8" t="inlineStr">
        <is>
          <t>АВГМ 71</t>
        </is>
      </c>
      <c r="J83" s="15" t="inlineStr">
        <is>
          <t>АСУ,А и ТМ (КЦ № 7)</t>
        </is>
      </c>
      <c r="K83" s="15" t="n"/>
      <c r="L83" s="15" t="n">
        <v>60</v>
      </c>
      <c r="M83" s="3" t="n"/>
      <c r="N83" s="70" t="n"/>
    </row>
    <row r="84" ht="22.5" customHeight="1" s="151">
      <c r="A84" s="15">
        <f>IF(B84&lt;&gt;"", COUNTA($B$2:B84), "")</f>
        <v/>
      </c>
      <c r="B84" s="280" t="inlineStr">
        <is>
          <t>Газоанализатор оптический</t>
        </is>
      </c>
      <c r="C84" s="126" t="inlineStr">
        <is>
          <t>ОГС-ПГП/М</t>
        </is>
      </c>
      <c r="D84" s="29" t="inlineStr">
        <is>
          <t>15313</t>
        </is>
      </c>
      <c r="E84" s="70" t="n">
        <v>2021</v>
      </c>
      <c r="F84" s="3" t="n"/>
      <c r="G84" s="71" t="n"/>
      <c r="H84" s="14" t="inlineStr">
        <is>
          <t>Измерение уровня загазованности</t>
        </is>
      </c>
      <c r="I84" s="8" t="inlineStr">
        <is>
          <t>АВГМ 71</t>
        </is>
      </c>
      <c r="J84" s="15" t="inlineStr">
        <is>
          <t>АСУ,А и ТМ (КЦ № 7)</t>
        </is>
      </c>
      <c r="K84" s="15" t="n"/>
      <c r="L84" s="15" t="n">
        <v>60</v>
      </c>
      <c r="M84" s="3" t="n"/>
      <c r="N84" s="70" t="n"/>
    </row>
    <row r="85" ht="22.5" customHeight="1" s="151">
      <c r="A85" s="15">
        <f>IF(B85&lt;&gt;"", COUNTA($B$2:B85), "")</f>
        <v/>
      </c>
      <c r="B85" s="280" t="inlineStr">
        <is>
          <t>Газоанализатор оптический</t>
        </is>
      </c>
      <c r="C85" s="150" t="inlineStr">
        <is>
          <t>ОГС-ПГП/М</t>
        </is>
      </c>
      <c r="D85" s="29" t="inlineStr">
        <is>
          <t>15349</t>
        </is>
      </c>
      <c r="E85" s="70" t="n">
        <v>2021</v>
      </c>
      <c r="F85" s="3" t="n"/>
      <c r="G85" s="71" t="n"/>
      <c r="H85" s="14" t="inlineStr">
        <is>
          <t>Измерение уровня загазованности</t>
        </is>
      </c>
      <c r="I85" s="8" t="inlineStr">
        <is>
          <t>АВГМ 71</t>
        </is>
      </c>
      <c r="J85" s="15" t="inlineStr">
        <is>
          <t>АСУ,А и ТМ (КЦ № 7)</t>
        </is>
      </c>
      <c r="K85" s="15" t="n"/>
      <c r="L85" s="15" t="n">
        <v>60</v>
      </c>
      <c r="M85" s="3" t="n"/>
      <c r="N85" s="70" t="n"/>
    </row>
    <row r="86" ht="22.5" customHeight="1" s="151">
      <c r="A86" s="15" t="inlineStr">
        <is>
          <t> </t>
        </is>
      </c>
      <c r="B86" s="280" t="inlineStr">
        <is>
          <t>Преобразователь давления</t>
        </is>
      </c>
      <c r="C86" s="14" t="inlineStr">
        <is>
          <t>ПД100И-ДИ 0,0016-811-1,0</t>
        </is>
      </c>
      <c r="D86" s="29" t="inlineStr">
        <is>
          <t>74625190446018251</t>
        </is>
      </c>
      <c r="E86" s="70" t="n">
        <v>2018</v>
      </c>
      <c r="F86" s="70" t="inlineStr">
        <is>
          <t>0…1,6 кПа</t>
        </is>
      </c>
      <c r="G86" s="71" t="n"/>
      <c r="H86" s="14" t="inlineStr">
        <is>
          <t>Давление воздуха в воздуховоде на ангар ГПА</t>
        </is>
      </c>
      <c r="I86" s="8" t="inlineStr">
        <is>
          <t>АВГМ 71</t>
        </is>
      </c>
      <c r="J86" s="15" t="inlineStr">
        <is>
          <t>АСУ,А и ТМ (КЦ № 7)</t>
        </is>
      </c>
      <c r="K86" s="15" t="n"/>
      <c r="L86" s="15" t="n">
        <v>60</v>
      </c>
      <c r="M86" s="3" t="n"/>
      <c r="N86" s="70" t="n"/>
    </row>
    <row r="87" ht="22.5" customHeight="1" s="151">
      <c r="A87" s="15">
        <f>IF(B87&lt;&gt;"", COUNTA($B$2:B87), "")</f>
        <v/>
      </c>
      <c r="B87" s="280" t="inlineStr">
        <is>
          <t>Термометр сопротивления</t>
        </is>
      </c>
      <c r="C87" s="14" t="inlineStr">
        <is>
          <t>ДТС145-PT100.В3.180</t>
        </is>
      </c>
      <c r="D87" s="29" t="inlineStr">
        <is>
          <t>52199190444135103</t>
        </is>
      </c>
      <c r="E87" s="70" t="n">
        <v>2018</v>
      </c>
      <c r="F87" s="32" t="inlineStr">
        <is>
          <t>-60…500 °С</t>
        </is>
      </c>
      <c r="G87" s="71" t="inlineStr">
        <is>
          <t>В</t>
        </is>
      </c>
      <c r="H87" s="14" t="inlineStr">
        <is>
          <t>Температура нагретого воздуха</t>
        </is>
      </c>
      <c r="I87" s="8" t="inlineStr">
        <is>
          <t>АВГМ 71</t>
        </is>
      </c>
      <c r="J87" s="15" t="inlineStr">
        <is>
          <t>АСУ,А и ТМ (КЦ № 7)</t>
        </is>
      </c>
      <c r="K87" s="15" t="n"/>
      <c r="L87" s="15" t="n">
        <v>60</v>
      </c>
      <c r="M87" s="3" t="n"/>
      <c r="N87" s="70" t="n"/>
    </row>
    <row r="88" ht="22.5" customHeight="1" s="151">
      <c r="A88" s="15">
        <f>IF(B88&lt;&gt;"", COUNTA($B$2:B88), "")</f>
        <v/>
      </c>
      <c r="B88" s="280" t="inlineStr">
        <is>
          <t>Преобразователь давления</t>
        </is>
      </c>
      <c r="C88" s="14" t="inlineStr">
        <is>
          <t>ПД100-ДИ 0,04-111-1,0</t>
        </is>
      </c>
      <c r="D88" s="29" t="inlineStr">
        <is>
          <t>42770190446018201</t>
        </is>
      </c>
      <c r="E88" s="70" t="n">
        <v>2018</v>
      </c>
      <c r="F88" s="70" t="inlineStr">
        <is>
          <t>0…40 кПа</t>
        </is>
      </c>
      <c r="G88" s="71" t="n"/>
      <c r="H88" s="14" t="inlineStr">
        <is>
          <t>Давление газа после регулятора давления</t>
        </is>
      </c>
      <c r="I88" s="8" t="inlineStr">
        <is>
          <t>АВГМ 71</t>
        </is>
      </c>
      <c r="J88" s="15" t="inlineStr">
        <is>
          <t>АСУ,А и ТМ (КЦ № 7)</t>
        </is>
      </c>
      <c r="K88" s="15" t="n"/>
      <c r="L88" s="15" t="n">
        <v>60</v>
      </c>
      <c r="M88" s="3" t="n"/>
      <c r="N88" s="70" t="n"/>
    </row>
    <row r="89" ht="22.5" customHeight="1" s="151">
      <c r="A89" s="15">
        <f>IF(B89&lt;&gt;"", COUNTA($B$2:B89), "")</f>
        <v/>
      </c>
      <c r="B89" s="280" t="inlineStr">
        <is>
          <t>Термометр сопротивления</t>
        </is>
      </c>
      <c r="C89" s="14" t="inlineStr">
        <is>
          <t>ТСПУ-Л-22322 УХЛ3,1</t>
        </is>
      </c>
      <c r="D89" s="29" t="inlineStr">
        <is>
          <t>026</t>
        </is>
      </c>
      <c r="E89" s="70" t="n">
        <v>2019</v>
      </c>
      <c r="F89" s="32" t="inlineStr">
        <is>
          <t>-50…350 °С</t>
        </is>
      </c>
      <c r="G89" s="71" t="n"/>
      <c r="H89" s="14" t="inlineStr">
        <is>
          <t>Температура теплообменника №1</t>
        </is>
      </c>
      <c r="I89" s="8" t="inlineStr">
        <is>
          <t>АВГМ 71</t>
        </is>
      </c>
      <c r="J89" s="15" t="inlineStr">
        <is>
          <t>АСУ,А и ТМ (КЦ № 7)</t>
        </is>
      </c>
      <c r="K89" s="15" t="n"/>
      <c r="L89" s="15" t="n">
        <v>60</v>
      </c>
      <c r="M89" s="3" t="n"/>
      <c r="N89" s="70" t="n"/>
    </row>
    <row r="90" ht="22.5" customHeight="1" s="151">
      <c r="A90" s="15">
        <f>IF(B90&lt;&gt;"", COUNTA($B$2:B90), "")</f>
        <v/>
      </c>
      <c r="B90" s="280" t="inlineStr">
        <is>
          <t>Датчик давления микропроцессорный</t>
        </is>
      </c>
      <c r="C90" s="14" t="inlineStr">
        <is>
          <t>ДДМ-03-МИ</t>
        </is>
      </c>
      <c r="D90" s="29" t="inlineStr">
        <is>
          <t>807108</t>
        </is>
      </c>
      <c r="E90" s="70" t="n"/>
      <c r="F90" s="70" t="inlineStr">
        <is>
          <t>0…40 кПа</t>
        </is>
      </c>
      <c r="G90" s="71" t="n">
        <v>0.5</v>
      </c>
      <c r="H90" s="14" t="inlineStr">
        <is>
          <t>Давление газа перед газовой горелкой №2</t>
        </is>
      </c>
      <c r="I90" s="8" t="inlineStr">
        <is>
          <t>АВГМ 71</t>
        </is>
      </c>
      <c r="J90" s="15" t="inlineStr">
        <is>
          <t>АСУ,А и ТМ (КЦ № 7)</t>
        </is>
      </c>
      <c r="K90" s="15" t="n"/>
      <c r="L90" s="15" t="n">
        <v>60</v>
      </c>
      <c r="M90" s="3" t="n"/>
      <c r="N90" s="70" t="n"/>
    </row>
    <row r="91" ht="22.5" customHeight="1" s="151">
      <c r="A91" s="15">
        <f>IF(B91&lt;&gt;"", COUNTA($B$2:B91), "")</f>
        <v/>
      </c>
      <c r="B91" s="280" t="inlineStr">
        <is>
          <t>Преобразователь давления</t>
        </is>
      </c>
      <c r="C91" s="14" t="inlineStr">
        <is>
          <t>ПД100-ДИ 1,0-111-1,0</t>
        </is>
      </c>
      <c r="D91" s="29" t="inlineStr">
        <is>
          <t>42219190446016660</t>
        </is>
      </c>
      <c r="E91" s="70" t="n"/>
      <c r="F91" s="70" t="inlineStr">
        <is>
          <t>0…1 МПа</t>
        </is>
      </c>
      <c r="G91" s="71" t="n"/>
      <c r="H91" s="14" t="inlineStr">
        <is>
          <t>Давление газа на входе</t>
        </is>
      </c>
      <c r="I91" s="8" t="inlineStr">
        <is>
          <t>АВГМ 71</t>
        </is>
      </c>
      <c r="J91" s="15" t="inlineStr">
        <is>
          <t>АСУ,А и ТМ (КЦ № 7)</t>
        </is>
      </c>
      <c r="K91" s="15" t="n"/>
      <c r="L91" s="15" t="n">
        <v>60</v>
      </c>
      <c r="M91" s="3" t="n"/>
      <c r="N91" s="70" t="n"/>
    </row>
    <row r="92" ht="22.5" customHeight="1" s="151">
      <c r="A92" s="15">
        <f>IF(B92&lt;&gt;"", COUNTA($B$2:B92), "")</f>
        <v/>
      </c>
      <c r="B92" s="280" t="inlineStr">
        <is>
          <t>Термометр сопротивления</t>
        </is>
      </c>
      <c r="C92" s="14" t="inlineStr">
        <is>
          <t>ДТС145-PT100.В3.120</t>
        </is>
      </c>
      <c r="D92" s="29" t="inlineStr">
        <is>
          <t>11068181144233299</t>
        </is>
      </c>
      <c r="E92" s="70" t="n">
        <v>2018</v>
      </c>
      <c r="F92" s="32" t="inlineStr">
        <is>
          <t>-50…500 °С</t>
        </is>
      </c>
      <c r="G92" s="71" t="inlineStr">
        <is>
          <t>В</t>
        </is>
      </c>
      <c r="H92" s="14" t="inlineStr">
        <is>
          <t xml:space="preserve">Температура газа на входе </t>
        </is>
      </c>
      <c r="I92" s="8" t="inlineStr">
        <is>
          <t>АВГМ 71</t>
        </is>
      </c>
      <c r="J92" s="15" t="inlineStr">
        <is>
          <t>АСУ,А и ТМ (КЦ № 7)</t>
        </is>
      </c>
      <c r="K92" s="15" t="n"/>
      <c r="L92" s="15" t="n">
        <v>60</v>
      </c>
      <c r="M92" s="3" t="n"/>
      <c r="N92" s="70" t="n"/>
    </row>
    <row r="93" ht="22.5" customHeight="1" s="151">
      <c r="A93" s="15">
        <f>IF(B93&lt;&gt;"", COUNTA($B$2:B93), "")</f>
        <v/>
      </c>
      <c r="B93" s="280" t="inlineStr">
        <is>
          <t>Термометр сопротивления</t>
        </is>
      </c>
      <c r="C93" s="14" t="inlineStr">
        <is>
          <t>ДТС145-PT100.В3.120</t>
        </is>
      </c>
      <c r="D93" s="29" t="inlineStr">
        <is>
          <t>09190190444135123</t>
        </is>
      </c>
      <c r="E93" s="70" t="n">
        <v>2019</v>
      </c>
      <c r="F93" s="32" t="inlineStr">
        <is>
          <t>-60…500 °С</t>
        </is>
      </c>
      <c r="G93" s="71" t="inlineStr">
        <is>
          <t>В</t>
        </is>
      </c>
      <c r="H93" s="14" t="inlineStr">
        <is>
          <t>Температура в секции обслуживания</t>
        </is>
      </c>
      <c r="I93" s="8" t="inlineStr">
        <is>
          <t>АВГМ 71</t>
        </is>
      </c>
      <c r="J93" s="15" t="inlineStr">
        <is>
          <t>АСУ,А и ТМ (КЦ № 7)</t>
        </is>
      </c>
      <c r="K93" s="15" t="n"/>
      <c r="L93" s="15" t="n">
        <v>60</v>
      </c>
      <c r="M93" s="3" t="n"/>
      <c r="N93" s="70" t="n"/>
    </row>
    <row r="94" ht="22.5" customHeight="1" s="151">
      <c r="A94" s="15">
        <f>IF(B94&lt;&gt;"", COUNTA($B$2:B94), "")</f>
        <v/>
      </c>
      <c r="B94" s="280" t="inlineStr">
        <is>
          <t>Датчик давления микропроцессорный</t>
        </is>
      </c>
      <c r="C94" s="14" t="inlineStr">
        <is>
          <t>ДДМ-03-ДИ-МИ</t>
        </is>
      </c>
      <c r="D94" s="29" t="inlineStr">
        <is>
          <t>805004</t>
        </is>
      </c>
      <c r="E94" s="70" t="n"/>
      <c r="F94" s="70" t="inlineStr">
        <is>
          <t>0…40 кПа</t>
        </is>
      </c>
      <c r="G94" s="71" t="n"/>
      <c r="H94" s="14" t="inlineStr">
        <is>
          <t>Давление газа перед газовой горелкой №1</t>
        </is>
      </c>
      <c r="I94" s="8" t="inlineStr">
        <is>
          <t>АВГМ 71</t>
        </is>
      </c>
      <c r="J94" s="15" t="inlineStr">
        <is>
          <t>АСУ,А и ТМ (КЦ № 7)</t>
        </is>
      </c>
      <c r="K94" s="15" t="n"/>
      <c r="L94" s="15" t="n">
        <v>60</v>
      </c>
      <c r="M94" s="3" t="n"/>
      <c r="N94" s="70" t="n"/>
    </row>
    <row r="95" ht="22.5" customHeight="1" s="151">
      <c r="A95" s="15">
        <f>IF(B95&lt;&gt;"", COUNTA($B$2:B95), "")</f>
        <v/>
      </c>
      <c r="B95" s="280" t="inlineStr">
        <is>
          <t>Термометр сопротивления</t>
        </is>
      </c>
      <c r="C95" s="14" t="inlineStr">
        <is>
          <t>ТСПУ-Л-22322 УХЛ3,1</t>
        </is>
      </c>
      <c r="D95" s="29" t="inlineStr">
        <is>
          <t>025</t>
        </is>
      </c>
      <c r="E95" s="70" t="n">
        <v>2019</v>
      </c>
      <c r="F95" s="32" t="inlineStr">
        <is>
          <t>-50…350 °С</t>
        </is>
      </c>
      <c r="G95" s="71" t="n"/>
      <c r="H95" s="14" t="inlineStr">
        <is>
          <t>Температура теплообменника №2</t>
        </is>
      </c>
      <c r="I95" s="8" t="inlineStr">
        <is>
          <t>АВГМ 71</t>
        </is>
      </c>
      <c r="J95" s="15" t="inlineStr">
        <is>
          <t>АСУ,А и ТМ (КЦ № 7)</t>
        </is>
      </c>
      <c r="K95" s="15" t="n"/>
      <c r="L95" s="15" t="n">
        <v>60</v>
      </c>
      <c r="M95" s="3" t="n"/>
      <c r="N95" s="70" t="n"/>
    </row>
    <row r="96" ht="22.5" customHeight="1" s="151">
      <c r="A96" s="15">
        <f>IF(B96&lt;&gt;"", COUNTA($B$2:B96), "")</f>
        <v/>
      </c>
      <c r="B96" s="280" t="inlineStr">
        <is>
          <t>Реле давления</t>
        </is>
      </c>
      <c r="C96" s="14" t="inlineStr">
        <is>
          <t>GW 150 A6</t>
        </is>
      </c>
      <c r="D96" s="29" t="inlineStr">
        <is>
          <t>CE-0085AO3220-15T70</t>
        </is>
      </c>
      <c r="E96" s="70" t="n"/>
      <c r="F96" s="70" t="inlineStr">
        <is>
          <t>0…500 мбар</t>
        </is>
      </c>
      <c r="G96" s="71" t="n"/>
      <c r="H96" s="14" t="inlineStr">
        <is>
          <t>Давление газа между предохранительно-запорными клапанами Y1 и Y2 горелки №2</t>
        </is>
      </c>
      <c r="I96" s="8" t="inlineStr">
        <is>
          <t>АВГМ 71</t>
        </is>
      </c>
      <c r="J96" s="15" t="inlineStr">
        <is>
          <t>АСУ,А и ТМ (КЦ № 7)</t>
        </is>
      </c>
      <c r="K96" s="15" t="n"/>
      <c r="L96" s="15" t="n">
        <v>60</v>
      </c>
      <c r="M96" s="3" t="n"/>
      <c r="N96" s="70" t="n"/>
      <c r="O96" s="72" t="inlineStr">
        <is>
          <t>Не является СИ</t>
        </is>
      </c>
    </row>
    <row r="97" ht="22.5" customHeight="1" s="151">
      <c r="A97" s="15">
        <f>IF(B97&lt;&gt;"", COUNTA($B$2:B97), "")</f>
        <v/>
      </c>
      <c r="B97" s="280" t="inlineStr">
        <is>
          <t>Реле давления</t>
        </is>
      </c>
      <c r="C97" s="14" t="inlineStr">
        <is>
          <t>РД-016</t>
        </is>
      </c>
      <c r="D97" s="29" t="inlineStr">
        <is>
          <t>808132</t>
        </is>
      </c>
      <c r="E97" s="70" t="n">
        <v>2018</v>
      </c>
      <c r="F97" s="70" t="inlineStr">
        <is>
          <t>0…40 кПа</t>
        </is>
      </c>
      <c r="G97" s="71" t="n"/>
      <c r="H97" s="14" t="inlineStr">
        <is>
          <t>Давление газа перед предохранительно-запорным клапаном горелки №1</t>
        </is>
      </c>
      <c r="I97" s="8" t="inlineStr">
        <is>
          <t>АВГМ 71</t>
        </is>
      </c>
      <c r="J97" s="15" t="inlineStr">
        <is>
          <t>АСУ,А и ТМ (КЦ № 7)</t>
        </is>
      </c>
      <c r="K97" s="15" t="n"/>
      <c r="L97" s="15" t="n">
        <v>60</v>
      </c>
      <c r="M97" s="3" t="n"/>
      <c r="N97" s="70" t="n"/>
      <c r="O97" s="72" t="inlineStr">
        <is>
          <t>Не является СИ</t>
        </is>
      </c>
    </row>
    <row r="98">
      <c r="A98" s="15">
        <f>IF(B98&lt;&gt;"", COUNTA($B$2:B98), "")</f>
        <v/>
      </c>
      <c r="B98" s="280" t="inlineStr">
        <is>
          <t>Реле давления</t>
        </is>
      </c>
      <c r="C98" s="14" t="inlineStr">
        <is>
          <t>РД-016</t>
        </is>
      </c>
      <c r="D98" s="29" t="inlineStr">
        <is>
          <t>805004</t>
        </is>
      </c>
      <c r="E98" s="70" t="n">
        <v>2018</v>
      </c>
      <c r="F98" s="70" t="inlineStr">
        <is>
          <t>0…40 кПа</t>
        </is>
      </c>
      <c r="G98" s="71" t="n"/>
      <c r="H98" s="14" t="inlineStr">
        <is>
          <t xml:space="preserve">давление газа после газовой заслонки R2 </t>
        </is>
      </c>
      <c r="I98" s="8" t="n"/>
      <c r="J98" s="15" t="n"/>
      <c r="K98" s="15" t="n"/>
      <c r="L98" s="15" t="n"/>
      <c r="M98" s="3" t="n"/>
      <c r="N98" s="70" t="n"/>
      <c r="O98" s="72" t="inlineStr">
        <is>
          <t>Не является СИ</t>
        </is>
      </c>
    </row>
    <row r="99" ht="22.5" customHeight="1" s="151">
      <c r="A99" s="15">
        <f>IF(B99&lt;&gt;"", COUNTA($B$2:B99), "")</f>
        <v/>
      </c>
      <c r="B99" s="280" t="inlineStr">
        <is>
          <t>Реле давления</t>
        </is>
      </c>
      <c r="C99" s="14" t="inlineStr">
        <is>
          <t>GW 150 A6</t>
        </is>
      </c>
      <c r="D99" s="29" t="inlineStr">
        <is>
          <t>CE-0085AO3220-15T70</t>
        </is>
      </c>
      <c r="E99" s="70" t="n"/>
      <c r="F99" s="70" t="inlineStr">
        <is>
          <t>0…500 мбар</t>
        </is>
      </c>
      <c r="G99" s="71" t="n"/>
      <c r="H99" s="14" t="inlineStr">
        <is>
          <t>Давление газа между предохранительно-запорными клапанами Y1 и Y2 горелки №1</t>
        </is>
      </c>
      <c r="I99" s="8" t="inlineStr">
        <is>
          <t>АВГМ 71</t>
        </is>
      </c>
      <c r="J99" s="15" t="inlineStr">
        <is>
          <t>АСУ,А и ТМ (КЦ № 7)</t>
        </is>
      </c>
      <c r="K99" s="15" t="n"/>
      <c r="L99" s="15" t="n">
        <v>60</v>
      </c>
      <c r="M99" s="3" t="n"/>
      <c r="N99" s="70" t="n"/>
      <c r="O99" s="72" t="inlineStr">
        <is>
          <t>Не является СИ</t>
        </is>
      </c>
    </row>
    <row r="100" ht="22.5" customHeight="1" s="151">
      <c r="A100" s="15">
        <f>IF(B100&lt;&gt;"", COUNTA($B$2:B100), "")</f>
        <v/>
      </c>
      <c r="B100" s="280" t="inlineStr">
        <is>
          <t>Реле давления</t>
        </is>
      </c>
      <c r="C100" s="14" t="inlineStr">
        <is>
          <t>РД-016</t>
        </is>
      </c>
      <c r="D100" s="29" t="inlineStr">
        <is>
          <t>906050</t>
        </is>
      </c>
      <c r="E100" s="70" t="n">
        <v>2019</v>
      </c>
      <c r="F100" s="70" t="inlineStr">
        <is>
          <t>0…40 кПа</t>
        </is>
      </c>
      <c r="G100" s="71" t="n"/>
      <c r="H100" s="14" t="inlineStr">
        <is>
          <t>Давление газа перед предохранительно-запорным клапаном горелки №2</t>
        </is>
      </c>
      <c r="I100" s="8" t="inlineStr">
        <is>
          <t>АВГМ 71</t>
        </is>
      </c>
      <c r="J100" s="15" t="inlineStr">
        <is>
          <t>АСУ,А и ТМ (КЦ № 7)</t>
        </is>
      </c>
      <c r="K100" s="15" t="n"/>
      <c r="L100" s="15" t="n">
        <v>60</v>
      </c>
      <c r="M100" s="3" t="n"/>
      <c r="N100" s="70" t="n"/>
      <c r="O100" s="72" t="inlineStr">
        <is>
          <t>Не является СИ</t>
        </is>
      </c>
    </row>
    <row r="101" ht="22.5" customHeight="1" s="151">
      <c r="A101" s="15">
        <f>IF(B101&lt;&gt;"", COUNTA($B$2:B101), "")</f>
        <v/>
      </c>
      <c r="B101" s="73" t="inlineStr">
        <is>
          <t>Преобразователь избыточного давления</t>
        </is>
      </c>
      <c r="C101" s="14" t="inlineStr">
        <is>
          <t>Метран 150 TG</t>
        </is>
      </c>
      <c r="D101" s="14" t="n">
        <v>116067</v>
      </c>
      <c r="E101" s="288" t="n">
        <v>44317</v>
      </c>
      <c r="F101" s="70" t="inlineStr">
        <is>
          <t>0…1 МПа</t>
        </is>
      </c>
      <c r="G101" s="71" t="n">
        <v>0.1</v>
      </c>
      <c r="H101" s="14" t="inlineStr">
        <is>
          <t>Pм на выходе из двигателя</t>
        </is>
      </c>
      <c r="I101" s="8" t="inlineStr">
        <is>
          <t>Масленая  консоль</t>
        </is>
      </c>
      <c r="J101" s="15" t="inlineStr">
        <is>
          <t>АСУ,А и ТМ (КЦ № 7)</t>
        </is>
      </c>
      <c r="K101" s="15" t="n"/>
      <c r="L101" s="15" t="n">
        <v>12</v>
      </c>
      <c r="M101" s="3" t="n"/>
      <c r="N101" s="70" t="n"/>
    </row>
    <row r="102" ht="22.5" customHeight="1" s="151">
      <c r="A102" s="15">
        <f>IF(B102&lt;&gt;"", COUNTA($B$2:B102), "")</f>
        <v/>
      </c>
      <c r="B102" s="73" t="inlineStr">
        <is>
          <t>Преобразователь избыточного давления</t>
        </is>
      </c>
      <c r="C102" s="14" t="inlineStr">
        <is>
          <t>Метран 150 TG</t>
        </is>
      </c>
      <c r="D102" s="14" t="n">
        <v>945444</v>
      </c>
      <c r="E102" s="289" t="n"/>
      <c r="F102" s="70" t="inlineStr">
        <is>
          <t>0…1 МПа</t>
        </is>
      </c>
      <c r="G102" s="71" t="n">
        <v>0.1</v>
      </c>
      <c r="H102" s="14" t="inlineStr">
        <is>
          <t>Pм в линий откачки от СТ</t>
        </is>
      </c>
      <c r="I102" s="8" t="inlineStr">
        <is>
          <t>Масленая  консоль</t>
        </is>
      </c>
      <c r="J102" s="15" t="inlineStr">
        <is>
          <t>АСУ,А и ТМ (КЦ № 7)</t>
        </is>
      </c>
      <c r="K102" s="15" t="n"/>
      <c r="L102" s="15" t="n">
        <v>12</v>
      </c>
      <c r="M102" s="3" t="n"/>
      <c r="N102" s="70" t="n"/>
    </row>
    <row r="103" ht="22.5" customHeight="1" s="151">
      <c r="A103" s="15">
        <f>IF(B103&lt;&gt;"", COUNTA($B$2:B103), "")</f>
        <v/>
      </c>
      <c r="B103" s="73" t="inlineStr">
        <is>
          <t>Преобразователь избыточного давления</t>
        </is>
      </c>
      <c r="C103" s="14" t="inlineStr">
        <is>
          <t>Метран 150 CD</t>
        </is>
      </c>
      <c r="D103" s="14" t="n">
        <v>1047806</v>
      </c>
      <c r="E103" s="15" t="n"/>
      <c r="F103" s="70" t="inlineStr">
        <is>
          <t>0…250 кПа</t>
        </is>
      </c>
      <c r="G103" s="71" t="n">
        <v>0.1</v>
      </c>
      <c r="H103" s="14" t="inlineStr">
        <is>
          <t>∆Рм  на фтльтрах БМФ1</t>
        </is>
      </c>
      <c r="I103" s="8" t="inlineStr">
        <is>
          <t>Масленая  консоль</t>
        </is>
      </c>
      <c r="J103" s="15" t="inlineStr">
        <is>
          <t>АСУ,А и ТМ (КЦ № 7)</t>
        </is>
      </c>
      <c r="K103" s="15" t="n"/>
      <c r="L103" s="15" t="n">
        <v>12</v>
      </c>
      <c r="M103" s="3" t="n"/>
      <c r="N103" s="70" t="n"/>
    </row>
    <row r="104" ht="22.5" customHeight="1" s="151">
      <c r="A104" s="15">
        <f>IF(B104&lt;&gt;"", COUNTA($B$2:B104), "")</f>
        <v/>
      </c>
      <c r="B104" s="73" t="inlineStr">
        <is>
          <t>Преобразователь избыточного давления</t>
        </is>
      </c>
      <c r="C104" s="14" t="inlineStr">
        <is>
          <t>Метран 150 CD</t>
        </is>
      </c>
      <c r="D104" s="14" t="n">
        <v>152666</v>
      </c>
      <c r="E104" s="14" t="n"/>
      <c r="F104" s="70" t="inlineStr">
        <is>
          <t>0…250 кПа</t>
        </is>
      </c>
      <c r="G104" s="71" t="n">
        <v>0.1</v>
      </c>
      <c r="H104" s="14" t="inlineStr">
        <is>
          <t>∆Рм  на фтльтрах БМФ2</t>
        </is>
      </c>
      <c r="I104" s="8" t="inlineStr">
        <is>
          <t>Масленая  консоль</t>
        </is>
      </c>
      <c r="J104" s="15" t="inlineStr">
        <is>
          <t>АСУ,А и ТМ (КЦ № 7)</t>
        </is>
      </c>
      <c r="K104" s="15" t="n"/>
      <c r="L104" s="15" t="n">
        <v>12</v>
      </c>
      <c r="M104" s="3" t="n"/>
      <c r="N104" s="70" t="n"/>
    </row>
    <row r="105" ht="22.5" customHeight="1" s="151">
      <c r="A105" s="15">
        <f>IF(B105&lt;&gt;"", COUNTA($B$2:B105), "")</f>
        <v/>
      </c>
      <c r="B105" s="73" t="inlineStr">
        <is>
          <t>Преобразователь избыточного давления</t>
        </is>
      </c>
      <c r="C105" s="14" t="inlineStr">
        <is>
          <t>Метран 150 CD</t>
        </is>
      </c>
      <c r="D105" s="14" t="n">
        <v>156603</v>
      </c>
      <c r="E105" s="15" t="n"/>
      <c r="F105" s="70" t="inlineStr">
        <is>
          <t>0…250 кПа</t>
        </is>
      </c>
      <c r="G105" s="71" t="n">
        <v>0.1</v>
      </c>
      <c r="H105" s="14" t="inlineStr">
        <is>
          <t>∆Рм  на фтльтрах ГМТ</t>
        </is>
      </c>
      <c r="I105" s="8" t="inlineStr">
        <is>
          <t>Масленая  консоль</t>
        </is>
      </c>
      <c r="J105" s="15" t="inlineStr">
        <is>
          <t>АСУ,А и ТМ (КЦ № 7)</t>
        </is>
      </c>
      <c r="K105" s="15" t="n"/>
      <c r="L105" s="15" t="n">
        <v>12</v>
      </c>
      <c r="M105" s="3" t="n"/>
      <c r="N105" s="70" t="n"/>
    </row>
    <row r="106" ht="22.5" customHeight="1" s="151">
      <c r="A106" s="15">
        <f>IF(B106&lt;&gt;"", COUNTA($B$2:B106), "")</f>
        <v/>
      </c>
      <c r="B106" s="73" t="inlineStr">
        <is>
          <t>Преобразователь избыточного давления</t>
        </is>
      </c>
      <c r="C106" s="14" t="inlineStr">
        <is>
          <t>Метран 150 CG</t>
        </is>
      </c>
      <c r="D106" s="14" t="n">
        <v>6178266</v>
      </c>
      <c r="E106" s="15" t="n"/>
      <c r="F106" s="70" t="inlineStr">
        <is>
          <t>0…63 кПа</t>
        </is>
      </c>
      <c r="G106" s="71" t="n">
        <v>0.1</v>
      </c>
      <c r="H106" s="14" t="inlineStr">
        <is>
          <t>Р воздушно-масляной смеси в маслобаке двигателя</t>
        </is>
      </c>
      <c r="I106" s="8" t="inlineStr">
        <is>
          <t>Масленая  консоль</t>
        </is>
      </c>
      <c r="J106" s="15" t="inlineStr">
        <is>
          <t>АСУ,А и ТМ (КЦ № 7)</t>
        </is>
      </c>
      <c r="K106" s="15" t="n"/>
      <c r="L106" s="15" t="n">
        <v>12</v>
      </c>
      <c r="M106" s="3" t="n"/>
      <c r="N106" s="70" t="n"/>
    </row>
    <row r="107" ht="22.5" customHeight="1" s="151">
      <c r="A107" s="15">
        <f>IF(B107&lt;&gt;"", COUNTA($B$2:B107), "")</f>
        <v/>
      </c>
      <c r="B107" s="74" t="inlineStr">
        <is>
          <t>Преобразователь избыточного давления</t>
        </is>
      </c>
      <c r="C107" s="14" t="inlineStr">
        <is>
          <t>Метран 150 CD</t>
        </is>
      </c>
      <c r="D107" s="14" t="n">
        <v>6095170</v>
      </c>
      <c r="E107" s="14" t="n">
        <v>2018</v>
      </c>
      <c r="F107" s="70" t="inlineStr">
        <is>
          <t>0…6,3 кПа</t>
        </is>
      </c>
      <c r="G107" s="71" t="inlineStr">
        <is>
          <t>0.1</t>
        </is>
      </c>
      <c r="H107" s="14" t="inlineStr">
        <is>
          <t>Избыточное давление воздуха в блоке силовом</t>
        </is>
      </c>
      <c r="I107" s="71" t="inlineStr">
        <is>
          <t>Укрытие</t>
        </is>
      </c>
      <c r="J107" s="14" t="inlineStr">
        <is>
          <t>АСУ,А и ТМ (КЦ № 7)</t>
        </is>
      </c>
      <c r="K107" s="14" t="n"/>
      <c r="L107" s="15" t="n"/>
      <c r="M107" s="3" t="n"/>
      <c r="N107" s="70" t="n"/>
    </row>
    <row r="108" ht="22.5" customHeight="1" s="151">
      <c r="A108" s="15">
        <f>IF(B108&lt;&gt;"", COUNTA($B$2:B108), "")</f>
        <v/>
      </c>
      <c r="B108" s="73" t="inlineStr">
        <is>
          <t>Преобразователь избыточного давления</t>
        </is>
      </c>
      <c r="C108" s="14" t="inlineStr">
        <is>
          <t>Метран 150 CG</t>
        </is>
      </c>
      <c r="D108" s="14" t="n">
        <v>6104410</v>
      </c>
      <c r="E108" s="15" t="n"/>
      <c r="F108" s="70" t="inlineStr">
        <is>
          <t>0…6,3 кПа</t>
        </is>
      </c>
      <c r="G108" s="71" t="n">
        <v>0.1</v>
      </c>
      <c r="H108" s="14" t="inlineStr">
        <is>
          <t>Рв охлаждения кожуха муфты</t>
        </is>
      </c>
      <c r="I108" s="8" t="inlineStr">
        <is>
          <t>Укрытие</t>
        </is>
      </c>
      <c r="J108" s="15" t="inlineStr">
        <is>
          <t>АСУ,А и ТМ (КЦ № 7)</t>
        </is>
      </c>
      <c r="K108" s="15" t="n"/>
      <c r="L108" s="15" t="n">
        <v>12</v>
      </c>
      <c r="M108" s="3" t="n"/>
      <c r="N108" s="70" t="n"/>
    </row>
    <row r="109" ht="22.5" customHeight="1" s="151">
      <c r="A109" s="15">
        <f>IF(B109&lt;&gt;"", COUNTA($B$2:B109), "")</f>
        <v/>
      </c>
      <c r="B109" s="74" t="inlineStr">
        <is>
          <t>Преобразователь избыточного давления</t>
        </is>
      </c>
      <c r="C109" s="14" t="inlineStr">
        <is>
          <t>Метран 150 TG</t>
        </is>
      </c>
      <c r="D109" s="79" t="n">
        <v>6072974</v>
      </c>
      <c r="E109" s="48" t="n">
        <v>2018</v>
      </c>
      <c r="F109" s="39" t="inlineStr">
        <is>
          <t>0…25 МПа</t>
        </is>
      </c>
      <c r="G109" s="71" t="n">
        <v>0.1</v>
      </c>
      <c r="H109" s="48" t="inlineStr">
        <is>
          <t>Ртг на входе ГПА</t>
        </is>
      </c>
      <c r="I109" s="96" t="inlineStr">
        <is>
          <t>Укрытие</t>
        </is>
      </c>
      <c r="J109" s="41" t="inlineStr">
        <is>
          <t>АСУ,А и ТМ (КЦ № 7)</t>
        </is>
      </c>
      <c r="K109" s="41" t="n"/>
      <c r="L109" s="41" t="n">
        <v>12</v>
      </c>
      <c r="M109" s="40" t="n"/>
      <c r="N109" s="43" t="n"/>
    </row>
    <row r="110" ht="22.5" customHeight="1" s="151">
      <c r="A110" s="15">
        <f>IF(B110&lt;&gt;"", COUNTA($B$2:B110), "")</f>
        <v/>
      </c>
      <c r="B110" s="73" t="inlineStr">
        <is>
          <t>Преобразователь избыточного давления</t>
        </is>
      </c>
      <c r="C110" s="14" t="inlineStr">
        <is>
          <t>Метран 150 TG</t>
        </is>
      </c>
      <c r="D110" s="70" t="n">
        <v>6072985</v>
      </c>
      <c r="E110" s="82" t="n"/>
      <c r="F110" s="39" t="inlineStr">
        <is>
          <t>0…6 МПа</t>
        </is>
      </c>
      <c r="G110" s="71" t="n">
        <v>0.1</v>
      </c>
      <c r="H110" s="14" t="inlineStr">
        <is>
          <t>Ртг на выходе из блока фильтров</t>
        </is>
      </c>
      <c r="I110" s="8" t="inlineStr">
        <is>
          <t>Укрытие</t>
        </is>
      </c>
      <c r="J110" s="41" t="inlineStr">
        <is>
          <t>АСУ,А и ТМ (КЦ № 7)</t>
        </is>
      </c>
      <c r="K110" s="82" t="n"/>
      <c r="L110" s="82" t="n"/>
      <c r="M110" s="82" t="n"/>
      <c r="N110" s="82" t="n"/>
    </row>
    <row r="111" ht="22.5" customHeight="1" s="151">
      <c r="A111" s="15">
        <f>IF(B111&lt;&gt;"", COUNTA($B$2:B111), "")</f>
        <v/>
      </c>
      <c r="B111" s="73" t="inlineStr">
        <is>
          <t>Преобразователь избыточного давления</t>
        </is>
      </c>
      <c r="C111" s="14" t="inlineStr">
        <is>
          <t>Метран 150 TG</t>
        </is>
      </c>
      <c r="D111" s="70" t="n">
        <v>6072954</v>
      </c>
      <c r="E111" s="82" t="n"/>
      <c r="F111" s="39" t="inlineStr">
        <is>
          <t>0…6 МПа</t>
        </is>
      </c>
      <c r="G111" s="71" t="n">
        <v>0.1</v>
      </c>
      <c r="H111" s="14" t="inlineStr">
        <is>
          <t xml:space="preserve">Ртг на входе турбоблок </t>
        </is>
      </c>
      <c r="I111" s="82" t="n"/>
      <c r="J111" s="41" t="inlineStr">
        <is>
          <t>АСУ,А и ТМ (КЦ № 7)</t>
        </is>
      </c>
      <c r="K111" s="82" t="n"/>
      <c r="L111" s="82" t="n"/>
      <c r="M111" s="82" t="n"/>
      <c r="N111" s="82" t="n"/>
    </row>
    <row r="112" ht="22.5" customHeight="1" s="151">
      <c r="A112" s="15">
        <f>IF(B112&lt;&gt;"", COUNTA($B$2:B112), "")</f>
        <v/>
      </c>
      <c r="B112" s="73" t="inlineStr">
        <is>
          <t>Преобразователь избыточного давления</t>
        </is>
      </c>
      <c r="C112" s="14" t="inlineStr">
        <is>
          <t>Метран 150 TG</t>
        </is>
      </c>
      <c r="D112" s="70" t="n">
        <v>6071971</v>
      </c>
      <c r="E112" s="290" t="n">
        <v>43221</v>
      </c>
      <c r="F112" s="70" t="inlineStr">
        <is>
          <t>0…160 кПа</t>
        </is>
      </c>
      <c r="G112" s="71" t="n">
        <v>0.1</v>
      </c>
      <c r="H112" s="70" t="inlineStr">
        <is>
          <t>Ртг в буферной полоскости ГМТ</t>
        </is>
      </c>
      <c r="I112" s="82" t="n"/>
      <c r="J112" s="41" t="inlineStr">
        <is>
          <t>АСУ,А и ТМ (КЦ № 7)</t>
        </is>
      </c>
      <c r="K112" s="82" t="n"/>
      <c r="L112" s="82" t="n"/>
      <c r="M112" s="82" t="n"/>
      <c r="N112" s="82" t="n"/>
    </row>
    <row r="113" ht="22.5" customHeight="1" s="151">
      <c r="A113" s="15">
        <f>IF(B113&lt;&gt;"", COUNTA($B$2:B113), "")</f>
        <v/>
      </c>
      <c r="B113" s="73" t="inlineStr">
        <is>
          <t>Преобразователь избыточного давления</t>
        </is>
      </c>
      <c r="C113" s="14" t="inlineStr">
        <is>
          <t>Метран 150 CD</t>
        </is>
      </c>
      <c r="D113" s="70" t="n">
        <v>6090821</v>
      </c>
      <c r="E113" s="82" t="n"/>
      <c r="F113" s="70" t="inlineStr">
        <is>
          <t>0…250 кПа</t>
        </is>
      </c>
      <c r="G113" s="71" t="n">
        <v>0.1</v>
      </c>
      <c r="H113" s="14" t="inlineStr">
        <is>
          <t xml:space="preserve">∆Рм  на фильтрах </t>
        </is>
      </c>
      <c r="I113" s="82" t="n"/>
      <c r="J113" s="41" t="inlineStr">
        <is>
          <t>АСУ,А и ТМ (КЦ № 7)</t>
        </is>
      </c>
      <c r="K113" s="82" t="n"/>
      <c r="L113" s="82" t="n"/>
      <c r="M113" s="82" t="n"/>
      <c r="N113" s="82" t="n"/>
    </row>
    <row r="114" ht="22.5" customHeight="1" s="151">
      <c r="A114" s="15">
        <f>IF(B114&lt;&gt;"", COUNTA($B$2:B114), "")</f>
        <v/>
      </c>
      <c r="B114" s="74" t="inlineStr">
        <is>
          <t>Преобразователь избыточного давления</t>
        </is>
      </c>
      <c r="C114" s="14" t="inlineStr">
        <is>
          <t>Метран 150 CD</t>
        </is>
      </c>
      <c r="D114" s="88" t="n">
        <v>6067668</v>
      </c>
      <c r="E114" s="81" t="n">
        <v>2018</v>
      </c>
      <c r="F114" s="70" t="inlineStr">
        <is>
          <t>0…6,3 кПа</t>
        </is>
      </c>
      <c r="G114" s="71" t="n">
        <v>0.1</v>
      </c>
      <c r="H114" s="71" t="inlineStr">
        <is>
          <t>Разрежение воздуха на фильтрах ВОУ</t>
        </is>
      </c>
      <c r="I114" s="82" t="n"/>
      <c r="J114" s="41" t="inlineStr">
        <is>
          <t>АСУ,А и ТМ (КЦ № 7)</t>
        </is>
      </c>
      <c r="K114" s="82" t="n"/>
      <c r="L114" s="82" t="n"/>
      <c r="M114" s="82" t="n"/>
      <c r="N114" s="82" t="n"/>
    </row>
    <row r="115" ht="22.5" customHeight="1" s="151">
      <c r="A115" s="15">
        <f>IF(B115&lt;&gt;"", COUNTA($B$2:B115), "")</f>
        <v/>
      </c>
      <c r="B115" s="73" t="inlineStr">
        <is>
          <t>Преобразователь избыточного давления</t>
        </is>
      </c>
      <c r="C115" s="14" t="inlineStr">
        <is>
          <t>Метран 150 CD</t>
        </is>
      </c>
      <c r="D115" s="89" t="n">
        <v>6067671</v>
      </c>
      <c r="E115" s="82" t="n"/>
      <c r="F115" s="70" t="inlineStr">
        <is>
          <t>0…6,3 кПа</t>
        </is>
      </c>
      <c r="G115" s="71" t="n">
        <v>0.1</v>
      </c>
      <c r="H115" s="175" t="inlineStr">
        <is>
          <t>Разрежение воздуха в камере всасывания</t>
        </is>
      </c>
      <c r="I115" s="82" t="n"/>
      <c r="J115" s="41" t="inlineStr">
        <is>
          <t>АСУ,А и ТМ (КЦ № 7)</t>
        </is>
      </c>
      <c r="K115" s="82" t="n"/>
      <c r="L115" s="82" t="n"/>
      <c r="M115" s="82" t="n"/>
      <c r="N115" s="82" t="n"/>
    </row>
    <row r="116" ht="22.5" customHeight="1" s="151">
      <c r="A116" s="15">
        <f>IF(B116&lt;&gt;"", COUNTA($B$2:B116), "")</f>
        <v/>
      </c>
      <c r="B116" s="73" t="inlineStr">
        <is>
          <t>Преобразователь избыточного давления</t>
        </is>
      </c>
      <c r="C116" s="14" t="inlineStr">
        <is>
          <t>Метран 150 CD</t>
        </is>
      </c>
      <c r="D116" s="89" t="n">
        <v>6129352</v>
      </c>
      <c r="E116" s="82" t="n"/>
      <c r="F116" s="70" t="inlineStr">
        <is>
          <t>0…6,3 кПа</t>
        </is>
      </c>
      <c r="G116" s="71" t="n">
        <v>0.1</v>
      </c>
      <c r="H116" s="14" t="inlineStr">
        <is>
          <t>∆Р между давлением на выходе из улитки и атмосферой</t>
        </is>
      </c>
      <c r="I116" s="82" t="n"/>
      <c r="J116" s="41" t="inlineStr">
        <is>
          <t>АСУ,А и ТМ (КЦ № 7)</t>
        </is>
      </c>
      <c r="K116" s="82" t="n"/>
      <c r="L116" s="82" t="n"/>
      <c r="M116" s="82" t="n"/>
      <c r="N116" s="82" t="n"/>
    </row>
    <row r="117" ht="22.5" customHeight="1" s="151">
      <c r="A117" s="15">
        <f>IF(B117&lt;&gt;"", COUNTA($B$2:B117), "")</f>
        <v/>
      </c>
      <c r="B117" s="73" t="inlineStr">
        <is>
          <t>Преобразователь избыточного давления</t>
        </is>
      </c>
      <c r="C117" s="14" t="inlineStr">
        <is>
          <t>Метран 150 ТА</t>
        </is>
      </c>
      <c r="D117" s="89" t="n">
        <v>6080905</v>
      </c>
      <c r="E117" s="291" t="n">
        <v>43282</v>
      </c>
      <c r="F117" s="70" t="inlineStr">
        <is>
          <t>0…160 кПа</t>
        </is>
      </c>
      <c r="G117" s="71" t="n">
        <v>0.1</v>
      </c>
      <c r="H117" s="70" t="inlineStr">
        <is>
          <t>барометрическое давление</t>
        </is>
      </c>
      <c r="I117" s="89" t="inlineStr">
        <is>
          <t>САУ</t>
        </is>
      </c>
      <c r="J117" s="41" t="inlineStr">
        <is>
          <t>АСУ,А и ТМ (КЦ № 7)</t>
        </is>
      </c>
      <c r="K117" s="82" t="n"/>
      <c r="L117" s="82" t="n"/>
      <c r="M117" s="82" t="n"/>
      <c r="N117" s="82" t="n"/>
    </row>
    <row r="118" ht="22.5" customHeight="1" s="151">
      <c r="A118" s="15">
        <f>IF(B118&lt;&gt;"", COUNTA($B$2:B118), "")</f>
        <v/>
      </c>
      <c r="B118" s="73" t="inlineStr">
        <is>
          <t>Преобразователь избыточного давления</t>
        </is>
      </c>
      <c r="C118" s="14" t="inlineStr">
        <is>
          <t>Метран 150 TG</t>
        </is>
      </c>
      <c r="D118" s="120" t="n">
        <v>6071979</v>
      </c>
      <c r="E118" s="121" t="n"/>
      <c r="F118" s="70" t="inlineStr">
        <is>
          <t>0…1 МПа</t>
        </is>
      </c>
      <c r="G118" s="71" t="n">
        <v>0.1</v>
      </c>
      <c r="H118" s="122" t="inlineStr">
        <is>
          <t xml:space="preserve">Р защитного воздуха из блока подготовки воздуха </t>
        </is>
      </c>
      <c r="I118" s="8" t="inlineStr">
        <is>
          <t>Укрытие</t>
        </is>
      </c>
      <c r="J118" s="41" t="inlineStr">
        <is>
          <t>АСУ,А и ТМ (КЦ № 7)</t>
        </is>
      </c>
      <c r="K118" s="82" t="n"/>
      <c r="L118" s="82" t="n"/>
      <c r="M118" s="82" t="n"/>
      <c r="N118" s="82" t="n"/>
    </row>
    <row r="119" ht="22.5" customHeight="1" s="151">
      <c r="A119" s="15">
        <f>IF(B119&lt;&gt;"", COUNTA($B$2:B119), "")</f>
        <v/>
      </c>
      <c r="B119" s="73" t="inlineStr">
        <is>
          <t>Преобразователь избыточного давления</t>
        </is>
      </c>
      <c r="C119" s="14" t="inlineStr">
        <is>
          <t>Метран 150 TG</t>
        </is>
      </c>
      <c r="D119" s="89" t="n">
        <v>6071978</v>
      </c>
      <c r="E119" s="82" t="n"/>
      <c r="F119" s="70" t="inlineStr">
        <is>
          <t>0…160 кПа</t>
        </is>
      </c>
      <c r="G119" s="71" t="n">
        <v>0.1</v>
      </c>
      <c r="H119" s="70" t="inlineStr">
        <is>
          <t>Р воздуха на выходе из ГТД</t>
        </is>
      </c>
      <c r="I119" s="8" t="inlineStr">
        <is>
          <t>Укрытие</t>
        </is>
      </c>
      <c r="J119" s="41" t="inlineStr">
        <is>
          <t>АСУ,А и ТМ (КЦ № 7)</t>
        </is>
      </c>
      <c r="K119" s="82" t="n"/>
      <c r="L119" s="82" t="n"/>
      <c r="M119" s="82" t="n"/>
      <c r="N119" s="82" t="n"/>
    </row>
    <row r="120" ht="22.5" customHeight="1" s="151">
      <c r="A120" s="15">
        <f>IF(B120&lt;&gt;"", COUNTA($B$2:B120), "")</f>
        <v/>
      </c>
      <c r="B120" s="73" t="inlineStr">
        <is>
          <t>Преобразователь избыточного давления</t>
        </is>
      </c>
      <c r="C120" s="14" t="inlineStr">
        <is>
          <t>Метран 150 CD</t>
        </is>
      </c>
      <c r="D120" s="89" t="n">
        <v>6071987</v>
      </c>
      <c r="E120" s="82" t="n"/>
      <c r="F120" s="70" t="inlineStr">
        <is>
          <t>0…25 МПа</t>
        </is>
      </c>
      <c r="G120" s="71" t="n">
        <v>0.1</v>
      </c>
      <c r="H120" s="14" t="inlineStr">
        <is>
          <t>∆Р воздуха на фильтре в линии подвода на охлаждение опор ГТД</t>
        </is>
      </c>
      <c r="I120" s="8" t="inlineStr">
        <is>
          <t>Укрытие</t>
        </is>
      </c>
      <c r="J120" s="41" t="inlineStr">
        <is>
          <t>АСУ,А и ТМ (КЦ № 7)</t>
        </is>
      </c>
      <c r="K120" s="82" t="n"/>
      <c r="L120" s="82" t="n"/>
      <c r="M120" s="82" t="n"/>
      <c r="N120" s="82" t="n"/>
    </row>
    <row r="121" ht="22.5" customHeight="1" s="151">
      <c r="A121" s="15">
        <f>IF(B121&lt;&gt;"", COUNTA($B$2:B121), "")</f>
        <v/>
      </c>
      <c r="B121" s="73" t="inlineStr">
        <is>
          <t>Преобразователь избыточного давления</t>
        </is>
      </c>
      <c r="C121" s="14" t="inlineStr">
        <is>
          <t>Метран 150 TG</t>
        </is>
      </c>
      <c r="D121" s="89" t="n">
        <v>6077555</v>
      </c>
      <c r="E121" s="82" t="n"/>
      <c r="F121" s="70" t="inlineStr">
        <is>
          <t>0…160 кПа</t>
        </is>
      </c>
      <c r="G121" s="71" t="n">
        <v>0.1</v>
      </c>
      <c r="H121" s="175" t="inlineStr">
        <is>
          <t>Р воздуха на выходе из оболочки радиального подшипника (ПКВ)</t>
        </is>
      </c>
      <c r="I121" s="8" t="inlineStr">
        <is>
          <t>Укрытие</t>
        </is>
      </c>
      <c r="J121" s="41" t="inlineStr">
        <is>
          <t>АСУ,А и ТМ (КЦ № 7)</t>
        </is>
      </c>
      <c r="K121" s="82" t="n"/>
      <c r="L121" s="82" t="n"/>
      <c r="M121" s="82" t="n"/>
      <c r="N121" s="82" t="n"/>
    </row>
    <row r="122" ht="22.5" customHeight="1" s="151">
      <c r="A122" s="15">
        <f>IF(B122&lt;&gt;"", COUNTA($B$2:B122), "")</f>
        <v/>
      </c>
      <c r="B122" s="73" t="inlineStr">
        <is>
          <t>Преобразователь избыточного давления</t>
        </is>
      </c>
      <c r="C122" s="14" t="inlineStr">
        <is>
          <t>Метран 150 TG</t>
        </is>
      </c>
      <c r="D122" s="89" t="n">
        <v>6077546</v>
      </c>
      <c r="E122" s="82" t="n"/>
      <c r="F122" s="70" t="inlineStr">
        <is>
          <t>0…160 кПа</t>
        </is>
      </c>
      <c r="G122" s="71" t="n">
        <v>0.1</v>
      </c>
      <c r="H122" s="175" t="inlineStr">
        <is>
          <t>Р воздуха на выходе из оболочки радиального подшипника (ЗКВ)</t>
        </is>
      </c>
      <c r="I122" s="8" t="inlineStr">
        <is>
          <t>Укрытие</t>
        </is>
      </c>
      <c r="J122" s="41" t="inlineStr">
        <is>
          <t>АСУ,А и ТМ (КЦ № 7)</t>
        </is>
      </c>
      <c r="K122" s="82" t="n"/>
      <c r="L122" s="82" t="n"/>
      <c r="M122" s="82" t="n"/>
      <c r="N122" s="82" t="n"/>
    </row>
    <row r="123" ht="33.75" customHeight="1" s="151">
      <c r="A123" s="15">
        <f>IF(B123&lt;&gt;"", COUNTA($B$2:B123), "")</f>
        <v/>
      </c>
      <c r="B123" s="73" t="inlineStr">
        <is>
          <t>Преобразователь избыточного давления</t>
        </is>
      </c>
      <c r="C123" s="14" t="inlineStr">
        <is>
          <t>Метран 150 CD</t>
        </is>
      </c>
      <c r="D123" s="89" t="n">
        <v>6077536</v>
      </c>
      <c r="E123" s="82" t="n"/>
      <c r="F123" s="70" t="inlineStr">
        <is>
          <t>0…250 кПа</t>
        </is>
      </c>
      <c r="G123" s="71" t="n">
        <v>0.1</v>
      </c>
      <c r="H123" s="14" t="inlineStr">
        <is>
          <t>∆Р между оболочкой радиального подшипника и второй ступенью ГДУ ( ПКВ)</t>
        </is>
      </c>
      <c r="I123" s="8" t="inlineStr">
        <is>
          <t>Укрытие</t>
        </is>
      </c>
      <c r="J123" s="41" t="inlineStr">
        <is>
          <t>АСУ,А и ТМ (КЦ № 7)</t>
        </is>
      </c>
      <c r="K123" s="82" t="n"/>
      <c r="L123" s="82" t="n"/>
      <c r="M123" s="82" t="n"/>
      <c r="N123" s="82" t="n"/>
    </row>
    <row r="124" ht="33.75" customHeight="1" s="151">
      <c r="A124" s="15">
        <f>IF(B124&lt;&gt;"", COUNTA($B$2:B124), "")</f>
        <v/>
      </c>
      <c r="B124" s="73" t="inlineStr">
        <is>
          <t>Преобразователь избыточного давления</t>
        </is>
      </c>
      <c r="C124" s="14" t="inlineStr">
        <is>
          <t>Метран 150 CD</t>
        </is>
      </c>
      <c r="D124" s="89" t="n">
        <v>6077554</v>
      </c>
      <c r="E124" s="82" t="n"/>
      <c r="F124" s="70" t="inlineStr">
        <is>
          <t>0…250 кПа</t>
        </is>
      </c>
      <c r="G124" s="71" t="n">
        <v>0.1</v>
      </c>
      <c r="H124" s="14" t="inlineStr">
        <is>
          <t>∆Р между оболочкой радиального подшипника и второй ступенью ГДУ ( ЗКВ)</t>
        </is>
      </c>
      <c r="I124" s="8" t="inlineStr">
        <is>
          <t>Укрытие</t>
        </is>
      </c>
      <c r="J124" s="41" t="inlineStr">
        <is>
          <t>АСУ,А и ТМ (КЦ № 7)</t>
        </is>
      </c>
      <c r="K124" s="82" t="n"/>
      <c r="L124" s="82" t="n"/>
      <c r="M124" s="82" t="n"/>
      <c r="N124" s="82" t="n"/>
    </row>
    <row r="125" ht="22.5" customHeight="1" s="151">
      <c r="A125" s="15">
        <f>IF(B125&lt;&gt;"", COUNTA($B$2:B125), "")</f>
        <v/>
      </c>
      <c r="B125" s="73" t="inlineStr">
        <is>
          <t>Преобразователь избыточного давления</t>
        </is>
      </c>
      <c r="C125" s="14" t="inlineStr">
        <is>
          <t>Метран 150 CD</t>
        </is>
      </c>
      <c r="D125" s="89" t="n">
        <v>6071988</v>
      </c>
      <c r="E125" s="82" t="n"/>
      <c r="F125" s="70" t="inlineStr">
        <is>
          <t>0…250 кПа</t>
        </is>
      </c>
      <c r="G125" s="71" t="n">
        <v>0.1</v>
      </c>
      <c r="H125" s="14" t="inlineStr">
        <is>
          <t>∆Р воздуха на фильтре в линии подвода к МП</t>
        </is>
      </c>
      <c r="I125" s="82" t="n"/>
      <c r="J125" s="41" t="inlineStr">
        <is>
          <t>АСУ,А и ТМ (КЦ № 7)</t>
        </is>
      </c>
      <c r="K125" s="82" t="n"/>
      <c r="L125" s="82" t="n"/>
      <c r="M125" s="82" t="n"/>
      <c r="N125" s="82" t="n"/>
    </row>
    <row r="126" ht="22.5" customHeight="1" s="151">
      <c r="A126" s="15">
        <f>IF(B126&lt;&gt;"", COUNTA($B$2:B126), "")</f>
        <v/>
      </c>
      <c r="B126" s="73" t="inlineStr">
        <is>
          <t>Преобразователь избыточного давления</t>
        </is>
      </c>
      <c r="C126" s="14" t="inlineStr">
        <is>
          <t>Метран 150 CD</t>
        </is>
      </c>
      <c r="D126" s="89" t="n">
        <v>6071579</v>
      </c>
      <c r="E126" s="82" t="n"/>
      <c r="F126" s="70" t="inlineStr">
        <is>
          <t>0…250 кПа</t>
        </is>
      </c>
      <c r="G126" s="71" t="n">
        <v>0.1</v>
      </c>
      <c r="H126" s="14" t="inlineStr">
        <is>
          <t>∆Р буферного газа на фильтре грубой очистки</t>
        </is>
      </c>
      <c r="I126" s="82" t="n"/>
      <c r="J126" s="41" t="inlineStr">
        <is>
          <t>АСУ,А и ТМ (КЦ № 7)</t>
        </is>
      </c>
      <c r="K126" s="82" t="n"/>
      <c r="L126" s="82" t="n"/>
      <c r="M126" s="82" t="n"/>
      <c r="N126" s="82" t="n"/>
    </row>
    <row r="127" ht="22.5" customHeight="1" s="151">
      <c r="A127" s="15">
        <f>IF(B127&lt;&gt;"", COUNTA($B$2:B127), "")</f>
        <v/>
      </c>
      <c r="B127" s="73" t="inlineStr">
        <is>
          <t>Преобразователь избыточного давления</t>
        </is>
      </c>
      <c r="C127" s="14" t="inlineStr">
        <is>
          <t>Метран 150 CD</t>
        </is>
      </c>
      <c r="D127" s="70" t="n">
        <v>6074032</v>
      </c>
      <c r="E127" s="93" t="n"/>
      <c r="F127" s="70" t="inlineStr">
        <is>
          <t>0…250 кПа</t>
        </is>
      </c>
      <c r="G127" s="71" t="inlineStr">
        <is>
          <t>0.1</t>
        </is>
      </c>
      <c r="H127" s="14" t="inlineStr">
        <is>
          <t>∆Рбг  на фильтре тонкой очистки</t>
        </is>
      </c>
      <c r="I127" s="93" t="n"/>
      <c r="J127" s="41" t="inlineStr">
        <is>
          <t>АСУ,А и ТМ (КЦ № 7)</t>
        </is>
      </c>
      <c r="K127" s="15" t="n"/>
      <c r="L127" s="15" t="n"/>
      <c r="M127" s="3" t="n"/>
      <c r="N127" s="70" t="n"/>
      <c r="O127" s="91" t="n"/>
    </row>
    <row r="128" ht="22.5" customHeight="1" s="151">
      <c r="A128" s="15">
        <f>IF(B128&lt;&gt;"", COUNTA($B$2:B128), "")</f>
        <v/>
      </c>
      <c r="B128" s="73" t="inlineStr">
        <is>
          <t>Преобразователь избыточного давления</t>
        </is>
      </c>
      <c r="C128" s="14" t="inlineStr">
        <is>
          <t>Метран 150 CD</t>
        </is>
      </c>
      <c r="D128" s="89" t="n">
        <v>6074030</v>
      </c>
      <c r="E128" s="82" t="n"/>
      <c r="F128" s="70" t="inlineStr">
        <is>
          <t>0…250 кПа</t>
        </is>
      </c>
      <c r="G128" s="71" t="n">
        <v>0.1</v>
      </c>
      <c r="H128" s="14" t="inlineStr">
        <is>
          <t>∆Р газ-газ в линии ПКВ</t>
        </is>
      </c>
      <c r="I128" s="8" t="inlineStr">
        <is>
          <t>Укрытие</t>
        </is>
      </c>
      <c r="J128" s="41" t="inlineStr">
        <is>
          <t>АСУ,А и ТМ (КЦ № 7)</t>
        </is>
      </c>
      <c r="K128" s="82" t="n"/>
      <c r="L128" s="82" t="n"/>
      <c r="M128" s="82" t="n"/>
      <c r="N128" s="82" t="n"/>
    </row>
    <row r="129" ht="22.5" customHeight="1" s="151">
      <c r="A129" s="15">
        <f>IF(B129&lt;&gt;"", COUNTA($B$2:B129), "")</f>
        <v/>
      </c>
      <c r="B129" s="73" t="inlineStr">
        <is>
          <t>Преобразователь избыточного давления</t>
        </is>
      </c>
      <c r="C129" s="14" t="inlineStr">
        <is>
          <t>Метран 150 CD</t>
        </is>
      </c>
      <c r="D129" s="89" t="n">
        <v>6074031</v>
      </c>
      <c r="E129" s="82" t="n"/>
      <c r="F129" s="70" t="inlineStr">
        <is>
          <t>0…250 кПа</t>
        </is>
      </c>
      <c r="G129" s="71" t="n">
        <v>0.1</v>
      </c>
      <c r="H129" s="14" t="inlineStr">
        <is>
          <t>∆Р газ-газ в линии ЗКВ</t>
        </is>
      </c>
      <c r="I129" s="8" t="inlineStr">
        <is>
          <t>Укрытие</t>
        </is>
      </c>
      <c r="J129" s="41" t="inlineStr">
        <is>
          <t>АСУ,А и ТМ (КЦ № 7)</t>
        </is>
      </c>
      <c r="K129" s="82" t="n"/>
      <c r="L129" s="82" t="n"/>
      <c r="M129" s="82" t="n"/>
      <c r="N129" s="82" t="n"/>
    </row>
    <row r="130" ht="22.5" customHeight="1" s="151">
      <c r="A130" s="15">
        <f>IF(B130&lt;&gt;"", COUNTA($B$2:B130), "")</f>
        <v/>
      </c>
      <c r="B130" s="73" t="inlineStr">
        <is>
          <t>Преобразователь избыточного давления</t>
        </is>
      </c>
      <c r="C130" s="14" t="inlineStr">
        <is>
          <t>Метран 150 TG</t>
        </is>
      </c>
      <c r="D130" s="89" t="n">
        <v>6072455</v>
      </c>
      <c r="E130" s="82" t="n"/>
      <c r="F130" s="70" t="inlineStr">
        <is>
          <t>0…1 МПа</t>
        </is>
      </c>
      <c r="G130" s="71" t="n">
        <v>0.1</v>
      </c>
      <c r="H130" s="70" t="inlineStr">
        <is>
          <t>Р в линии утечек 1-ой ступени ГДУ ПКВ</t>
        </is>
      </c>
      <c r="I130" s="8" t="inlineStr">
        <is>
          <t>Укрытие</t>
        </is>
      </c>
      <c r="J130" s="41" t="inlineStr">
        <is>
          <t>АСУ,А и ТМ (КЦ № 7)</t>
        </is>
      </c>
      <c r="K130" s="82" t="n"/>
      <c r="L130" s="82" t="n"/>
      <c r="M130" s="82" t="n"/>
      <c r="N130" s="82" t="n"/>
    </row>
    <row r="131" ht="22.5" customHeight="1" s="151">
      <c r="A131" s="15">
        <f>IF(B131&lt;&gt;"", COUNTA($B$2:B131), "")</f>
        <v/>
      </c>
      <c r="B131" s="73" t="inlineStr">
        <is>
          <t>Преобразователь избыточного давления</t>
        </is>
      </c>
      <c r="C131" s="14" t="inlineStr">
        <is>
          <t>Метран 150 TG</t>
        </is>
      </c>
      <c r="D131" s="89" t="n">
        <v>6071593</v>
      </c>
      <c r="E131" s="82" t="n"/>
      <c r="F131" s="70" t="inlineStr">
        <is>
          <t>0…1 МПа</t>
        </is>
      </c>
      <c r="G131" s="71" t="n">
        <v>0.1</v>
      </c>
      <c r="H131" s="70" t="inlineStr">
        <is>
          <t>Р в линии утечек 1-ой ступени ГДУ ЗКВ</t>
        </is>
      </c>
      <c r="I131" s="8" t="inlineStr">
        <is>
          <t>Укрытие</t>
        </is>
      </c>
      <c r="J131" s="41" t="inlineStr">
        <is>
          <t>АСУ,А и ТМ (КЦ № 7)</t>
        </is>
      </c>
      <c r="K131" s="82" t="n"/>
      <c r="L131" s="82" t="n"/>
      <c r="M131" s="82" t="n"/>
      <c r="N131" s="82" t="n"/>
    </row>
    <row r="132" ht="22.5" customHeight="1" s="151">
      <c r="A132" s="15">
        <f>IF(B132&lt;&gt;"", COUNTA($B$2:B132), "")</f>
        <v/>
      </c>
      <c r="B132" s="73" t="inlineStr">
        <is>
          <t>Преобразователь избыточного давления</t>
        </is>
      </c>
      <c r="C132" s="14" t="inlineStr">
        <is>
          <t>Метран 150 TG</t>
        </is>
      </c>
      <c r="D132" s="89" t="n">
        <v>61294412</v>
      </c>
      <c r="E132" s="82" t="n"/>
      <c r="F132" s="70" t="inlineStr">
        <is>
          <t>0…25 МПа</t>
        </is>
      </c>
      <c r="G132" s="71" t="n">
        <v>0.1</v>
      </c>
      <c r="H132" s="70" t="inlineStr">
        <is>
          <t xml:space="preserve">Рг перед конфузором </t>
        </is>
      </c>
      <c r="I132" s="8" t="inlineStr">
        <is>
          <t>Укрытие</t>
        </is>
      </c>
      <c r="J132" s="41" t="inlineStr">
        <is>
          <t>АСУ,А и ТМ (КЦ № 7)</t>
        </is>
      </c>
      <c r="K132" s="82" t="n"/>
      <c r="L132" s="82" t="n"/>
      <c r="M132" s="82" t="n"/>
      <c r="N132" s="82" t="n"/>
    </row>
    <row r="133" ht="22.5" customHeight="1" s="151">
      <c r="A133" s="15">
        <f>IF(B133&lt;&gt;"", COUNTA($B$2:B133), "")</f>
        <v/>
      </c>
      <c r="B133" s="73" t="inlineStr">
        <is>
          <t>Преобразователь избыточного давления</t>
        </is>
      </c>
      <c r="C133" s="14" t="inlineStr">
        <is>
          <t>Метран 150 TG</t>
        </is>
      </c>
      <c r="D133" s="89" t="n">
        <v>61294408</v>
      </c>
      <c r="E133" s="82" t="n"/>
      <c r="F133" s="70" t="inlineStr">
        <is>
          <t>0…25 МПа</t>
        </is>
      </c>
      <c r="G133" s="71" t="n">
        <v>0.1</v>
      </c>
      <c r="H133" s="175" t="inlineStr">
        <is>
          <t>Рг на входе в компрессор                                              ( после конфузора)</t>
        </is>
      </c>
      <c r="I133" s="8" t="inlineStr">
        <is>
          <t>Укрытие</t>
        </is>
      </c>
      <c r="J133" s="41" t="inlineStr">
        <is>
          <t>АСУ,А и ТМ (КЦ № 7)</t>
        </is>
      </c>
      <c r="K133" s="82" t="n"/>
      <c r="L133" s="82" t="n"/>
      <c r="M133" s="82" t="n"/>
      <c r="N133" s="82" t="n"/>
    </row>
    <row r="134" ht="22.5" customHeight="1" s="151">
      <c r="A134" s="15">
        <f>IF(B134&lt;&gt;"", COUNTA($B$2:B134), "")</f>
        <v/>
      </c>
      <c r="B134" s="73" t="inlineStr">
        <is>
          <t>Преобразователь избыточного давления</t>
        </is>
      </c>
      <c r="C134" s="14" t="inlineStr">
        <is>
          <t>Метран 150 TG</t>
        </is>
      </c>
      <c r="D134" s="89" t="n">
        <v>6129416</v>
      </c>
      <c r="E134" s="82" t="n"/>
      <c r="F134" s="70" t="inlineStr">
        <is>
          <t>0…25 МПа</t>
        </is>
      </c>
      <c r="G134" s="71" t="n">
        <v>0.1</v>
      </c>
      <c r="H134" s="70" t="inlineStr">
        <is>
          <t>Рг на выходе из компрессора</t>
        </is>
      </c>
      <c r="I134" s="8" t="inlineStr">
        <is>
          <t>Укрытие</t>
        </is>
      </c>
      <c r="J134" s="41" t="inlineStr">
        <is>
          <t>АСУ,А и ТМ (КЦ № 7)</t>
        </is>
      </c>
      <c r="K134" s="82" t="n"/>
      <c r="L134" s="82" t="n"/>
      <c r="M134" s="82" t="n"/>
      <c r="N134" s="82" t="n"/>
    </row>
    <row r="135" ht="22.5" customHeight="1" s="151">
      <c r="A135" s="15">
        <f>IF(B135&lt;&gt;"", COUNTA($B$2:B135), "")</f>
        <v/>
      </c>
      <c r="B135" s="73" t="inlineStr">
        <is>
          <t>Преобразователь избыточного давления</t>
        </is>
      </c>
      <c r="C135" s="70" t="inlineStr">
        <is>
          <t>YOKOGAWA EJA110E</t>
        </is>
      </c>
      <c r="D135" s="89" t="inlineStr">
        <is>
          <t>91V907127</t>
        </is>
      </c>
      <c r="E135" s="82" t="n"/>
      <c r="F135" s="70" t="inlineStr">
        <is>
          <t>0…16 МПа</t>
        </is>
      </c>
      <c r="G135" s="82" t="n">
        <v>0.1</v>
      </c>
      <c r="H135" s="14" t="inlineStr">
        <is>
          <t>∆Рг на конфузоре</t>
        </is>
      </c>
      <c r="I135" s="8" t="inlineStr">
        <is>
          <t>Укрытие</t>
        </is>
      </c>
      <c r="J135" s="41" t="inlineStr">
        <is>
          <t>АСУ,А и ТМ (КЦ № 7)</t>
        </is>
      </c>
      <c r="K135" s="123" t="n"/>
      <c r="L135" s="82" t="n"/>
      <c r="M135" s="82" t="n"/>
      <c r="N135" s="82" t="n"/>
    </row>
    <row r="136" ht="22.5" customHeight="1" s="151">
      <c r="A136" s="15">
        <f>IF(B136&lt;&gt;"", COUNTA($B$2:B136), "")</f>
        <v/>
      </c>
      <c r="B136" s="74" t="inlineStr">
        <is>
          <t>Преобразователь избыточного давления</t>
        </is>
      </c>
      <c r="C136" s="71" t="inlineStr">
        <is>
          <t>YOKOGAWA EJA530E</t>
        </is>
      </c>
      <c r="D136" s="71" t="inlineStr">
        <is>
          <t>91TC20781</t>
        </is>
      </c>
      <c r="E136" s="83" t="n"/>
      <c r="F136" s="17" t="inlineStr">
        <is>
          <t>0…2 МПа</t>
        </is>
      </c>
      <c r="G136" s="71" t="n">
        <v>0.1</v>
      </c>
      <c r="H136" s="14" t="inlineStr">
        <is>
          <t>Давление воздуха после ВВТ1 агрегата БВВТ25</t>
        </is>
      </c>
      <c r="I136" s="8" t="inlineStr">
        <is>
          <t>Укрытие</t>
        </is>
      </c>
      <c r="J136" s="41" t="inlineStr">
        <is>
          <t>АСУ,А и ТМ (КЦ № 7)</t>
        </is>
      </c>
      <c r="K136" s="123" t="n"/>
      <c r="L136" s="82" t="n"/>
      <c r="M136" s="82" t="n"/>
      <c r="N136" s="82" t="n"/>
    </row>
    <row r="137" ht="22.5" customHeight="1" s="151">
      <c r="A137" s="15">
        <f>IF(B137&lt;&gt;"", COUNTA($B$2:B137), "")</f>
        <v/>
      </c>
      <c r="B137" s="74" t="inlineStr">
        <is>
          <t>Преобразователь избыточного давления</t>
        </is>
      </c>
      <c r="C137" s="14" t="inlineStr">
        <is>
          <t>Метран 150 TG</t>
        </is>
      </c>
      <c r="D137" s="89" t="n">
        <v>1635005</v>
      </c>
      <c r="E137" s="82" t="n"/>
      <c r="F137" s="70" t="inlineStr">
        <is>
          <t>0…16 МПа</t>
        </is>
      </c>
      <c r="G137" s="71" t="n">
        <v>0.1</v>
      </c>
      <c r="H137" s="70" t="inlineStr">
        <is>
          <t>Рг на выходе АВО газа</t>
        </is>
      </c>
      <c r="I137" s="8" t="inlineStr">
        <is>
          <t>Улица</t>
        </is>
      </c>
      <c r="J137" s="41" t="inlineStr">
        <is>
          <t>АСУ,А и ТМ (КЦ № 7)</t>
        </is>
      </c>
      <c r="K137" s="82" t="n"/>
      <c r="L137" s="82" t="n"/>
      <c r="M137" s="82" t="n"/>
      <c r="N137" s="82" t="n"/>
    </row>
    <row r="138" ht="22.5" customHeight="1" s="151">
      <c r="A138" s="15">
        <f>IF(B138&lt;&gt;"", COUNTA($B$2:B138), "")</f>
        <v/>
      </c>
      <c r="B138" s="74" t="inlineStr">
        <is>
          <t>Преобразователь избыточного давления</t>
        </is>
      </c>
      <c r="C138" s="14" t="inlineStr">
        <is>
          <t>Метран 150 TG</t>
        </is>
      </c>
      <c r="D138" s="89" t="n">
        <v>1634485</v>
      </c>
      <c r="E138" s="82" t="n"/>
      <c r="F138" s="70" t="inlineStr">
        <is>
          <t>0…16 МПа</t>
        </is>
      </c>
      <c r="G138" s="71" t="n">
        <v>0.1</v>
      </c>
      <c r="H138" s="70" t="inlineStr">
        <is>
          <t>Рг после крана 2-1</t>
        </is>
      </c>
      <c r="I138" s="70" t="inlineStr">
        <is>
          <t>КЦ</t>
        </is>
      </c>
      <c r="J138" s="41" t="inlineStr">
        <is>
          <t>АСУ,А и ТМ (КЦ № 7)</t>
        </is>
      </c>
      <c r="K138" s="82" t="n"/>
      <c r="L138" s="82" t="n"/>
      <c r="M138" s="82" t="n"/>
      <c r="N138" s="82" t="n"/>
    </row>
    <row r="139" ht="22.5" customHeight="1" s="151">
      <c r="A139" s="15">
        <f>IF(B139&lt;&gt;"", COUNTA($B$2:B139), "")</f>
        <v/>
      </c>
      <c r="B139" s="74" t="inlineStr">
        <is>
          <t>Преобразователь избыточного давления</t>
        </is>
      </c>
      <c r="C139" s="14" t="inlineStr">
        <is>
          <t>Метран 150 TG</t>
        </is>
      </c>
      <c r="D139" s="89" t="n">
        <v>1635004</v>
      </c>
      <c r="E139" s="82" t="n"/>
      <c r="F139" s="70" t="inlineStr">
        <is>
          <t>0…16 МПа</t>
        </is>
      </c>
      <c r="G139" s="71" t="n">
        <v>0.1</v>
      </c>
      <c r="H139" s="70" t="inlineStr">
        <is>
          <t>Рг перед краном 2-1</t>
        </is>
      </c>
      <c r="I139" s="70" t="inlineStr">
        <is>
          <t>КЦ</t>
        </is>
      </c>
      <c r="J139" s="41" t="inlineStr">
        <is>
          <t>АСУ,А и ТМ (КЦ № 7)</t>
        </is>
      </c>
      <c r="K139" s="82" t="n"/>
      <c r="L139" s="82" t="n"/>
      <c r="M139" s="82" t="n"/>
      <c r="N139" s="82" t="n"/>
    </row>
    <row r="140" ht="22.5" customHeight="1" s="151">
      <c r="A140" s="15">
        <f>IF(B140&lt;&gt;"", COUNTA($B$2:B140), "")</f>
        <v/>
      </c>
      <c r="B140" s="73" t="inlineStr">
        <is>
          <t>Преобразователь избыточного давления</t>
        </is>
      </c>
      <c r="C140" s="14" t="inlineStr">
        <is>
          <t>Метран 150 CD</t>
        </is>
      </c>
      <c r="D140" s="89" t="n">
        <v>1634474</v>
      </c>
      <c r="E140" s="93" t="n"/>
      <c r="F140" s="70" t="inlineStr">
        <is>
          <t>0…10 МПа</t>
        </is>
      </c>
      <c r="G140" s="71" t="n">
        <v>0.1</v>
      </c>
      <c r="H140" s="14" t="inlineStr">
        <is>
          <t>∆Рг на кране 1-1</t>
        </is>
      </c>
      <c r="I140" s="70" t="inlineStr">
        <is>
          <t>КЦ</t>
        </is>
      </c>
      <c r="J140" s="41" t="inlineStr">
        <is>
          <t>АСУ,А и ТМ (КЦ № 7)</t>
        </is>
      </c>
      <c r="K140" s="82" t="n"/>
      <c r="L140" s="82" t="n"/>
      <c r="M140" s="82" t="n"/>
      <c r="N140" s="82" t="n"/>
    </row>
    <row r="141" ht="22.5" customHeight="1" s="151">
      <c r="A141" s="15">
        <f>IF(B141&lt;&gt;"", COUNTA($B$2:B141), "")</f>
        <v/>
      </c>
      <c r="B141" s="73" t="inlineStr">
        <is>
          <t>Преобразователь избыточного давления</t>
        </is>
      </c>
      <c r="C141" s="14" t="inlineStr">
        <is>
          <t>Метран 150 CD</t>
        </is>
      </c>
      <c r="D141" s="89" t="n">
        <v>1634469</v>
      </c>
      <c r="E141" s="82" t="n"/>
      <c r="F141" s="70" t="inlineStr">
        <is>
          <t>0…10 МПа</t>
        </is>
      </c>
      <c r="G141" s="71" t="n">
        <v>0.1</v>
      </c>
      <c r="H141" s="14" t="inlineStr">
        <is>
          <t>∆Рг на кране 1</t>
        </is>
      </c>
      <c r="I141" s="70" t="inlineStr">
        <is>
          <t>КЦ</t>
        </is>
      </c>
      <c r="J141" s="41" t="inlineStr">
        <is>
          <t>АСУ,А и ТМ (КЦ № 7)</t>
        </is>
      </c>
      <c r="K141" s="82" t="n"/>
      <c r="L141" s="82" t="n"/>
      <c r="M141" s="82" t="n"/>
      <c r="N141" s="82" t="n"/>
    </row>
    <row r="142" ht="22.5" customHeight="1" s="151">
      <c r="A142" s="15">
        <f>IF(B142&lt;&gt;"", COUNTA($B$2:B142), "")</f>
        <v/>
      </c>
      <c r="B142" s="73" t="inlineStr">
        <is>
          <t>Преобразователь избыточного давления</t>
        </is>
      </c>
      <c r="C142" s="14" t="inlineStr">
        <is>
          <t>Метран 150 CD</t>
        </is>
      </c>
      <c r="D142" s="89" t="n">
        <v>1634572</v>
      </c>
      <c r="E142" s="82" t="n"/>
      <c r="F142" s="70" t="inlineStr">
        <is>
          <t>0…250 кПа</t>
        </is>
      </c>
      <c r="G142" s="71" t="n">
        <v>0.1</v>
      </c>
      <c r="H142" s="14" t="inlineStr">
        <is>
          <t>∆Рг на защитной решетке перед компрессором</t>
        </is>
      </c>
      <c r="I142" s="70" t="inlineStr">
        <is>
          <t>КЦ</t>
        </is>
      </c>
      <c r="J142" s="41" t="inlineStr">
        <is>
          <t>АСУ,А и ТМ (КЦ № 7)</t>
        </is>
      </c>
      <c r="K142" s="82" t="n"/>
      <c r="L142" s="82" t="n"/>
      <c r="M142" s="82" t="n"/>
      <c r="N142" s="82" t="n"/>
    </row>
    <row r="143" ht="22.5" customHeight="1" s="151">
      <c r="A143" s="15">
        <f>IF(B143&lt;&gt;"", COUNTA($B$2:B143), "")</f>
        <v/>
      </c>
      <c r="B143" s="73" t="inlineStr">
        <is>
          <t>Преобразователь избыточного давления</t>
        </is>
      </c>
      <c r="C143" s="14" t="inlineStr">
        <is>
          <t>Метран 150 CD</t>
        </is>
      </c>
      <c r="D143" s="89" t="n">
        <v>1634569</v>
      </c>
      <c r="E143" s="82" t="n"/>
      <c r="F143" s="70" t="inlineStr">
        <is>
          <t>0…250 кПа</t>
        </is>
      </c>
      <c r="G143" s="71" t="n">
        <v>0.1</v>
      </c>
      <c r="H143" s="14" t="inlineStr">
        <is>
          <t>∆Рг на АВО газа</t>
        </is>
      </c>
      <c r="I143" s="70" t="inlineStr">
        <is>
          <t>КЦ</t>
        </is>
      </c>
      <c r="J143" s="41" t="inlineStr">
        <is>
          <t>АСУ,А и ТМ (КЦ № 7)</t>
        </is>
      </c>
      <c r="K143" s="82" t="n"/>
      <c r="L143" s="82" t="n"/>
      <c r="M143" s="82" t="n"/>
      <c r="N143" s="82" t="n"/>
    </row>
    <row r="144" ht="22.5" customHeight="1" s="151">
      <c r="A144" s="15">
        <f>IF(B144&lt;&gt;"", COUNTA($B$2:B144), "")</f>
        <v/>
      </c>
      <c r="B144" s="73" t="inlineStr">
        <is>
          <t>Преобразователь давления корабельный</t>
        </is>
      </c>
      <c r="C144" s="14" t="inlineStr">
        <is>
          <t>ВАЛКОМ ПДК-ВО-Д-250К-А-2-Б04-Н-01-Д20</t>
        </is>
      </c>
      <c r="D144" s="89" t="inlineStr">
        <is>
          <t>8К10983</t>
        </is>
      </c>
      <c r="E144" s="82" t="n"/>
      <c r="F144" s="70" t="inlineStr">
        <is>
          <t>0…250 кПа</t>
        </is>
      </c>
      <c r="G144" s="82" t="n">
        <v>0.25</v>
      </c>
      <c r="H144" s="14" t="inlineStr">
        <is>
          <t>∆Р на фильтре №1 БФТГ</t>
        </is>
      </c>
      <c r="I144" s="70" t="inlineStr">
        <is>
          <t>КЦ</t>
        </is>
      </c>
      <c r="J144" s="41" t="inlineStr">
        <is>
          <t>АСУ,А и ТМ (КЦ № 7)</t>
        </is>
      </c>
      <c r="K144" s="82" t="n"/>
      <c r="L144" s="82" t="n"/>
      <c r="M144" s="82" t="n"/>
      <c r="N144" s="82" t="n"/>
    </row>
    <row r="145" ht="22.5" customHeight="1" s="151">
      <c r="A145" s="15">
        <f>IF(B145&lt;&gt;"", COUNTA($B$2:B145), "")</f>
        <v/>
      </c>
      <c r="B145" s="73" t="inlineStr">
        <is>
          <t>Преобразователь давления корабельный</t>
        </is>
      </c>
      <c r="C145" s="14" t="inlineStr">
        <is>
          <t>ВАЛКОМ ПДК-ВО-Д-250К-А-2-Б04-Н-01-Д20</t>
        </is>
      </c>
      <c r="D145" s="89" t="inlineStr">
        <is>
          <t>8К10998</t>
        </is>
      </c>
      <c r="E145" s="82" t="n"/>
      <c r="F145" s="70" t="inlineStr">
        <is>
          <t>0…250 кПа</t>
        </is>
      </c>
      <c r="G145" s="82" t="n">
        <v>0.25</v>
      </c>
      <c r="H145" s="14" t="inlineStr">
        <is>
          <t>∆Р на фильтре №2 БФТГ</t>
        </is>
      </c>
      <c r="I145" s="70" t="inlineStr">
        <is>
          <t>КЦ</t>
        </is>
      </c>
      <c r="J145" s="41" t="inlineStr">
        <is>
          <t>АСУ,А и ТМ (КЦ № 7)</t>
        </is>
      </c>
      <c r="K145" s="82" t="n"/>
      <c r="L145" s="82" t="n"/>
      <c r="M145" s="82" t="n"/>
      <c r="N145" s="82" t="n"/>
    </row>
    <row r="146" ht="22.5" customHeight="1" s="151">
      <c r="A146" s="15">
        <f>IF(B146&lt;&gt;"", COUNTA($B$2:B146), "")</f>
        <v/>
      </c>
      <c r="B146" s="73" t="inlineStr">
        <is>
          <t>Преобразователь давления корабельный</t>
        </is>
      </c>
      <c r="C146" s="14" t="inlineStr">
        <is>
          <t>ВАЛКОМ ПДК-ВО-Д-250К-А-2-Б04-Н-01-Д20</t>
        </is>
      </c>
      <c r="D146" s="89" t="inlineStr">
        <is>
          <t>8К10980</t>
        </is>
      </c>
      <c r="E146" s="82" t="n"/>
      <c r="F146" s="70" t="inlineStr">
        <is>
          <t>0…250 кПа</t>
        </is>
      </c>
      <c r="G146" s="82" t="n">
        <v>0.25</v>
      </c>
      <c r="H146" s="14" t="inlineStr">
        <is>
          <t>∆Р на фильтре №1 БФБГ</t>
        </is>
      </c>
      <c r="I146" s="70" t="inlineStr">
        <is>
          <t>КЦ</t>
        </is>
      </c>
      <c r="J146" s="41" t="inlineStr">
        <is>
          <t>АСУ,А и ТМ (КЦ № 7)</t>
        </is>
      </c>
      <c r="K146" s="82" t="n"/>
      <c r="L146" s="82" t="n"/>
      <c r="M146" s="82" t="n"/>
      <c r="N146" s="82" t="n"/>
    </row>
    <row r="147" ht="22.5" customHeight="1" s="151">
      <c r="A147" s="15">
        <f>IF(B147&lt;&gt;"", COUNTA($B$2:B147), "")</f>
        <v/>
      </c>
      <c r="B147" s="73" t="inlineStr">
        <is>
          <t>Преобразователь давления корабельный</t>
        </is>
      </c>
      <c r="C147" s="14" t="inlineStr">
        <is>
          <t>ВАЛКОМ ПДК-ВО-Д-250К-А-2-Б04-Н-01-Д20</t>
        </is>
      </c>
      <c r="D147" s="89" t="inlineStr">
        <is>
          <t>8К10988</t>
        </is>
      </c>
      <c r="E147" s="82" t="n"/>
      <c r="F147" s="70" t="inlineStr">
        <is>
          <t>0…250 кПа</t>
        </is>
      </c>
      <c r="G147" s="82" t="n">
        <v>0.25</v>
      </c>
      <c r="H147" s="14" t="inlineStr">
        <is>
          <t>∆Р на фильтре №2 БФБГ</t>
        </is>
      </c>
      <c r="I147" s="70" t="inlineStr">
        <is>
          <t>КЦ</t>
        </is>
      </c>
      <c r="J147" s="41" t="inlineStr">
        <is>
          <t>АСУ,А и ТМ (КЦ № 7)</t>
        </is>
      </c>
      <c r="K147" s="82" t="n"/>
      <c r="L147" s="82" t="n"/>
      <c r="M147" s="82" t="n"/>
      <c r="N147" s="82" t="n"/>
    </row>
    <row r="148" ht="22.5" customHeight="1" s="151">
      <c r="A148" s="15">
        <f>IF(B148&lt;&gt;"", COUNTA($B$2:B148), "")</f>
        <v/>
      </c>
      <c r="B148" s="73" t="inlineStr">
        <is>
          <t>Преобразователь избыточного давления</t>
        </is>
      </c>
      <c r="C148" s="14" t="inlineStr">
        <is>
          <t>Метран 150 CD</t>
        </is>
      </c>
      <c r="D148" s="89" t="n">
        <v>6064461</v>
      </c>
      <c r="E148" s="82" t="n"/>
      <c r="F148" s="70" t="inlineStr">
        <is>
          <t>0…250 кПа</t>
        </is>
      </c>
      <c r="G148" s="71" t="n">
        <v>0.1</v>
      </c>
      <c r="H148" s="14" t="inlineStr">
        <is>
          <t>∆Рбг на сепараторе СГУ</t>
        </is>
      </c>
      <c r="I148" s="82" t="n"/>
      <c r="J148" s="41" t="inlineStr">
        <is>
          <t>АСУ,А и ТМ (КЦ № 7)</t>
        </is>
      </c>
      <c r="K148" s="82" t="n"/>
      <c r="L148" s="82" t="n"/>
      <c r="M148" s="82" t="n"/>
      <c r="N148" s="82" t="n"/>
    </row>
    <row r="149" ht="22.5" customHeight="1" s="151">
      <c r="A149" s="15">
        <f>IF(B149&lt;&gt;"", COUNTA($B$2:B149), "")</f>
        <v/>
      </c>
      <c r="B149" s="73" t="inlineStr">
        <is>
          <t>Преобразователь избыточного давления</t>
        </is>
      </c>
      <c r="C149" s="14" t="inlineStr">
        <is>
          <t>Метран 150 CD</t>
        </is>
      </c>
      <c r="D149" s="89" t="n">
        <v>6074029</v>
      </c>
      <c r="E149" s="82" t="n"/>
      <c r="F149" s="70" t="inlineStr">
        <is>
          <t>0…250 кПа</t>
        </is>
      </c>
      <c r="G149" s="71" t="n">
        <v>0.1</v>
      </c>
      <c r="H149" s="14" t="inlineStr">
        <is>
          <t>∆Рбг на фильтре-сепараторе</t>
        </is>
      </c>
      <c r="I149" s="82" t="n"/>
      <c r="J149" s="41" t="inlineStr">
        <is>
          <t>АСУ,А и ТМ (КЦ № 7)</t>
        </is>
      </c>
      <c r="K149" s="82" t="n"/>
      <c r="L149" s="82" t="n"/>
      <c r="M149" s="82" t="n"/>
      <c r="N149" s="82" t="n"/>
    </row>
    <row r="150" ht="22.5" customHeight="1" s="151">
      <c r="A150" s="15">
        <f>IF(B150&lt;&gt;"", COUNTA($B$2:B150), "")</f>
        <v/>
      </c>
      <c r="B150" s="74" t="inlineStr">
        <is>
          <t>Преобразователь избыточного давления</t>
        </is>
      </c>
      <c r="C150" s="14" t="inlineStr">
        <is>
          <t>Метран 150 TG</t>
        </is>
      </c>
      <c r="D150" s="88" t="n">
        <v>6081376</v>
      </c>
      <c r="E150" s="292" t="n">
        <v>43282</v>
      </c>
      <c r="F150" s="70" t="inlineStr">
        <is>
          <t>0…160 кПа</t>
        </is>
      </c>
      <c r="G150" s="71" t="n">
        <v>0.1</v>
      </c>
      <c r="H150" s="14" t="inlineStr">
        <is>
          <t>Рв  в установке воздухонагнетателя №1</t>
        </is>
      </c>
      <c r="I150" s="88" t="inlineStr">
        <is>
          <t>БКВ</t>
        </is>
      </c>
      <c r="J150" s="41" t="inlineStr">
        <is>
          <t>АСУ,А и ТМ (КЦ № 7)</t>
        </is>
      </c>
      <c r="K150" s="82" t="n"/>
      <c r="L150" s="82" t="n"/>
      <c r="M150" s="82" t="n"/>
      <c r="N150" s="82" t="n"/>
    </row>
    <row r="151" ht="22.5" customHeight="1" s="151">
      <c r="A151" s="15">
        <f>IF(B151&lt;&gt;"", COUNTA($B$2:B151), "")</f>
        <v/>
      </c>
      <c r="B151" s="74" t="inlineStr">
        <is>
          <t>Преобразователь избыточного давления</t>
        </is>
      </c>
      <c r="C151" s="14" t="inlineStr">
        <is>
          <t>Метран 150 TG</t>
        </is>
      </c>
      <c r="D151" s="88" t="n">
        <v>6085981</v>
      </c>
      <c r="E151" s="292" t="n">
        <v>43344</v>
      </c>
      <c r="F151" s="70" t="inlineStr">
        <is>
          <t>0…6 МПа</t>
        </is>
      </c>
      <c r="G151" s="71" t="n">
        <v>0.1</v>
      </c>
      <c r="H151" s="14" t="inlineStr">
        <is>
          <t>Давление воздуха на линии подвода к ресиверу</t>
        </is>
      </c>
      <c r="I151" s="85" t="n"/>
      <c r="J151" s="41" t="inlineStr">
        <is>
          <t>АСУ,А и ТМ (КЦ № 7)</t>
        </is>
      </c>
      <c r="K151" s="82" t="n"/>
      <c r="L151" s="82" t="n"/>
      <c r="M151" s="82" t="n"/>
      <c r="N151" s="82" t="n"/>
    </row>
    <row r="152" ht="22.5" customHeight="1" s="151">
      <c r="A152" s="15">
        <f>IF(B152&lt;&gt;"", COUNTA($B$2:B152), "")</f>
        <v/>
      </c>
      <c r="B152" s="74" t="inlineStr">
        <is>
          <t>Преобразователь избыточного давления</t>
        </is>
      </c>
      <c r="C152" s="14" t="inlineStr">
        <is>
          <t>Метран 150 TG</t>
        </is>
      </c>
      <c r="D152" s="88" t="n">
        <v>6081379</v>
      </c>
      <c r="E152" s="292" t="n">
        <v>43282</v>
      </c>
      <c r="F152" s="70" t="inlineStr">
        <is>
          <t>0…160 кПа</t>
        </is>
      </c>
      <c r="G152" s="71" t="n">
        <v>0.1</v>
      </c>
      <c r="H152" s="14" t="inlineStr">
        <is>
          <t>Рв  в установке воздухонагнетателя №2</t>
        </is>
      </c>
      <c r="I152" s="85" t="n"/>
      <c r="J152" s="41" t="inlineStr">
        <is>
          <t>АСУ,А и ТМ (КЦ № 7)</t>
        </is>
      </c>
      <c r="K152" s="82" t="n"/>
      <c r="L152" s="82" t="n"/>
      <c r="M152" s="82" t="n"/>
      <c r="N152" s="82" t="n"/>
      <c r="P152" s="86" t="n"/>
    </row>
    <row r="153" ht="22.5" customHeight="1" s="151">
      <c r="A153" s="15">
        <f>IF(B153&lt;&gt;"", COUNTA($B$2:B153), "")</f>
        <v/>
      </c>
      <c r="B153" s="74" t="inlineStr">
        <is>
          <t>Преобразователь избыточного давления</t>
        </is>
      </c>
      <c r="C153" s="14" t="inlineStr">
        <is>
          <t>Метран 150 TG</t>
        </is>
      </c>
      <c r="D153" s="88" t="n">
        <v>6085988</v>
      </c>
      <c r="E153" s="292" t="n">
        <v>43344</v>
      </c>
      <c r="F153" s="70" t="inlineStr">
        <is>
          <t>0…160 кПа</t>
        </is>
      </c>
      <c r="G153" s="71" t="n">
        <v>0.1</v>
      </c>
      <c r="H153" s="14" t="inlineStr">
        <is>
          <t>Рв на выходе из БКВ к укрытию ГПА</t>
        </is>
      </c>
      <c r="I153" s="85" t="n"/>
      <c r="J153" s="41" t="inlineStr">
        <is>
          <t>АСУ,А и ТМ (КЦ № 7)</t>
        </is>
      </c>
      <c r="K153" s="82" t="n"/>
      <c r="L153" s="82" t="n"/>
      <c r="M153" s="82" t="n"/>
      <c r="N153" s="82" t="n"/>
    </row>
    <row r="154" ht="22.5" customHeight="1" s="151">
      <c r="A154" s="15">
        <f>IF(B154&lt;&gt;"", COUNTA($B$2:B154), "")</f>
        <v/>
      </c>
      <c r="B154" s="74" t="inlineStr">
        <is>
          <t>Преобразователь избыточного давления</t>
        </is>
      </c>
      <c r="C154" s="14" t="inlineStr">
        <is>
          <t>Метран 150 CD</t>
        </is>
      </c>
      <c r="D154" s="71" t="n">
        <v>6104417</v>
      </c>
      <c r="E154" s="71" t="n"/>
      <c r="F154" s="70" t="inlineStr">
        <is>
          <t>0…6,3 кПа</t>
        </is>
      </c>
      <c r="G154" s="71" t="inlineStr">
        <is>
          <t>0.1</t>
        </is>
      </c>
      <c r="H154" s="14" t="inlineStr">
        <is>
          <t>∆Р воздуха в выходном воздуховоде БС</t>
        </is>
      </c>
      <c r="I154" s="8" t="n"/>
      <c r="J154" s="41" t="inlineStr">
        <is>
          <t>АСУ,А и ТМ (КЦ № 7)</t>
        </is>
      </c>
      <c r="K154" s="82" t="n"/>
      <c r="L154" s="82" t="n"/>
      <c r="M154" s="82" t="n"/>
      <c r="N154" s="82" t="n"/>
    </row>
    <row r="155" ht="22.5" customHeight="1" s="151">
      <c r="A155" s="15">
        <f>IF(B155&lt;&gt;"", COUNTA($B$2:B155), "")</f>
        <v/>
      </c>
      <c r="B155" s="74" t="inlineStr">
        <is>
          <t>Термометр сопротивления</t>
        </is>
      </c>
      <c r="C155" s="14" t="inlineStr">
        <is>
          <t>ИПТВ-206</t>
        </is>
      </c>
      <c r="D155" s="88" t="inlineStr">
        <is>
          <t>09-0575</t>
        </is>
      </c>
      <c r="E155" s="88" t="n">
        <v>2018</v>
      </c>
      <c r="F155" s="17" t="inlineStr">
        <is>
          <t>-60…110 °С
0…100%</t>
        </is>
      </c>
      <c r="G155" s="88" t="inlineStr">
        <is>
          <t>± 2%</t>
        </is>
      </c>
      <c r="H155" s="14" t="inlineStr">
        <is>
          <t>Температура и влажность наружного воздуха (МТ2051)</t>
        </is>
      </c>
      <c r="I155" s="8" t="n"/>
      <c r="J155" s="41" t="inlineStr">
        <is>
          <t>АСУ,А и ТМ (КЦ № 7)</t>
        </is>
      </c>
      <c r="K155" s="82" t="n"/>
      <c r="L155" s="82" t="n"/>
      <c r="M155" s="82" t="n"/>
      <c r="N155" s="82" t="n"/>
    </row>
    <row r="156" ht="22.5" customHeight="1" s="151">
      <c r="A156" s="15">
        <f>IF(B156&lt;&gt;"", COUNTA($B$2:B156), "")</f>
        <v/>
      </c>
      <c r="B156" s="74" t="inlineStr">
        <is>
          <t>Термометр сопротивления</t>
        </is>
      </c>
      <c r="C156" s="14" t="inlineStr">
        <is>
          <t>ТСП 012.60</t>
        </is>
      </c>
      <c r="D156" s="88" t="n">
        <v>625</v>
      </c>
      <c r="E156" s="88" t="n"/>
      <c r="F156" s="17" t="inlineStr">
        <is>
          <t>-60…200 °С
120 мм</t>
        </is>
      </c>
      <c r="G156" s="88" t="n"/>
      <c r="H156" s="175" t="inlineStr">
        <is>
          <t>Температура масла на входе в ГМТ (ТЕ6003)</t>
        </is>
      </c>
      <c r="I156" s="8" t="n"/>
      <c r="J156" s="41" t="inlineStr">
        <is>
          <t>АСУ,А и ТМ (КЦ № 7)</t>
        </is>
      </c>
      <c r="K156" s="82" t="n"/>
      <c r="L156" s="82" t="n"/>
      <c r="M156" s="82" t="n"/>
      <c r="N156" s="82" t="n"/>
    </row>
    <row r="157" ht="22.5" customHeight="1" s="151">
      <c r="A157" s="15">
        <f>IF(B157&lt;&gt;"", COUNTA($B$2:B157), "")</f>
        <v/>
      </c>
      <c r="B157" s="74" t="inlineStr">
        <is>
          <t>Термометр сопротивления</t>
        </is>
      </c>
      <c r="C157" s="14" t="inlineStr">
        <is>
          <t>ТСП 012.60</t>
        </is>
      </c>
      <c r="D157" s="88" t="n">
        <v>627</v>
      </c>
      <c r="E157" s="88" t="n"/>
      <c r="F157" s="17" t="inlineStr">
        <is>
          <t>-60…200 °С
120 мм</t>
        </is>
      </c>
      <c r="G157" s="88" t="n"/>
      <c r="H157" s="14" t="inlineStr">
        <is>
          <t>Тм после ГМТ (ТЕ6004)</t>
        </is>
      </c>
      <c r="I157" s="8" t="n"/>
      <c r="J157" s="41" t="inlineStr">
        <is>
          <t>АСУ,А и ТМ (КЦ № 7)</t>
        </is>
      </c>
      <c r="K157" s="82" t="n"/>
      <c r="L157" s="82" t="n"/>
      <c r="M157" s="82" t="n"/>
      <c r="N157" s="82" t="n"/>
    </row>
    <row r="158" ht="22.5" customHeight="1" s="151">
      <c r="A158" s="15">
        <f>IF(B158&lt;&gt;"", COUNTA($B$2:B158), "")</f>
        <v/>
      </c>
      <c r="B158" s="74" t="inlineStr">
        <is>
          <t>Термометр сопротивления</t>
        </is>
      </c>
      <c r="C158" s="14" t="inlineStr">
        <is>
          <t>ТСП 012.60</t>
        </is>
      </c>
      <c r="D158" s="88" t="n">
        <v>626</v>
      </c>
      <c r="E158" s="88" t="n"/>
      <c r="F158" s="17" t="inlineStr">
        <is>
          <t>-60…200 °С
120 мм</t>
        </is>
      </c>
      <c r="G158" s="88" t="n"/>
      <c r="H158" s="14" t="inlineStr">
        <is>
          <t>Тм в баке двигателя (ТЕ6005)</t>
        </is>
      </c>
      <c r="I158" s="8" t="n"/>
      <c r="J158" s="41" t="inlineStr">
        <is>
          <t>АСУ,А и ТМ (КЦ № 7)</t>
        </is>
      </c>
      <c r="K158" s="82" t="n"/>
      <c r="L158" s="82" t="n"/>
      <c r="M158" s="82" t="n"/>
      <c r="N158" s="82" t="n"/>
    </row>
    <row r="159" ht="22.5" customHeight="1" s="151">
      <c r="A159" s="15">
        <f>IF(B159&lt;&gt;"", COUNTA($B$2:B159), "")</f>
        <v/>
      </c>
      <c r="B159" s="73" t="inlineStr">
        <is>
          <t>Термометр сопротивления</t>
        </is>
      </c>
      <c r="C159" s="14" t="inlineStr">
        <is>
          <t>ТСП 012.60</t>
        </is>
      </c>
      <c r="D159" s="89" t="n">
        <v>36</v>
      </c>
      <c r="E159" s="89" t="n"/>
      <c r="F159" s="17" t="inlineStr">
        <is>
          <t>-60…200 °С
320 мм</t>
        </is>
      </c>
      <c r="G159" s="89" t="n"/>
      <c r="H159" s="175" t="inlineStr">
        <is>
          <t>Т воздуха в выходном воздуховоде блока силового (ТЕ4001)</t>
        </is>
      </c>
      <c r="I159" s="8" t="n"/>
      <c r="J159" s="41" t="inlineStr">
        <is>
          <t>АСУ,А и ТМ (КЦ № 7)</t>
        </is>
      </c>
      <c r="K159" s="82" t="n"/>
      <c r="L159" s="82" t="n"/>
      <c r="M159" s="82" t="n"/>
      <c r="N159" s="82" t="n"/>
    </row>
    <row r="160" ht="22.5" customHeight="1" s="151">
      <c r="A160" s="15">
        <f>IF(B160&lt;&gt;"", COUNTA($B$2:B160), "")</f>
        <v/>
      </c>
      <c r="B160" s="73" t="inlineStr">
        <is>
          <t>Термометр сопротивления</t>
        </is>
      </c>
      <c r="C160" s="14" t="inlineStr">
        <is>
          <t>ТСП 012.60</t>
        </is>
      </c>
      <c r="D160" s="89" t="n">
        <v>799</v>
      </c>
      <c r="E160" s="89" t="n"/>
      <c r="F160" s="17" t="inlineStr">
        <is>
          <t>-60…200 °С
100 мм</t>
        </is>
      </c>
      <c r="G160" s="89" t="n"/>
      <c r="H160" s="175" t="inlineStr">
        <is>
          <t>Тг на входе в ГПА (ТЕ5101)</t>
        </is>
      </c>
      <c r="I160" s="8" t="n"/>
      <c r="J160" s="41" t="inlineStr">
        <is>
          <t>АСУ,А и ТМ (КЦ № 7)</t>
        </is>
      </c>
      <c r="K160" s="82" t="n"/>
      <c r="L160" s="82" t="n"/>
      <c r="M160" s="82" t="n"/>
      <c r="N160" s="82" t="n"/>
    </row>
    <row r="161" ht="22.5" customHeight="1" s="151">
      <c r="A161" s="15">
        <f>IF(B161&lt;&gt;"", COUNTA($B$2:B161), "")</f>
        <v/>
      </c>
      <c r="B161" s="73" t="inlineStr">
        <is>
          <t>Термометр сопротивления</t>
        </is>
      </c>
      <c r="C161" s="14" t="inlineStr">
        <is>
          <t>ТСП 012.60</t>
        </is>
      </c>
      <c r="D161" s="89" t="n">
        <v>809</v>
      </c>
      <c r="E161" s="89" t="n"/>
      <c r="F161" s="17" t="inlineStr">
        <is>
          <t>-60…200 °С
100 мм</t>
        </is>
      </c>
      <c r="G161" s="89" t="n"/>
      <c r="H161" s="175" t="inlineStr">
        <is>
          <t>Тг на входе в турбоблок (ТЕ5102)</t>
        </is>
      </c>
      <c r="I161" s="8" t="n"/>
      <c r="J161" s="41" t="inlineStr">
        <is>
          <t>АСУ,А и ТМ (КЦ № 7)</t>
        </is>
      </c>
      <c r="K161" s="82" t="n"/>
      <c r="L161" s="82" t="n"/>
      <c r="M161" s="82" t="n"/>
      <c r="N161" s="82" t="n"/>
    </row>
    <row r="162" ht="22.5" customHeight="1" s="151">
      <c r="A162" s="15">
        <f>IF(B162&lt;&gt;"", COUNTA($B$2:B162), "")</f>
        <v/>
      </c>
      <c r="B162" s="73" t="inlineStr">
        <is>
          <t>Термометр сопротивления</t>
        </is>
      </c>
      <c r="C162" s="14" t="inlineStr">
        <is>
          <t>ТСП 012.60</t>
        </is>
      </c>
      <c r="D162" s="89" t="n">
        <v>788</v>
      </c>
      <c r="E162" s="89" t="n"/>
      <c r="F162" s="17" t="inlineStr">
        <is>
          <t>-60…200 °С
100 мм</t>
        </is>
      </c>
      <c r="G162" s="89" t="n"/>
      <c r="H162" s="175" t="inlineStr">
        <is>
          <t>Тг на выходе подогревателя (ТЕ5103)</t>
        </is>
      </c>
      <c r="I162" s="8" t="n"/>
      <c r="J162" s="41" t="inlineStr">
        <is>
          <t>АСУ,А и ТМ (КЦ № 7)</t>
        </is>
      </c>
      <c r="K162" s="82" t="n"/>
      <c r="L162" s="82" t="n"/>
      <c r="M162" s="82" t="n"/>
      <c r="N162" s="82" t="n"/>
    </row>
    <row r="163" ht="22.5" customHeight="1" s="151">
      <c r="A163" s="15">
        <f>IF(B163&lt;&gt;"", COUNTA($B$2:B163), "")</f>
        <v/>
      </c>
      <c r="B163" s="73" t="inlineStr">
        <is>
          <t>Термометр сопротивления</t>
        </is>
      </c>
      <c r="C163" s="14" t="inlineStr">
        <is>
          <t>ТСП 012.60</t>
        </is>
      </c>
      <c r="D163" s="89" t="n">
        <v>729</v>
      </c>
      <c r="E163" s="89" t="n"/>
      <c r="F163" s="17" t="inlineStr">
        <is>
          <t>-60…200 °С
400 мм</t>
        </is>
      </c>
      <c r="G163" s="89" t="n"/>
      <c r="H163" s="175" t="inlineStr">
        <is>
          <t>Тв во всасывающей камере (ТЕ2031)</t>
        </is>
      </c>
      <c r="I163" s="8" t="n"/>
      <c r="J163" s="41" t="inlineStr">
        <is>
          <t>АСУ,А и ТМ (КЦ № 7)</t>
        </is>
      </c>
      <c r="K163" s="82" t="n"/>
      <c r="L163" s="82" t="n"/>
      <c r="M163" s="82" t="n"/>
      <c r="N163" s="82" t="n"/>
    </row>
    <row r="164" ht="22.5" customHeight="1" s="151">
      <c r="A164" s="15">
        <f>IF(B164&lt;&gt;"", COUNTA($B$2:B164), "")</f>
        <v/>
      </c>
      <c r="B164" s="73" t="inlineStr">
        <is>
          <t>Термометр сопротивления</t>
        </is>
      </c>
      <c r="C164" s="14" t="inlineStr">
        <is>
          <t>ТСП 012.08</t>
        </is>
      </c>
      <c r="D164" s="89" t="n">
        <v>589</v>
      </c>
      <c r="E164" s="89" t="n"/>
      <c r="F164" s="17" t="inlineStr">
        <is>
          <t>-60…200 °С
80 мм</t>
        </is>
      </c>
      <c r="G164" s="89" t="n"/>
      <c r="H164" s="175" t="inlineStr">
        <is>
          <t>Тв на выходе из БКВ к укрытию ГПА (ТЕ5302)</t>
        </is>
      </c>
      <c r="I164" s="8" t="n"/>
      <c r="J164" s="41" t="inlineStr">
        <is>
          <t>АСУ,А и ТМ (КЦ № 7)</t>
        </is>
      </c>
      <c r="K164" s="82" t="n"/>
      <c r="L164" s="82" t="n"/>
      <c r="M164" s="82" t="n"/>
      <c r="N164" s="82" t="n"/>
    </row>
    <row r="165" ht="22.5" customHeight="1" s="151">
      <c r="A165" s="15">
        <f>IF(B165&lt;&gt;"", COUNTA($B$2:B165), "")</f>
        <v/>
      </c>
      <c r="B165" s="73" t="inlineStr">
        <is>
          <t>Термометр сопротивления</t>
        </is>
      </c>
      <c r="C165" s="14" t="inlineStr">
        <is>
          <t>ТСП 012.60</t>
        </is>
      </c>
      <c r="D165" s="89" t="n">
        <v>812</v>
      </c>
      <c r="E165" s="89" t="n"/>
      <c r="F165" s="17" t="inlineStr">
        <is>
          <t>-60…200 °С
60 мм</t>
        </is>
      </c>
      <c r="G165" s="89" t="n"/>
      <c r="H165" s="175" t="inlineStr">
        <is>
          <t>Тв из блока подоготовки на входе в оболчки МП (ТЕ5304)</t>
        </is>
      </c>
      <c r="I165" s="8" t="n"/>
      <c r="J165" s="41" t="inlineStr">
        <is>
          <t>АСУ,А и ТМ (КЦ № 7)</t>
        </is>
      </c>
      <c r="K165" s="82" t="n"/>
      <c r="L165" s="82" t="n"/>
      <c r="M165" s="82" t="n"/>
      <c r="N165" s="82" t="n"/>
    </row>
    <row r="166" ht="22.5" customHeight="1" s="151">
      <c r="A166" s="15">
        <f>IF(B166&lt;&gt;"", COUNTA($B$2:B166), "")</f>
        <v/>
      </c>
      <c r="B166" s="74" t="inlineStr">
        <is>
          <t>Термометр сопротивления</t>
        </is>
      </c>
      <c r="C166" s="14" t="inlineStr">
        <is>
          <t>ТСП 012.60</t>
        </is>
      </c>
      <c r="D166" s="89" t="n">
        <v>1581</v>
      </c>
      <c r="E166" s="85" t="n"/>
      <c r="F166" s="17" t="inlineStr">
        <is>
          <t>-60…200 °С
100 мм</t>
        </is>
      </c>
      <c r="G166" s="89" t="n"/>
      <c r="H166" s="175" t="inlineStr">
        <is>
          <t>Тв на выходе из узла отбора (ТЕ5303)</t>
        </is>
      </c>
      <c r="I166" s="8" t="n"/>
      <c r="J166" s="41" t="inlineStr">
        <is>
          <t>АСУ,А и ТМ (КЦ № 7)</t>
        </is>
      </c>
      <c r="K166" s="82" t="n"/>
      <c r="L166" s="82" t="n"/>
      <c r="M166" s="82" t="n"/>
      <c r="N166" s="82" t="n"/>
    </row>
    <row r="167" ht="22.5" customHeight="1" s="151">
      <c r="A167" s="15">
        <f>IF(B167&lt;&gt;"", COUNTA($B$2:B167), "")</f>
        <v/>
      </c>
      <c r="B167" s="74" t="inlineStr">
        <is>
          <t>Термометр сопротивления</t>
        </is>
      </c>
      <c r="C167" s="14" t="inlineStr">
        <is>
          <t>ТСП 012.60</t>
        </is>
      </c>
      <c r="D167" s="89" t="n">
        <v>921</v>
      </c>
      <c r="E167" s="89" t="n"/>
      <c r="F167" s="17" t="inlineStr">
        <is>
          <t>-60…200 °С
60 мм</t>
        </is>
      </c>
      <c r="G167" s="89" t="n"/>
      <c r="H167" s="175" t="inlineStr">
        <is>
          <t>Тбг на входе в ГДУ ПКВ (ТЕ5203)</t>
        </is>
      </c>
      <c r="I167" s="8" t="n"/>
      <c r="J167" s="41" t="inlineStr">
        <is>
          <t>АСУ,А и ТМ (КЦ № 7)</t>
        </is>
      </c>
      <c r="K167" s="82" t="n"/>
      <c r="L167" s="82" t="n"/>
      <c r="M167" s="82" t="n"/>
      <c r="N167" s="82" t="n"/>
    </row>
    <row r="168" ht="22.5" customHeight="1" s="151">
      <c r="A168" s="15">
        <f>IF(B168&lt;&gt;"", COUNTA($B$2:B168), "")</f>
        <v/>
      </c>
      <c r="B168" s="74" t="inlineStr">
        <is>
          <t>Термометр сопротивления</t>
        </is>
      </c>
      <c r="C168" s="14" t="inlineStr">
        <is>
          <t>ТСП 012.60</t>
        </is>
      </c>
      <c r="D168" s="89" t="n">
        <v>922</v>
      </c>
      <c r="E168" s="291" t="n">
        <v>43252</v>
      </c>
      <c r="F168" s="17" t="inlineStr">
        <is>
          <t>-60…200 °С
60 мм</t>
        </is>
      </c>
      <c r="G168" s="89" t="n"/>
      <c r="H168" s="14" t="inlineStr">
        <is>
          <t>Тбг на входе в ГДУ ЗКВ (ТЕ5204)</t>
        </is>
      </c>
      <c r="I168" s="8" t="n"/>
      <c r="J168" s="41" t="inlineStr">
        <is>
          <t>АСУ,А и ТМ (КЦ № 7)</t>
        </is>
      </c>
      <c r="K168" s="82" t="n"/>
      <c r="L168" s="82" t="n"/>
      <c r="M168" s="82" t="n"/>
      <c r="N168" s="82" t="n"/>
    </row>
    <row r="169" ht="22.5" customHeight="1" s="151">
      <c r="A169" s="15">
        <f>IF(B169&lt;&gt;"", COUNTA($B$2:B169), "")</f>
        <v/>
      </c>
      <c r="B169" s="74" t="inlineStr">
        <is>
          <t>Термометр сопротивления</t>
        </is>
      </c>
      <c r="C169" s="14" t="inlineStr">
        <is>
          <t>ДТС 214</t>
        </is>
      </c>
      <c r="D169" s="87" t="inlineStr">
        <is>
          <t>61216180507116377</t>
        </is>
      </c>
      <c r="E169" s="87" t="n">
        <v>2018</v>
      </c>
      <c r="F169" s="17" t="inlineStr">
        <is>
          <t>-60…250 °С</t>
        </is>
      </c>
      <c r="G169" s="88" t="n"/>
      <c r="H169" s="14" t="inlineStr">
        <is>
          <t>Т алюминиевого блока подогревателя топливного газа (ТЕ5104)</t>
        </is>
      </c>
      <c r="I169" s="124" t="n"/>
      <c r="J169" s="41" t="inlineStr">
        <is>
          <t>АСУ,А и ТМ (КЦ № 7)</t>
        </is>
      </c>
      <c r="K169" s="82" t="n"/>
      <c r="L169" s="82" t="n"/>
      <c r="M169" s="82" t="n"/>
      <c r="N169" s="82" t="n"/>
      <c r="O169" s="86" t="n"/>
    </row>
    <row r="170" ht="22.5" customHeight="1" s="151">
      <c r="A170" s="15">
        <f>IF(B170&lt;&gt;"", COUNTA($B$2:B170), "")</f>
        <v/>
      </c>
      <c r="B170" s="74" t="inlineStr">
        <is>
          <t>Термометр сопротивления</t>
        </is>
      </c>
      <c r="C170" s="14" t="inlineStr">
        <is>
          <t>ТСП 012.60</t>
        </is>
      </c>
      <c r="D170" s="89" t="n">
        <v>33</v>
      </c>
      <c r="E170" s="291" t="n">
        <v>43252</v>
      </c>
      <c r="F170" s="17" t="inlineStr">
        <is>
          <t>-60…200 °С
160 мм</t>
        </is>
      </c>
      <c r="G170" s="89" t="n"/>
      <c r="H170" s="14" t="inlineStr">
        <is>
          <t>Тв на выходе из оболочки радиального подшипника (ПКВ)  (ТЕ5205)</t>
        </is>
      </c>
      <c r="I170" s="8" t="n"/>
      <c r="J170" s="41" t="inlineStr">
        <is>
          <t>АСУ,А и ТМ (КЦ № 7)</t>
        </is>
      </c>
      <c r="K170" s="82" t="n"/>
      <c r="L170" s="82" t="n"/>
      <c r="M170" s="82" t="n"/>
      <c r="N170" s="82" t="n"/>
    </row>
    <row r="171" ht="22.5" customHeight="1" s="151">
      <c r="A171" s="15">
        <f>IF(B171&lt;&gt;"", COUNTA($B$2:B171), "")</f>
        <v/>
      </c>
      <c r="B171" s="73" t="inlineStr">
        <is>
          <t>Термометр сопротивления</t>
        </is>
      </c>
      <c r="C171" s="14" t="inlineStr">
        <is>
          <t>ТСП 012.52В</t>
        </is>
      </c>
      <c r="D171" s="89" t="n">
        <v>34</v>
      </c>
      <c r="E171" s="291" t="n">
        <v>43191</v>
      </c>
      <c r="F171" s="17" t="inlineStr">
        <is>
          <t>-60…200 °С
160 мм</t>
        </is>
      </c>
      <c r="G171" s="89" t="n"/>
      <c r="H171" s="175" t="inlineStr">
        <is>
          <t>Тв на выходе из оболочки радиального подшипника ЗКВ (ТЕ5206)</t>
        </is>
      </c>
      <c r="I171" s="8" t="n"/>
      <c r="J171" s="41" t="inlineStr">
        <is>
          <t>АСУ,А и ТМ (КЦ № 7)</t>
        </is>
      </c>
      <c r="K171" s="82" t="n"/>
      <c r="L171" s="82" t="n"/>
      <c r="M171" s="82" t="n"/>
      <c r="N171" s="82" t="n"/>
    </row>
    <row r="172" ht="22.5" customHeight="1" s="151">
      <c r="A172" s="15">
        <f>IF(B172&lt;&gt;"", COUNTA($B$2:B172), "")</f>
        <v/>
      </c>
      <c r="B172" s="73" t="inlineStr">
        <is>
          <t>Термометр сопротивления</t>
        </is>
      </c>
      <c r="C172" s="14" t="inlineStr">
        <is>
          <t>ТСП 012.60</t>
        </is>
      </c>
      <c r="D172" s="89" t="n">
        <v>1577</v>
      </c>
      <c r="E172" s="89" t="n"/>
      <c r="F172" s="17" t="inlineStr">
        <is>
          <t>-60…200 °С
400 мм</t>
        </is>
      </c>
      <c r="G172" s="89" t="n"/>
      <c r="H172" s="175" t="inlineStr">
        <is>
          <t>Тг на входе в компрессор (ТЕ8001)</t>
        </is>
      </c>
      <c r="I172" s="8" t="n"/>
      <c r="J172" s="41" t="inlineStr">
        <is>
          <t>АСУ,А и ТМ (КЦ № 7)</t>
        </is>
      </c>
      <c r="K172" s="82" t="n"/>
      <c r="L172" s="82" t="n"/>
      <c r="M172" s="82" t="n"/>
      <c r="N172" s="82" t="n"/>
    </row>
    <row r="173" ht="22.5" customHeight="1" s="151">
      <c r="A173" s="15">
        <f>IF(B173&lt;&gt;"", COUNTA($B$2:B173), "")</f>
        <v/>
      </c>
      <c r="B173" s="73" t="inlineStr">
        <is>
          <t>Термометр сопротивления</t>
        </is>
      </c>
      <c r="C173" s="14" t="inlineStr">
        <is>
          <t>ТСП 012.60</t>
        </is>
      </c>
      <c r="D173" s="89" t="n">
        <v>1580</v>
      </c>
      <c r="E173" s="89" t="n"/>
      <c r="F173" s="17" t="inlineStr">
        <is>
          <t>-60…200 °С
100 мм</t>
        </is>
      </c>
      <c r="G173" s="89" t="n"/>
      <c r="H173" s="175" t="inlineStr">
        <is>
          <t>Тг на выходе из компрессор (ТЕ8002)</t>
        </is>
      </c>
      <c r="I173" s="8" t="n"/>
      <c r="J173" s="41" t="inlineStr">
        <is>
          <t>АСУ,А и ТМ (КЦ № 7)</t>
        </is>
      </c>
      <c r="K173" s="82" t="n"/>
      <c r="L173" s="82" t="n"/>
      <c r="M173" s="82" t="n"/>
      <c r="N173" s="82" t="n"/>
    </row>
    <row r="174" ht="22.5" customHeight="1" s="151">
      <c r="A174" s="15">
        <f>IF(B174&lt;&gt;"", COUNTA($B$2:B174), "")</f>
        <v/>
      </c>
      <c r="B174" s="73" t="inlineStr">
        <is>
          <t>Термометр сопротивления</t>
        </is>
      </c>
      <c r="C174" s="14" t="inlineStr">
        <is>
          <t>ТСП 012.СП</t>
        </is>
      </c>
      <c r="D174" s="89" t="n">
        <v>600</v>
      </c>
      <c r="E174" s="89" t="n"/>
      <c r="F174" s="17" t="inlineStr">
        <is>
          <t>-60…200 °С
80 мм</t>
        </is>
      </c>
      <c r="G174" s="89" t="n"/>
      <c r="H174" s="175" t="inlineStr">
        <is>
          <t>Тв в БКВ (ТЕ5301)</t>
        </is>
      </c>
      <c r="I174" s="8" t="n"/>
      <c r="J174" s="41" t="inlineStr">
        <is>
          <t>АСУ,А и ТМ (КЦ № 7)</t>
        </is>
      </c>
      <c r="K174" s="125" t="n"/>
      <c r="L174" s="82" t="n"/>
      <c r="M174" s="82" t="n"/>
      <c r="N174" s="82" t="n"/>
    </row>
    <row r="175" ht="22.5" customHeight="1" s="151">
      <c r="A175" s="15">
        <f>IF(B175&lt;&gt;"", COUNTA($B$2:B175), "")</f>
        <v/>
      </c>
      <c r="B175" s="73" t="inlineStr">
        <is>
          <t>Термометр сопротивления</t>
        </is>
      </c>
      <c r="C175" s="14" t="inlineStr">
        <is>
          <t>ТСП 012.02</t>
        </is>
      </c>
      <c r="D175" s="89" t="n">
        <v>634</v>
      </c>
      <c r="E175" s="291" t="n">
        <v>43282</v>
      </c>
      <c r="F175" s="17" t="inlineStr">
        <is>
          <t>-60…200 °С
60 мм</t>
        </is>
      </c>
      <c r="G175" s="89" t="n"/>
      <c r="H175" s="175" t="inlineStr">
        <is>
          <t>Тв в отсеке САУ (ТЕ8101)</t>
        </is>
      </c>
      <c r="I175" s="8" t="n"/>
      <c r="J175" s="41" t="inlineStr">
        <is>
          <t>АСУ,А и ТМ (КЦ № 7)</t>
        </is>
      </c>
      <c r="K175" s="82" t="n"/>
      <c r="L175" s="82" t="n"/>
      <c r="M175" s="82" t="n"/>
      <c r="N175" s="82" t="n"/>
    </row>
    <row r="176" ht="22.5" customHeight="1" s="151">
      <c r="A176" s="15">
        <f>IF(B176&lt;&gt;"", COUNTA($B$2:B176), "")</f>
        <v/>
      </c>
      <c r="B176" s="73" t="inlineStr">
        <is>
          <t>Термометр сопротивления</t>
        </is>
      </c>
      <c r="C176" s="14" t="inlineStr">
        <is>
          <t>ТСП 012.60</t>
        </is>
      </c>
      <c r="D176" s="89" t="n">
        <v>639</v>
      </c>
      <c r="E176" s="291" t="n">
        <v>43282</v>
      </c>
      <c r="F176" s="17" t="inlineStr">
        <is>
          <t>-60…200 °С
60 мм</t>
        </is>
      </c>
      <c r="G176" s="89" t="inlineStr">
        <is>
          <t>В</t>
        </is>
      </c>
      <c r="H176" s="175" t="inlineStr">
        <is>
          <t>Тв в БЭТ (ТЕ8102)</t>
        </is>
      </c>
      <c r="I176" s="8" t="n"/>
      <c r="J176" s="41" t="inlineStr">
        <is>
          <t>АСУ,А и ТМ (КЦ № 7)</t>
        </is>
      </c>
      <c r="K176" s="82" t="n"/>
      <c r="L176" s="82" t="n"/>
      <c r="M176" s="82" t="n"/>
      <c r="N176" s="82" t="n"/>
    </row>
    <row r="177" ht="22.5" customHeight="1" s="151">
      <c r="A177" s="15">
        <f>IF(B177&lt;&gt;"", COUNTA($B$2:B177), "")</f>
        <v/>
      </c>
      <c r="B177" s="73" t="inlineStr">
        <is>
          <t>Термометр сопротивления</t>
        </is>
      </c>
      <c r="C177" s="14" t="inlineStr">
        <is>
          <t>ТСП 012.60</t>
        </is>
      </c>
      <c r="D177" s="89" t="n">
        <v>624</v>
      </c>
      <c r="E177" s="291" t="n">
        <v>43617</v>
      </c>
      <c r="F177" s="17" t="inlineStr">
        <is>
          <t>-60…200 °С
400 мм</t>
        </is>
      </c>
      <c r="G177" s="89" t="n"/>
      <c r="H177" s="175" t="inlineStr">
        <is>
          <t>Тм на выходе из двигателя (ТЕ6002)</t>
        </is>
      </c>
      <c r="I177" s="8" t="n"/>
      <c r="J177" s="41" t="inlineStr">
        <is>
          <t>АСУ,А и ТМ (КЦ № 7)</t>
        </is>
      </c>
      <c r="K177" s="82" t="n"/>
      <c r="L177" s="82" t="n"/>
      <c r="M177" s="82" t="n"/>
      <c r="N177" s="82" t="n"/>
    </row>
    <row r="178" ht="22.5" customHeight="1" s="151">
      <c r="A178" s="15">
        <f>IF(B178&lt;&gt;"", COUNTA($B$2:B178), "")</f>
        <v/>
      </c>
      <c r="B178" s="73" t="inlineStr">
        <is>
          <t>Термометр сопротивления</t>
        </is>
      </c>
      <c r="C178" s="14" t="inlineStr">
        <is>
          <t>ТСП 012.60</t>
        </is>
      </c>
      <c r="D178" s="89" t="n">
        <v>75</v>
      </c>
      <c r="E178" s="89" t="n"/>
      <c r="F178" s="17" t="inlineStr">
        <is>
          <t>-50…150 °С
250 мм</t>
        </is>
      </c>
      <c r="G178" s="89" t="n"/>
      <c r="H178" s="14" t="inlineStr">
        <is>
          <t>Тбг после подогревателя в стойке СГУ (ТТ5202)</t>
        </is>
      </c>
      <c r="I178" s="8" t="n"/>
      <c r="J178" s="41" t="inlineStr">
        <is>
          <t>АСУ,А и ТМ (КЦ № 7)</t>
        </is>
      </c>
      <c r="K178" s="82" t="n"/>
      <c r="L178" s="82" t="n"/>
      <c r="M178" s="82" t="n"/>
      <c r="N178" s="82" t="n"/>
    </row>
    <row r="179" ht="33.75" customHeight="1" s="151">
      <c r="A179" s="15">
        <f>IF(B179&lt;&gt;"", COUNTA($B$2:B179), "")</f>
        <v/>
      </c>
      <c r="B179" s="73" t="inlineStr">
        <is>
          <t>Термометр сопротивления</t>
        </is>
      </c>
      <c r="C179" s="14" t="inlineStr">
        <is>
          <t>ДТС 214</t>
        </is>
      </c>
      <c r="D179" s="87" t="inlineStr">
        <is>
          <t>61216200344079927</t>
        </is>
      </c>
      <c r="E179" s="291" t="n">
        <v>43405</v>
      </c>
      <c r="F179" s="17" t="inlineStr">
        <is>
          <t>-60…250 °С</t>
        </is>
      </c>
      <c r="G179" s="89" t="n"/>
      <c r="H179" s="14" t="inlineStr">
        <is>
          <t>Т алюминиевого блока подогревателя предпусковой подготовки буферного газа (ТТ5206)</t>
        </is>
      </c>
      <c r="I179" s="8" t="n"/>
      <c r="J179" s="41" t="n"/>
      <c r="K179" s="82" t="n"/>
      <c r="L179" s="82" t="n"/>
      <c r="M179" s="82" t="n"/>
      <c r="N179" s="82" t="n"/>
      <c r="O179" s="86" t="n"/>
    </row>
    <row r="180" ht="22.5" customHeight="1" s="151">
      <c r="A180" s="15">
        <f>IF(B180&lt;&gt;"", COUNTA($B$2:B180), "")</f>
        <v/>
      </c>
      <c r="B180" s="74" t="inlineStr">
        <is>
          <t>Термометр сопротивления</t>
        </is>
      </c>
      <c r="C180" s="14" t="inlineStr">
        <is>
          <t>ТСП 012.60</t>
        </is>
      </c>
      <c r="D180" s="88" t="n">
        <v>1799</v>
      </c>
      <c r="E180" s="292" t="n">
        <v>43405</v>
      </c>
      <c r="F180" s="17" t="inlineStr">
        <is>
          <t>-60…200 °С
120 мм</t>
        </is>
      </c>
      <c r="G180" s="88" t="n"/>
      <c r="H180" s="175" t="inlineStr">
        <is>
          <t>Тв в блоке маслоочистителя (ТЕ6006)</t>
        </is>
      </c>
      <c r="I180" s="8" t="n"/>
      <c r="J180" s="41" t="n"/>
      <c r="K180" s="82" t="n"/>
      <c r="L180" s="82" t="n"/>
      <c r="M180" s="82" t="n"/>
      <c r="N180" s="82" t="n"/>
    </row>
    <row r="181" ht="22.5" customHeight="1" s="151">
      <c r="A181" s="15">
        <f>IF(B181&lt;&gt;"", COUNTA($B$2:B181), "")</f>
        <v/>
      </c>
      <c r="B181" s="74" t="inlineStr">
        <is>
          <t>Термометр сопротивления</t>
        </is>
      </c>
      <c r="C181" s="14" t="inlineStr">
        <is>
          <t>ТСП 012.02</t>
        </is>
      </c>
      <c r="D181" s="71" t="n">
        <v>644</v>
      </c>
      <c r="E181" s="71" t="n">
        <v>2018</v>
      </c>
      <c r="F181" s="17" t="inlineStr">
        <is>
          <t>-60…200 °С
60 мм</t>
        </is>
      </c>
      <c r="G181" s="71" t="inlineStr">
        <is>
          <t>В</t>
        </is>
      </c>
      <c r="H181" s="14" t="inlineStr">
        <is>
          <t>Тв в БЭТ АВОГ (ТЕ8201)</t>
        </is>
      </c>
      <c r="I181" s="8" t="n"/>
      <c r="J181" s="41" t="n"/>
      <c r="K181" s="82" t="n"/>
      <c r="L181" s="82" t="n"/>
      <c r="M181" s="82" t="n"/>
      <c r="N181" s="82" t="n"/>
    </row>
    <row r="182" ht="22.5" customHeight="1" s="151">
      <c r="A182" s="15">
        <f>IF(B182&lt;&gt;"", COUNTA($B$2:B182), "")</f>
        <v/>
      </c>
      <c r="B182" s="73" t="inlineStr">
        <is>
          <t>Термометр сопротивления</t>
        </is>
      </c>
      <c r="C182" s="14" t="inlineStr">
        <is>
          <t>ТСП 012.60</t>
        </is>
      </c>
      <c r="D182" s="89" t="n">
        <v>1874</v>
      </c>
      <c r="E182" s="291" t="n">
        <v>43221</v>
      </c>
      <c r="F182" s="17" t="inlineStr">
        <is>
          <t>-60…200 °С
60 мм</t>
        </is>
      </c>
      <c r="G182" s="89" t="n"/>
      <c r="H182" s="175" t="inlineStr">
        <is>
          <t>Ттг перед ДГ</t>
        </is>
      </c>
      <c r="I182" s="8" t="n"/>
      <c r="J182" s="41" t="inlineStr">
        <is>
          <t>АСУ,А и ТМ (КЦ № 7)</t>
        </is>
      </c>
      <c r="K182" s="82" t="n"/>
      <c r="L182" s="82" t="n"/>
      <c r="M182" s="82" t="n"/>
      <c r="N182" s="82" t="n"/>
    </row>
    <row r="183" ht="22.5" customHeight="1" s="151">
      <c r="A183" s="15">
        <f>IF(B183&lt;&gt;"", COUNTA($B$2:B183), "")</f>
        <v/>
      </c>
      <c r="B183" s="74" t="inlineStr">
        <is>
          <t>Термометр сопротивления</t>
        </is>
      </c>
      <c r="C183" s="71" t="inlineStr">
        <is>
          <t>Метран-2700</t>
        </is>
      </c>
      <c r="D183" s="71" t="n">
        <v>2427562</v>
      </c>
      <c r="E183" s="293" t="n">
        <v>43191</v>
      </c>
      <c r="F183" s="17" t="inlineStr">
        <is>
          <t>-50…300 °С
60 мм</t>
        </is>
      </c>
      <c r="G183" s="83" t="n"/>
      <c r="H183" s="14" t="inlineStr">
        <is>
          <t>Тбг на подогревателе СГУ</t>
        </is>
      </c>
      <c r="I183" s="8" t="inlineStr">
        <is>
          <t>Укрытие</t>
        </is>
      </c>
      <c r="J183" s="41" t="inlineStr">
        <is>
          <t>АСУ,А и ТМ (КЦ № 7)</t>
        </is>
      </c>
      <c r="K183" s="82" t="n"/>
      <c r="L183" s="82" t="n"/>
      <c r="M183" s="82" t="n"/>
      <c r="N183" s="82" t="n"/>
    </row>
    <row r="184" ht="22.5" customHeight="1" s="151">
      <c r="A184" s="15">
        <f>IF(B184&lt;&gt;"", COUNTA($B$2:B184), "")</f>
        <v/>
      </c>
      <c r="B184" s="74" t="inlineStr">
        <is>
          <t>Термометр сопротивления</t>
        </is>
      </c>
      <c r="C184" s="14" t="inlineStr">
        <is>
          <t>ТСП 012.60</t>
        </is>
      </c>
      <c r="D184" s="88" t="n">
        <v>798</v>
      </c>
      <c r="E184" s="292" t="n">
        <v>43221</v>
      </c>
      <c r="F184" s="17" t="inlineStr">
        <is>
          <t>-60…200 °С
60 мм</t>
        </is>
      </c>
      <c r="G184" s="88" t="n"/>
      <c r="H184" s="14" t="inlineStr">
        <is>
          <t>Тбг после подогревателя предпусковой подготовки (ТЕ5208)</t>
        </is>
      </c>
      <c r="I184" s="8" t="n"/>
      <c r="J184" s="41" t="inlineStr">
        <is>
          <t>АСУ,А и ТМ (КЦ № 7)</t>
        </is>
      </c>
      <c r="K184" s="82" t="n"/>
      <c r="L184" s="82" t="n"/>
      <c r="M184" s="82" t="n"/>
      <c r="N184" s="82" t="n"/>
    </row>
    <row r="185" ht="22.5" customHeight="1" s="151">
      <c r="A185" s="15">
        <f>IF(B185&lt;&gt;"", COUNTA($B$2:B185), "")</f>
        <v/>
      </c>
      <c r="B185" s="73" t="inlineStr">
        <is>
          <t>Термометр сопротивления</t>
        </is>
      </c>
      <c r="C185" s="14" t="inlineStr">
        <is>
          <t>ТСП 012.08</t>
        </is>
      </c>
      <c r="D185" s="89" t="n">
        <v>584</v>
      </c>
      <c r="E185" s="89" t="n"/>
      <c r="F185" s="17" t="inlineStr">
        <is>
          <t>-60…200 °С
80 мм</t>
        </is>
      </c>
      <c r="G185" s="89" t="n"/>
      <c r="H185" s="175" t="inlineStr">
        <is>
          <t>Тв подоваемого в воздуходовки (ТЕ5306)</t>
        </is>
      </c>
      <c r="I185" s="71" t="inlineStr">
        <is>
          <t>БКВ</t>
        </is>
      </c>
      <c r="J185" s="41" t="inlineStr">
        <is>
          <t>АСУ,А и ТМ (КЦ № 7)</t>
        </is>
      </c>
      <c r="K185" s="82" t="n"/>
      <c r="L185" s="82" t="n"/>
      <c r="M185" s="82" t="n"/>
      <c r="N185" s="82" t="n"/>
    </row>
    <row r="186" ht="22.5" customHeight="1" s="151">
      <c r="A186" s="15">
        <f>IF(B186&lt;&gt;"", COUNTA($B$2:B186), "")</f>
        <v/>
      </c>
      <c r="B186" s="73" t="inlineStr">
        <is>
          <t>Термометр сопротивления</t>
        </is>
      </c>
      <c r="C186" s="14" t="inlineStr">
        <is>
          <t>ТСПУ 031 СК</t>
        </is>
      </c>
      <c r="D186" s="89" t="n">
        <v>103</v>
      </c>
      <c r="E186" s="291" t="n">
        <v>43678</v>
      </c>
      <c r="F186" s="17" t="inlineStr">
        <is>
          <t>-50…200 °С
250 мм</t>
        </is>
      </c>
      <c r="G186" s="89" t="n"/>
      <c r="H186" s="175" t="inlineStr">
        <is>
          <t>Тг на выходе АВО перед клапаном 6к (ТТ2)</t>
        </is>
      </c>
      <c r="I186" s="8" t="n"/>
      <c r="J186" s="41" t="inlineStr">
        <is>
          <t>АСУ,А и ТМ (КЦ № 7)</t>
        </is>
      </c>
      <c r="K186" s="82" t="n"/>
      <c r="L186" s="82" t="n"/>
      <c r="M186" s="82" t="n"/>
      <c r="N186" s="82" t="n"/>
    </row>
    <row r="187" ht="22.5" customHeight="1" s="151">
      <c r="A187" s="15">
        <f>IF(B187&lt;&gt;"", COUNTA($B$2:B187), "")</f>
        <v/>
      </c>
      <c r="B187" s="74" t="inlineStr">
        <is>
          <t>Термометр сопротивления</t>
        </is>
      </c>
      <c r="C187" s="14" t="inlineStr">
        <is>
          <t>ТСПУ 031 СК</t>
        </is>
      </c>
      <c r="D187" s="88" t="n">
        <v>101</v>
      </c>
      <c r="E187" s="291" t="n">
        <v>43678</v>
      </c>
      <c r="F187" s="17" t="inlineStr">
        <is>
          <t>-50…200 °С
250 мм</t>
        </is>
      </c>
      <c r="G187" s="89" t="n">
        <v>0.3</v>
      </c>
      <c r="H187" s="175" t="inlineStr">
        <is>
          <t>Тг на выходе АВО перед клапаном 2 (ТТ1)</t>
        </is>
      </c>
      <c r="I187" s="8" t="n"/>
      <c r="J187" s="41" t="inlineStr">
        <is>
          <t>АСУ,А и ТМ (КЦ № 7)</t>
        </is>
      </c>
      <c r="K187" s="82" t="n"/>
      <c r="L187" s="82" t="n"/>
      <c r="M187" s="82" t="n"/>
      <c r="N187" s="82" t="n"/>
    </row>
    <row r="188" ht="22.5" customHeight="1" s="151">
      <c r="A188" s="15">
        <f>IF(B188&lt;&gt;"", COUNTA($B$2:B188), "")</f>
        <v/>
      </c>
      <c r="B188" s="74" t="inlineStr">
        <is>
          <t>Термометр сопротивления</t>
        </is>
      </c>
      <c r="C188" s="14" t="inlineStr">
        <is>
          <t>ТСП 012.08</t>
        </is>
      </c>
      <c r="D188" s="88" t="n">
        <v>584</v>
      </c>
      <c r="E188" s="292" t="n">
        <v>43282</v>
      </c>
      <c r="F188" s="17" t="inlineStr">
        <is>
          <t>-60…200 °С
80 мм</t>
        </is>
      </c>
      <c r="G188" s="88" t="inlineStr">
        <is>
          <t>В</t>
        </is>
      </c>
      <c r="H188" s="71" t="inlineStr">
        <is>
          <t>Тв в общем колекторе</t>
        </is>
      </c>
      <c r="I188" s="71" t="inlineStr">
        <is>
          <t>БКВ</t>
        </is>
      </c>
      <c r="J188" s="41" t="inlineStr">
        <is>
          <t>АСУ,А и ТМ (КЦ № 7)</t>
        </is>
      </c>
      <c r="K188" s="82" t="n"/>
      <c r="L188" s="82" t="n"/>
      <c r="M188" s="82" t="n"/>
      <c r="N188" s="82" t="n"/>
    </row>
    <row r="189" ht="22.5" customHeight="1" s="151">
      <c r="A189" s="15">
        <f>IF(B189&lt;&gt;"", COUNTA($B$2:B189), "")</f>
        <v/>
      </c>
      <c r="B189" s="74" t="inlineStr">
        <is>
          <t>Термометр сопротивления</t>
        </is>
      </c>
      <c r="C189" s="14" t="inlineStr">
        <is>
          <t>ТСПУ014.12</t>
        </is>
      </c>
      <c r="D189" s="88" t="n">
        <v>357</v>
      </c>
      <c r="E189" s="292" t="n">
        <v>43252</v>
      </c>
      <c r="F189" s="17" t="inlineStr">
        <is>
          <t>-50…150 °С
80 мм</t>
        </is>
      </c>
      <c r="G189" s="103" t="n">
        <v>0.0025</v>
      </c>
      <c r="H189" s="71" t="inlineStr">
        <is>
          <t>Тв в общем колекторе</t>
        </is>
      </c>
      <c r="I189" s="71" t="inlineStr">
        <is>
          <t>БКВ</t>
        </is>
      </c>
      <c r="J189" s="41" t="inlineStr">
        <is>
          <t>АСУ,А и ТМ (КЦ № 7)</t>
        </is>
      </c>
      <c r="K189" s="82" t="n"/>
      <c r="L189" s="82" t="n"/>
      <c r="M189" s="82" t="n"/>
      <c r="N189" s="82" t="n"/>
    </row>
    <row r="190" ht="22.5" customHeight="1" s="151">
      <c r="A190" s="15">
        <f>IF(B190&lt;&gt;"", COUNTA($B$2:B190), "")</f>
        <v/>
      </c>
      <c r="B190" s="74" t="inlineStr">
        <is>
          <t>Термометр сопротивления</t>
        </is>
      </c>
      <c r="C190" s="14" t="inlineStr">
        <is>
          <t>Метран-2000 А02 НСХ</t>
        </is>
      </c>
      <c r="D190" s="88" t="n">
        <v>2444268</v>
      </c>
      <c r="E190" s="292" t="n">
        <v>43282</v>
      </c>
      <c r="F190" s="17" t="inlineStr">
        <is>
          <t>-50…200 °С
60 мм</t>
        </is>
      </c>
      <c r="G190" s="88" t="n"/>
      <c r="H190" s="71" t="inlineStr">
        <is>
          <t>Тв на выходе ресивера ГШ5301</t>
        </is>
      </c>
      <c r="I190" s="71" t="inlineStr">
        <is>
          <t>БКВ</t>
        </is>
      </c>
      <c r="J190" s="41" t="inlineStr">
        <is>
          <t>АСУ,А и ТМ (КЦ № 7)</t>
        </is>
      </c>
      <c r="K190" s="82" t="n"/>
      <c r="L190" s="82" t="n"/>
      <c r="M190" s="82" t="n"/>
      <c r="N190" s="82" t="n"/>
    </row>
    <row r="191" ht="22.5" customHeight="1" s="151">
      <c r="A191" s="15">
        <f>IF(B191&lt;&gt;"", COUNTA($B$2:B191), "")</f>
        <v/>
      </c>
      <c r="B191" s="74" t="inlineStr">
        <is>
          <t>Термометр сопротивления</t>
        </is>
      </c>
      <c r="C191" s="14" t="inlineStr">
        <is>
          <t>Метран-2000 А02 НСХ</t>
        </is>
      </c>
      <c r="D191" s="88" t="n">
        <v>2428411</v>
      </c>
      <c r="E191" s="292" t="n">
        <v>43282</v>
      </c>
      <c r="F191" s="17" t="inlineStr">
        <is>
          <t>-50…200 °С
60 мм</t>
        </is>
      </c>
      <c r="G191" s="88" t="n"/>
      <c r="H191" s="71" t="inlineStr">
        <is>
          <t>Тм подшипника ВК2 В5301</t>
        </is>
      </c>
      <c r="I191" s="71" t="inlineStr">
        <is>
          <t>БКВ</t>
        </is>
      </c>
      <c r="J191" s="41" t="inlineStr">
        <is>
          <t>АСУ,А и ТМ (КЦ № 7)</t>
        </is>
      </c>
      <c r="K191" s="82" t="n"/>
      <c r="L191" s="82" t="n"/>
      <c r="M191" s="82" t="n"/>
      <c r="N191" s="82" t="n"/>
    </row>
    <row r="192" ht="22.5" customHeight="1" s="151">
      <c r="A192" s="15">
        <f>IF(B192&lt;&gt;"", COUNTA($B$2:B192), "")</f>
        <v/>
      </c>
      <c r="B192" s="74" t="inlineStr">
        <is>
          <t>Термометр сопротивления</t>
        </is>
      </c>
      <c r="C192" s="14" t="inlineStr">
        <is>
          <t>Метран-2000 А02 НСХ</t>
        </is>
      </c>
      <c r="D192" s="88" t="n">
        <v>2444552</v>
      </c>
      <c r="E192" s="292" t="n">
        <v>43282</v>
      </c>
      <c r="F192" s="17" t="inlineStr">
        <is>
          <t>-50…200 °С
60 мм</t>
        </is>
      </c>
      <c r="G192" s="88" t="n"/>
      <c r="H192" s="71" t="inlineStr">
        <is>
          <t>Тмподшипника ВК3 В5301</t>
        </is>
      </c>
      <c r="I192" s="71" t="inlineStr">
        <is>
          <t>БКВ</t>
        </is>
      </c>
      <c r="J192" s="41" t="inlineStr">
        <is>
          <t>АСУ,А и ТМ (КЦ № 7)</t>
        </is>
      </c>
      <c r="K192" s="82" t="n"/>
      <c r="L192" s="82" t="n"/>
      <c r="M192" s="82" t="n"/>
      <c r="N192" s="82" t="n"/>
    </row>
    <row r="193" ht="22.5" customHeight="1" s="151">
      <c r="A193" s="15">
        <f>IF(B193&lt;&gt;"", COUNTA($B$2:B193), "")</f>
        <v/>
      </c>
      <c r="B193" s="74" t="inlineStr">
        <is>
          <t>Термометр сопротивления</t>
        </is>
      </c>
      <c r="C193" s="14" t="inlineStr">
        <is>
          <t>Метран-2000 А02 НСХ</t>
        </is>
      </c>
      <c r="D193" s="88" t="n">
        <v>2444553</v>
      </c>
      <c r="E193" s="292" t="n">
        <v>43282</v>
      </c>
      <c r="F193" s="17" t="inlineStr">
        <is>
          <t>-50…200 °С
60 мм</t>
        </is>
      </c>
      <c r="G193" s="88" t="n"/>
      <c r="H193" s="71" t="inlineStr">
        <is>
          <t>Тв на выходе ресивера ГШ5302</t>
        </is>
      </c>
      <c r="I193" s="71" t="inlineStr">
        <is>
          <t>БКВ</t>
        </is>
      </c>
      <c r="J193" s="41" t="inlineStr">
        <is>
          <t>АСУ,А и ТМ (КЦ № 7)</t>
        </is>
      </c>
      <c r="K193" s="82" t="n"/>
      <c r="L193" s="82" t="n"/>
      <c r="M193" s="82" t="n"/>
      <c r="N193" s="82" t="n"/>
    </row>
    <row r="194" ht="22.5" customHeight="1" s="151">
      <c r="A194" s="15">
        <f>IF(B194&lt;&gt;"", COUNTA($B$2:B194), "")</f>
        <v/>
      </c>
      <c r="B194" s="74" t="inlineStr">
        <is>
          <t>Термометр сопротивления</t>
        </is>
      </c>
      <c r="C194" s="14" t="inlineStr">
        <is>
          <t>Метран-2000 А02 НСХ</t>
        </is>
      </c>
      <c r="D194" s="88" t="n">
        <v>2443185</v>
      </c>
      <c r="E194" s="292" t="n">
        <v>43282</v>
      </c>
      <c r="F194" s="17" t="inlineStr">
        <is>
          <t>-50…200 °С
60 мм</t>
        </is>
      </c>
      <c r="G194" s="88" t="n"/>
      <c r="H194" s="71" t="inlineStr">
        <is>
          <t>Тм подшипника ВК2 В5302</t>
        </is>
      </c>
      <c r="I194" s="71" t="inlineStr">
        <is>
          <t>БКВ</t>
        </is>
      </c>
      <c r="J194" s="41" t="inlineStr">
        <is>
          <t>АСУ,А и ТМ (КЦ № 7)</t>
        </is>
      </c>
      <c r="K194" s="82" t="n"/>
      <c r="L194" s="82" t="n"/>
      <c r="M194" s="82" t="n"/>
      <c r="N194" s="82" t="n"/>
    </row>
    <row r="195" ht="22.5" customHeight="1" s="151">
      <c r="A195" s="15">
        <f>IF(B195&lt;&gt;"", COUNTA($B$2:B195), "")</f>
        <v/>
      </c>
      <c r="B195" s="74" t="inlineStr">
        <is>
          <t>Термометр сопротивления</t>
        </is>
      </c>
      <c r="C195" s="14" t="inlineStr">
        <is>
          <t>Метран-2000 А02 НСХ</t>
        </is>
      </c>
      <c r="D195" s="88" t="n">
        <v>2444269</v>
      </c>
      <c r="E195" s="292" t="n">
        <v>43282</v>
      </c>
      <c r="F195" s="17" t="inlineStr">
        <is>
          <t>-50…200 °С
60 мм</t>
        </is>
      </c>
      <c r="G195" s="88" t="n"/>
      <c r="H195" s="71" t="inlineStr">
        <is>
          <t>Тм подшипника ВК3 В5302</t>
        </is>
      </c>
      <c r="I195" s="71" t="inlineStr">
        <is>
          <t>БКВ</t>
        </is>
      </c>
      <c r="J195" s="41" t="inlineStr">
        <is>
          <t>АСУ,А и ТМ (КЦ № 7)</t>
        </is>
      </c>
      <c r="K195" s="82" t="n"/>
      <c r="L195" s="82" t="n"/>
      <c r="M195" s="82" t="n"/>
      <c r="N195" s="82" t="n"/>
    </row>
    <row r="196" ht="22.5" customHeight="1" s="151">
      <c r="A196" s="15">
        <f>IF(B196&lt;&gt;"", COUNTA($B$2:B196), "")</f>
        <v/>
      </c>
      <c r="B196" s="71" t="inlineStr">
        <is>
          <t xml:space="preserve"> Расходомер</t>
        </is>
      </c>
      <c r="C196" s="71" t="inlineStr">
        <is>
          <t>Эмис-Вихрь 200 ЭВ-200</t>
        </is>
      </c>
      <c r="D196" s="71" t="n">
        <v>22334</v>
      </c>
      <c r="E196" s="290" t="n">
        <v>43282</v>
      </c>
      <c r="F196" s="70" t="inlineStr">
        <is>
          <t>18…480 м³/ч</t>
        </is>
      </c>
      <c r="G196" s="93" t="n"/>
      <c r="H196" s="175" t="inlineStr">
        <is>
          <t>Qв на выходе из оболочки радиального подшипника ( ПКВ)</t>
        </is>
      </c>
      <c r="I196" s="93" t="n"/>
      <c r="J196" s="41" t="inlineStr">
        <is>
          <t>АСУ,А и ТМ (КЦ № 7)</t>
        </is>
      </c>
      <c r="K196" s="93" t="n"/>
      <c r="L196" s="93" t="n"/>
      <c r="M196" s="93" t="n"/>
      <c r="N196" s="93" t="n"/>
    </row>
    <row r="197" ht="22.5" customHeight="1" s="151">
      <c r="A197" s="15">
        <f>IF(B197&lt;&gt;"", COUNTA($B$2:B197), "")</f>
        <v/>
      </c>
      <c r="B197" s="71" t="inlineStr">
        <is>
          <t xml:space="preserve"> Расходомер</t>
        </is>
      </c>
      <c r="C197" s="71" t="inlineStr">
        <is>
          <t>Эмис-Вихрь 200 ЭВ-200</t>
        </is>
      </c>
      <c r="D197" s="71" t="n">
        <v>22330</v>
      </c>
      <c r="E197" s="290" t="n">
        <v>43313</v>
      </c>
      <c r="F197" s="70" t="inlineStr">
        <is>
          <t>18…480 м³/ч</t>
        </is>
      </c>
      <c r="G197" s="93" t="n"/>
      <c r="H197" s="175" t="inlineStr">
        <is>
          <t>Qв на выходе из оболочки радиального подшипника ( ЗКВ)</t>
        </is>
      </c>
      <c r="I197" s="93" t="n"/>
      <c r="J197" s="41" t="inlineStr">
        <is>
          <t>АСУ,А и ТМ (КЦ № 7)</t>
        </is>
      </c>
      <c r="K197" s="93" t="n"/>
      <c r="L197" s="93" t="n"/>
      <c r="M197" s="93" t="n"/>
      <c r="N197" s="93" t="n"/>
    </row>
    <row r="198" ht="22.5" customHeight="1" s="151">
      <c r="A198" s="15">
        <f>IF(B198&lt;&gt;"", COUNTA($B$2:B198), "")</f>
        <v/>
      </c>
      <c r="B198" s="74" t="inlineStr">
        <is>
          <t>Термометр сопротивления</t>
        </is>
      </c>
      <c r="C198" s="71" t="inlineStr">
        <is>
          <t>ТСП 012.08</t>
        </is>
      </c>
      <c r="D198" s="71" t="n">
        <v>589</v>
      </c>
      <c r="E198" s="29" t="inlineStr">
        <is>
          <t>2018</t>
        </is>
      </c>
      <c r="F198" s="17" t="inlineStr">
        <is>
          <t>-60…200 °С
80 мм</t>
        </is>
      </c>
      <c r="G198" s="83" t="n"/>
      <c r="H198" s="14" t="inlineStr">
        <is>
          <t xml:space="preserve">Тв подоваемого из воздуходовки </t>
        </is>
      </c>
      <c r="I198" s="70" t="inlineStr">
        <is>
          <t>БКВ</t>
        </is>
      </c>
      <c r="J198" s="41" t="inlineStr">
        <is>
          <t>АСУ,А и ТМ (КЦ № 7)</t>
        </is>
      </c>
      <c r="K198" s="93" t="n"/>
      <c r="L198" s="93" t="n"/>
      <c r="M198" s="93" t="n"/>
      <c r="N198" s="93" t="n"/>
      <c r="O198" s="86" t="n"/>
    </row>
    <row r="199" ht="22.5" customHeight="1" s="151">
      <c r="A199" s="15">
        <f>IF(B199&lt;&gt;"", COUNTA($B$2:B199), "")</f>
        <v/>
      </c>
      <c r="B199" s="70" t="inlineStr">
        <is>
          <t>Сигнализатор уровня</t>
        </is>
      </c>
      <c r="C199" s="14" t="inlineStr">
        <is>
          <t>Валком</t>
        </is>
      </c>
      <c r="D199" s="70" t="inlineStr">
        <is>
          <t>8А10719</t>
        </is>
      </c>
      <c r="E199" s="70" t="n">
        <v>2019</v>
      </c>
      <c r="F199" s="70" t="inlineStr">
        <is>
          <t>200 мм</t>
        </is>
      </c>
      <c r="G199" s="93" t="n"/>
      <c r="H199" s="70" t="inlineStr">
        <is>
          <t>БФБГ-1 (верхний)</t>
        </is>
      </c>
      <c r="I199" s="70" t="inlineStr">
        <is>
          <t>КЦ</t>
        </is>
      </c>
      <c r="J199" s="41" t="inlineStr">
        <is>
          <t>АСУ,А и ТМ (КЦ № 7)</t>
        </is>
      </c>
      <c r="K199" s="93" t="n"/>
      <c r="L199" s="93" t="n"/>
      <c r="M199" s="93" t="n"/>
      <c r="N199" s="93" t="n"/>
      <c r="O199" s="86" t="inlineStr">
        <is>
          <t>не является СИ</t>
        </is>
      </c>
    </row>
    <row r="200" ht="22.5" customHeight="1" s="151">
      <c r="A200" s="15">
        <f>IF(B200&lt;&gt;"", COUNTA($B$2:B200), "")</f>
        <v/>
      </c>
      <c r="B200" s="70" t="inlineStr">
        <is>
          <t>Сигнализатор уровня</t>
        </is>
      </c>
      <c r="C200" s="14" t="inlineStr">
        <is>
          <t>Валком</t>
        </is>
      </c>
      <c r="D200" s="70" t="inlineStr">
        <is>
          <t>8А10727</t>
        </is>
      </c>
      <c r="E200" s="70" t="n">
        <v>2019</v>
      </c>
      <c r="F200" s="70" t="inlineStr">
        <is>
          <t>200 мм</t>
        </is>
      </c>
      <c r="G200" s="93" t="n"/>
      <c r="H200" s="70" t="inlineStr">
        <is>
          <t>БФБГ-1 (нижний)</t>
        </is>
      </c>
      <c r="I200" s="70" t="inlineStr">
        <is>
          <t>КЦ</t>
        </is>
      </c>
      <c r="J200" s="41" t="inlineStr">
        <is>
          <t>АСУ,А и ТМ (КЦ № 7)</t>
        </is>
      </c>
      <c r="K200" s="93" t="n"/>
      <c r="L200" s="93" t="n"/>
      <c r="M200" s="93" t="n"/>
      <c r="N200" s="93" t="n"/>
      <c r="O200" s="86" t="inlineStr">
        <is>
          <t>не является СИ</t>
        </is>
      </c>
    </row>
    <row r="201" ht="22.5" customHeight="1" s="151">
      <c r="A201" s="15">
        <f>IF(B201&lt;&gt;"", COUNTA($B$2:B201), "")</f>
        <v/>
      </c>
      <c r="B201" s="70" t="inlineStr">
        <is>
          <t>Сигнализатор уровня</t>
        </is>
      </c>
      <c r="C201" s="14" t="inlineStr">
        <is>
          <t>Валком</t>
        </is>
      </c>
      <c r="D201" s="70" t="inlineStr">
        <is>
          <t>8А10726</t>
        </is>
      </c>
      <c r="E201" s="70" t="n">
        <v>2019</v>
      </c>
      <c r="F201" s="70" t="inlineStr">
        <is>
          <t>200 мм</t>
        </is>
      </c>
      <c r="G201" s="93" t="n"/>
      <c r="H201" s="70" t="inlineStr">
        <is>
          <t>БФБГ-2 (верхний)</t>
        </is>
      </c>
      <c r="I201" s="70" t="inlineStr">
        <is>
          <t>КЦ</t>
        </is>
      </c>
      <c r="J201" s="41" t="inlineStr">
        <is>
          <t>АСУ,А и ТМ (КЦ № 7)</t>
        </is>
      </c>
      <c r="K201" s="93" t="n"/>
      <c r="L201" s="93" t="n"/>
      <c r="M201" s="93" t="n"/>
      <c r="N201" s="93" t="n"/>
      <c r="O201" s="86" t="inlineStr">
        <is>
          <t>не является СИ</t>
        </is>
      </c>
    </row>
    <row r="202" ht="22.5" customHeight="1" s="151">
      <c r="A202" s="15">
        <f>IF(B202&lt;&gt;"", COUNTA($B$2:B202), "")</f>
        <v/>
      </c>
      <c r="B202" s="70" t="inlineStr">
        <is>
          <t>Сигнализатор уровня</t>
        </is>
      </c>
      <c r="C202" s="14" t="inlineStr">
        <is>
          <t>Валком</t>
        </is>
      </c>
      <c r="D202" s="70" t="inlineStr">
        <is>
          <t>8А10725</t>
        </is>
      </c>
      <c r="E202" s="70" t="n">
        <v>2019</v>
      </c>
      <c r="F202" s="70" t="inlineStr">
        <is>
          <t>200 мм</t>
        </is>
      </c>
      <c r="G202" s="93" t="n"/>
      <c r="H202" s="70" t="inlineStr">
        <is>
          <t>БФБГ-2 (нижний)</t>
        </is>
      </c>
      <c r="I202" s="70" t="inlineStr">
        <is>
          <t>КЦ</t>
        </is>
      </c>
      <c r="J202" s="41" t="inlineStr">
        <is>
          <t>АСУ,А и ТМ (КЦ № 7)</t>
        </is>
      </c>
      <c r="K202" s="93" t="n"/>
      <c r="L202" s="93" t="n"/>
      <c r="M202" s="93" t="n"/>
      <c r="N202" s="93" t="n"/>
      <c r="O202" s="86" t="inlineStr">
        <is>
          <t>не является СИ</t>
        </is>
      </c>
    </row>
    <row r="203" ht="22.5" customHeight="1" s="151">
      <c r="A203" s="15">
        <f>IF(B203&lt;&gt;"", COUNTA($B$2:B203), "")</f>
        <v/>
      </c>
      <c r="B203" s="70" t="inlineStr">
        <is>
          <t>Сигнализатор уровня</t>
        </is>
      </c>
      <c r="C203" s="14" t="inlineStr">
        <is>
          <t>Валком</t>
        </is>
      </c>
      <c r="D203" s="70" t="inlineStr">
        <is>
          <t>8А10739</t>
        </is>
      </c>
      <c r="E203" s="70" t="n">
        <v>2019</v>
      </c>
      <c r="F203" s="70" t="inlineStr">
        <is>
          <t>200 мм</t>
        </is>
      </c>
      <c r="G203" s="93" t="n"/>
      <c r="H203" s="70" t="inlineStr">
        <is>
          <t>БФТГ-1 (верхний)</t>
        </is>
      </c>
      <c r="I203" s="70" t="inlineStr">
        <is>
          <t>КЦ</t>
        </is>
      </c>
      <c r="J203" s="41" t="inlineStr">
        <is>
          <t>АСУ,А и ТМ (КЦ № 7)</t>
        </is>
      </c>
      <c r="K203" s="93" t="n"/>
      <c r="L203" s="93" t="n"/>
      <c r="M203" s="93" t="n"/>
      <c r="N203" s="93" t="n"/>
      <c r="O203" s="86" t="inlineStr">
        <is>
          <t>не является СИ</t>
        </is>
      </c>
    </row>
    <row r="204" ht="22.5" customHeight="1" s="151">
      <c r="A204" s="15">
        <f>IF(B204&lt;&gt;"", COUNTA($B$2:B204), "")</f>
        <v/>
      </c>
      <c r="B204" s="70" t="inlineStr">
        <is>
          <t>Сигнализатор уровня</t>
        </is>
      </c>
      <c r="C204" s="14" t="inlineStr">
        <is>
          <t>Валком</t>
        </is>
      </c>
      <c r="D204" s="70" t="inlineStr">
        <is>
          <t>8А10734</t>
        </is>
      </c>
      <c r="E204" s="70" t="n">
        <v>2019</v>
      </c>
      <c r="F204" s="70" t="inlineStr">
        <is>
          <t>200 мм</t>
        </is>
      </c>
      <c r="G204" s="93" t="n"/>
      <c r="H204" s="70" t="inlineStr">
        <is>
          <t>БФТГ-1 (нижний)</t>
        </is>
      </c>
      <c r="I204" s="70" t="inlineStr">
        <is>
          <t>КЦ</t>
        </is>
      </c>
      <c r="J204" s="41" t="inlineStr">
        <is>
          <t>АСУ,А и ТМ (КЦ № 7)</t>
        </is>
      </c>
      <c r="K204" s="93" t="n"/>
      <c r="L204" s="93" t="n"/>
      <c r="M204" s="93" t="n"/>
      <c r="N204" s="93" t="n"/>
      <c r="O204" s="86" t="inlineStr">
        <is>
          <t>не является СИ</t>
        </is>
      </c>
    </row>
    <row r="205" ht="22.5" customHeight="1" s="151">
      <c r="A205" s="15">
        <f>IF(B205&lt;&gt;"", COUNTA($B$2:B205), "")</f>
        <v/>
      </c>
      <c r="B205" s="70" t="inlineStr">
        <is>
          <t>Сигнализатор уровня</t>
        </is>
      </c>
      <c r="C205" s="14" t="inlineStr">
        <is>
          <t>Валком</t>
        </is>
      </c>
      <c r="D205" s="70" t="inlineStr">
        <is>
          <t>8А10753</t>
        </is>
      </c>
      <c r="E205" s="70" t="n">
        <v>2019</v>
      </c>
      <c r="F205" s="70" t="inlineStr">
        <is>
          <t>200 мм</t>
        </is>
      </c>
      <c r="G205" s="93" t="n"/>
      <c r="H205" s="70" t="inlineStr">
        <is>
          <t>БФТГ-2 (верхний)</t>
        </is>
      </c>
      <c r="I205" s="70" t="inlineStr">
        <is>
          <t>КЦ</t>
        </is>
      </c>
      <c r="J205" s="41" t="inlineStr">
        <is>
          <t>АСУ,А и ТМ (КЦ № 7)</t>
        </is>
      </c>
      <c r="K205" s="93" t="n"/>
      <c r="L205" s="93" t="n"/>
      <c r="M205" s="93" t="n"/>
      <c r="N205" s="93" t="n"/>
      <c r="O205" s="86" t="inlineStr">
        <is>
          <t>не является СИ</t>
        </is>
      </c>
    </row>
    <row r="206" ht="22.5" customHeight="1" s="151">
      <c r="A206" s="15">
        <f>IF(B206&lt;&gt;"", COUNTA($B$2:B206), "")</f>
        <v/>
      </c>
      <c r="B206" s="70" t="inlineStr">
        <is>
          <t>Сигнализатор уровня</t>
        </is>
      </c>
      <c r="C206" s="14" t="inlineStr">
        <is>
          <t>Валком</t>
        </is>
      </c>
      <c r="D206" s="70" t="inlineStr">
        <is>
          <t>8А10747</t>
        </is>
      </c>
      <c r="E206" s="70" t="n">
        <v>2019</v>
      </c>
      <c r="F206" s="70" t="inlineStr">
        <is>
          <t>200 мм</t>
        </is>
      </c>
      <c r="G206" s="93" t="n"/>
      <c r="H206" s="70" t="inlineStr">
        <is>
          <t>БФТГ-2 (нижний)</t>
        </is>
      </c>
      <c r="I206" s="70" t="inlineStr">
        <is>
          <t>КЦ</t>
        </is>
      </c>
      <c r="J206" s="41" t="inlineStr">
        <is>
          <t>АСУ,А и ТМ (КЦ № 7)</t>
        </is>
      </c>
      <c r="K206" s="93" t="n"/>
      <c r="L206" s="93" t="n"/>
      <c r="M206" s="93" t="n"/>
      <c r="N206" s="93" t="n"/>
      <c r="O206" s="86" t="inlineStr">
        <is>
          <t>не является СИ</t>
        </is>
      </c>
    </row>
    <row r="207" ht="22.5" customHeight="1" s="151">
      <c r="A207" s="15">
        <f>IF(B207&lt;&gt;"", COUNTA($B$2:B207), "")</f>
        <v/>
      </c>
      <c r="B207" s="175" t="inlineStr">
        <is>
          <t>Сигнализатор давления</t>
        </is>
      </c>
      <c r="C207" s="14" t="inlineStr">
        <is>
          <t>Садко 107</t>
        </is>
      </c>
      <c r="D207" s="175" t="n">
        <v>283603</v>
      </c>
      <c r="E207" s="175" t="n">
        <v>2018</v>
      </c>
      <c r="F207" s="175" t="inlineStr">
        <is>
          <t>0,09…0,5 МПа</t>
        </is>
      </c>
      <c r="G207" s="95" t="n"/>
      <c r="H207" s="175" t="inlineStr">
        <is>
          <t>PКПВ КВД (А61)</t>
        </is>
      </c>
      <c r="I207" s="70" t="inlineStr">
        <is>
          <t>КЦ</t>
        </is>
      </c>
      <c r="J207" s="41" t="inlineStr">
        <is>
          <t>АСУ,А и ТМ (КЦ № 7)</t>
        </is>
      </c>
      <c r="K207" s="93" t="n"/>
      <c r="L207" s="93" t="n"/>
      <c r="M207" s="93" t="n"/>
      <c r="N207" s="93" t="n"/>
      <c r="O207" s="72" t="inlineStr">
        <is>
          <t>не является СИ</t>
        </is>
      </c>
    </row>
    <row r="208" ht="22.5" customHeight="1" s="151">
      <c r="A208" s="15">
        <f>IF(B208&lt;&gt;"", COUNTA($B$2:B208), "")</f>
        <v/>
      </c>
      <c r="B208" s="175" t="inlineStr">
        <is>
          <t>Сигнализатор давления</t>
        </is>
      </c>
      <c r="C208" s="14" t="inlineStr">
        <is>
          <t>Садко 107</t>
        </is>
      </c>
      <c r="D208" s="175" t="n">
        <v>290839</v>
      </c>
      <c r="E208" s="175" t="n">
        <v>2019</v>
      </c>
      <c r="F208" s="175" t="inlineStr">
        <is>
          <t>0,04…0,1 МПа</t>
        </is>
      </c>
      <c r="G208" s="95" t="n"/>
      <c r="H208" s="175" t="inlineStr">
        <is>
          <t>Pкпвз (А31)</t>
        </is>
      </c>
      <c r="I208" s="70" t="inlineStr">
        <is>
          <t>КЦ</t>
        </is>
      </c>
      <c r="J208" s="41" t="inlineStr">
        <is>
          <t>АСУ,А и ТМ (КЦ № 7)</t>
        </is>
      </c>
      <c r="K208" s="93" t="n"/>
      <c r="L208" s="93" t="n"/>
      <c r="M208" s="93" t="n"/>
      <c r="N208" s="93" t="n"/>
      <c r="O208" s="72" t="inlineStr">
        <is>
          <t>не является СИ</t>
        </is>
      </c>
    </row>
    <row r="209" ht="22.5" customHeight="1" s="151">
      <c r="A209" s="15">
        <f>IF(B209&lt;&gt;"", COUNTA($B$2:B209), "")</f>
        <v/>
      </c>
      <c r="B209" s="175" t="inlineStr">
        <is>
          <t>Преобразователь давления</t>
        </is>
      </c>
      <c r="C209" s="14" t="inlineStr">
        <is>
          <t>Yokogawa EJA530E</t>
        </is>
      </c>
      <c r="D209" s="175" t="inlineStr">
        <is>
          <t>91U935186</t>
        </is>
      </c>
      <c r="E209" s="175" t="n">
        <v>2018</v>
      </c>
      <c r="F209" s="175" t="inlineStr">
        <is>
          <t>0…0,6 МПа</t>
        </is>
      </c>
      <c r="G209" s="95" t="n"/>
      <c r="H209" s="175" t="inlineStr">
        <is>
          <t>Pквд (A71)</t>
        </is>
      </c>
      <c r="I209" s="70" t="inlineStr">
        <is>
          <t>КЦ</t>
        </is>
      </c>
      <c r="J209" s="41" t="inlineStr">
        <is>
          <t>АСУ,А и ТМ (КЦ № 7)</t>
        </is>
      </c>
      <c r="K209" s="93" t="n"/>
      <c r="L209" s="93" t="n"/>
      <c r="M209" s="93" t="n"/>
      <c r="N209" s="93" t="n"/>
    </row>
    <row r="210" ht="22.5" customHeight="1" s="151">
      <c r="A210" s="15">
        <f>IF(B210&lt;&gt;"", COUNTA($B$2:B210), "")</f>
        <v/>
      </c>
      <c r="B210" s="175" t="inlineStr">
        <is>
          <t>Преобразователь давления</t>
        </is>
      </c>
      <c r="C210" s="14" t="inlineStr">
        <is>
          <t>Yokogawa EJA530E</t>
        </is>
      </c>
      <c r="D210" s="175" t="inlineStr">
        <is>
          <t>91T832902</t>
        </is>
      </c>
      <c r="E210" s="175" t="n">
        <v>2018</v>
      </c>
      <c r="F210" s="175" t="inlineStr">
        <is>
          <t>0…0,16 МПа</t>
        </is>
      </c>
      <c r="G210" s="95" t="n"/>
      <c r="H210" s="175" t="inlineStr">
        <is>
          <t>Pрп квд (A33)</t>
        </is>
      </c>
      <c r="I210" s="70" t="inlineStr">
        <is>
          <t>КЦ</t>
        </is>
      </c>
      <c r="J210" s="41" t="inlineStr">
        <is>
          <t>АСУ,А и ТМ (КЦ № 7)</t>
        </is>
      </c>
      <c r="K210" s="93" t="n"/>
      <c r="L210" s="93" t="n"/>
      <c r="M210" s="93" t="n"/>
      <c r="N210" s="93" t="n"/>
    </row>
    <row r="211" ht="22.5" customHeight="1" s="151">
      <c r="A211" s="15">
        <f>IF(B211&lt;&gt;"", COUNTA($B$2:B211), "")</f>
        <v/>
      </c>
      <c r="B211" s="175" t="inlineStr">
        <is>
          <t>Преобразователь давления</t>
        </is>
      </c>
      <c r="C211" s="14" t="inlineStr">
        <is>
          <t>Yokogawa EJA530E</t>
        </is>
      </c>
      <c r="D211" s="175" t="inlineStr">
        <is>
          <t>91UB38720</t>
        </is>
      </c>
      <c r="E211" s="175" t="n">
        <v>2018</v>
      </c>
      <c r="F211" s="175" t="inlineStr">
        <is>
          <t>0…0,6 МПа</t>
        </is>
      </c>
      <c r="G211" s="95" t="n"/>
      <c r="H211" s="175" t="inlineStr">
        <is>
          <t>P*тнд (A87)</t>
        </is>
      </c>
      <c r="I211" s="70" t="inlineStr">
        <is>
          <t>КЦ</t>
        </is>
      </c>
      <c r="J211" s="41" t="inlineStr">
        <is>
          <t>АСУ,А и ТМ (КЦ № 7)</t>
        </is>
      </c>
      <c r="K211" s="93" t="n"/>
      <c r="L211" s="93" t="n"/>
      <c r="M211" s="93" t="n"/>
      <c r="N211" s="93" t="n"/>
    </row>
    <row r="212" ht="22.5" customHeight="1" s="151">
      <c r="A212" s="15">
        <f>IF(B212&lt;&gt;"", COUNTA($B$2:B212), "")</f>
        <v/>
      </c>
      <c r="B212" s="175" t="inlineStr">
        <is>
          <t>Преобразователь давления</t>
        </is>
      </c>
      <c r="C212" s="14" t="inlineStr">
        <is>
          <t>Yokogawa EJA530E</t>
        </is>
      </c>
      <c r="D212" s="175" t="inlineStr">
        <is>
          <t>91UC19751</t>
        </is>
      </c>
      <c r="E212" s="175" t="n">
        <v>2018</v>
      </c>
      <c r="F212" s="175" t="inlineStr">
        <is>
          <t>0…0,16 МПа</t>
        </is>
      </c>
      <c r="G212" s="95" t="n"/>
      <c r="H212" s="175" t="inlineStr">
        <is>
          <t>P*охл. тнд (A88)</t>
        </is>
      </c>
      <c r="I212" s="70" t="inlineStr">
        <is>
          <t>КЦ</t>
        </is>
      </c>
      <c r="J212" s="41" t="inlineStr">
        <is>
          <t>АСУ,А и ТМ (КЦ № 7)</t>
        </is>
      </c>
      <c r="K212" s="93" t="n"/>
      <c r="L212" s="93" t="n"/>
      <c r="M212" s="93" t="n"/>
      <c r="N212" s="93" t="n"/>
    </row>
    <row r="213" ht="22.5" customHeight="1" s="151">
      <c r="A213" s="15">
        <f>IF(B213&lt;&gt;"", COUNTA($B$2:B213), "")</f>
        <v/>
      </c>
      <c r="B213" s="175" t="inlineStr">
        <is>
          <t>Преобразователь давления</t>
        </is>
      </c>
      <c r="C213" s="14" t="inlineStr">
        <is>
          <t>Yokogawa EJA530E</t>
        </is>
      </c>
      <c r="D213" s="175" t="inlineStr">
        <is>
          <t>91UC19471</t>
        </is>
      </c>
      <c r="E213" s="175" t="n">
        <v>2018</v>
      </c>
      <c r="F213" s="175" t="inlineStr">
        <is>
          <t>0…0,6 МПа</t>
        </is>
      </c>
      <c r="G213" s="95" t="n"/>
      <c r="H213" s="175" t="inlineStr">
        <is>
          <t>P*твд (A39)</t>
        </is>
      </c>
      <c r="I213" s="70" t="inlineStr">
        <is>
          <t>КЦ</t>
        </is>
      </c>
      <c r="J213" s="41" t="inlineStr">
        <is>
          <t>АСУ,А и ТМ (КЦ № 7)</t>
        </is>
      </c>
      <c r="K213" s="93" t="n"/>
      <c r="L213" s="93" t="n"/>
      <c r="M213" s="93" t="n"/>
      <c r="N213" s="93" t="n"/>
    </row>
    <row r="214" ht="22.5" customHeight="1" s="151">
      <c r="A214" s="15">
        <f>IF(B214&lt;&gt;"", COUNTA($B$2:B214), "")</f>
        <v/>
      </c>
      <c r="B214" s="175" t="inlineStr">
        <is>
          <t>Преобразователь давления</t>
        </is>
      </c>
      <c r="C214" s="14" t="inlineStr">
        <is>
          <t>Yokogawa EJA530E</t>
        </is>
      </c>
      <c r="D214" s="175" t="inlineStr">
        <is>
          <t>91UB38717</t>
        </is>
      </c>
      <c r="E214" s="175" t="n">
        <v>2018</v>
      </c>
      <c r="F214" s="175" t="inlineStr">
        <is>
          <t>0…0,6 МПа</t>
        </is>
      </c>
      <c r="G214" s="95" t="n"/>
      <c r="H214" s="175" t="inlineStr">
        <is>
          <t>Pрп ст (A30)</t>
        </is>
      </c>
      <c r="I214" s="70" t="inlineStr">
        <is>
          <t>КЦ</t>
        </is>
      </c>
      <c r="J214" s="41" t="inlineStr">
        <is>
          <t>АСУ,А и ТМ (КЦ № 7)</t>
        </is>
      </c>
      <c r="K214" s="93" t="n"/>
      <c r="L214" s="93" t="n"/>
      <c r="M214" s="93" t="n"/>
      <c r="N214" s="93" t="n"/>
    </row>
    <row r="215" ht="22.5" customHeight="1" s="151">
      <c r="A215" s="15">
        <f>IF(B215&lt;&gt;"", COUNTA($B$2:B215), "")</f>
        <v/>
      </c>
      <c r="B215" s="175" t="inlineStr">
        <is>
          <t>Преобразователь давления</t>
        </is>
      </c>
      <c r="C215" s="14" t="inlineStr">
        <is>
          <t>Yokogawa EJA530E</t>
        </is>
      </c>
      <c r="D215" s="175" t="inlineStr">
        <is>
          <t>91UC19360</t>
        </is>
      </c>
      <c r="E215" s="175" t="n">
        <v>2018</v>
      </c>
      <c r="F215" s="175" t="inlineStr">
        <is>
          <t>0…16 кПа</t>
        </is>
      </c>
      <c r="G215" s="95" t="n"/>
      <c r="H215" s="175" t="inlineStr">
        <is>
          <t>P*ст (A81)</t>
        </is>
      </c>
      <c r="I215" s="70" t="inlineStr">
        <is>
          <t>КЦ</t>
        </is>
      </c>
      <c r="J215" s="41" t="inlineStr">
        <is>
          <t>АСУ,А и ТМ (КЦ № 7)</t>
        </is>
      </c>
      <c r="K215" s="93" t="n"/>
      <c r="L215" s="93" t="n"/>
      <c r="M215" s="93" t="n"/>
      <c r="N215" s="93" t="n"/>
    </row>
    <row r="216" ht="22.5" customHeight="1" s="151">
      <c r="A216" s="15">
        <f>IF(B216&lt;&gt;"", COUNTA($B$2:B216), "")</f>
        <v/>
      </c>
      <c r="B216" s="175" t="inlineStr">
        <is>
          <t>Преобразователь давления</t>
        </is>
      </c>
      <c r="C216" s="14" t="inlineStr">
        <is>
          <t>Yokogawa EJA530E</t>
        </is>
      </c>
      <c r="D216" s="175" t="inlineStr">
        <is>
          <t>91UC19771</t>
        </is>
      </c>
      <c r="E216" s="175" t="n">
        <v>2018</v>
      </c>
      <c r="F216" s="175" t="inlineStr">
        <is>
          <t>0…16 МПа</t>
        </is>
      </c>
      <c r="G216" s="95" t="n"/>
      <c r="H216" s="175" t="inlineStr">
        <is>
          <t>Перепад между атмосферным давлением и полным давлением воздуха на входе КНД</t>
        </is>
      </c>
      <c r="I216" s="70" t="inlineStr">
        <is>
          <t>КЦ</t>
        </is>
      </c>
      <c r="J216" s="41" t="inlineStr">
        <is>
          <t>АСУ,А и ТМ (КЦ № 7)</t>
        </is>
      </c>
      <c r="K216" s="93" t="n"/>
      <c r="L216" s="93" t="n"/>
      <c r="M216" s="93" t="n"/>
      <c r="N216" s="93" t="n"/>
    </row>
    <row r="217" ht="33.75" customHeight="1" s="151">
      <c r="A217" s="15">
        <f>IF(B217&lt;&gt;"", COUNTA($B$2:B217), "")</f>
        <v/>
      </c>
      <c r="B217" s="175" t="inlineStr">
        <is>
          <t>Преобразователь давления</t>
        </is>
      </c>
      <c r="C217" s="14" t="inlineStr">
        <is>
          <t>Yokogawa EJA530E</t>
        </is>
      </c>
      <c r="D217" s="175" t="inlineStr">
        <is>
          <t>91UC16310</t>
        </is>
      </c>
      <c r="E217" s="175" t="n">
        <v>2018</v>
      </c>
      <c r="F217" s="175" t="inlineStr">
        <is>
          <t>0…16 МПа</t>
        </is>
      </c>
      <c r="G217" s="95" t="n"/>
      <c r="H217" s="175" t="inlineStr">
        <is>
          <t>Перепад между атмосферным давлением и статистическим давлением воздуха на входе КНД</t>
        </is>
      </c>
      <c r="I217" s="70" t="inlineStr">
        <is>
          <t>КЦ</t>
        </is>
      </c>
      <c r="J217" s="41" t="inlineStr">
        <is>
          <t>АСУ,А и ТМ (КЦ № 7)</t>
        </is>
      </c>
      <c r="K217" s="93" t="n"/>
      <c r="L217" s="93" t="n"/>
      <c r="M217" s="93" t="n"/>
      <c r="N217" s="93" t="n"/>
    </row>
    <row r="218" ht="22.5" customHeight="1" s="151">
      <c r="A218" s="15">
        <f>IF(B218&lt;&gt;"", COUNTA($B$2:B218), "")</f>
        <v/>
      </c>
      <c r="B218" s="175" t="inlineStr">
        <is>
          <t>Преобразователь давления</t>
        </is>
      </c>
      <c r="C218" s="14" t="inlineStr">
        <is>
          <t>Yokogawa EJA530E</t>
        </is>
      </c>
      <c r="D218" s="175" t="inlineStr">
        <is>
          <t>91UC18507</t>
        </is>
      </c>
      <c r="E218" s="175" t="n">
        <v>2018</v>
      </c>
      <c r="F218" s="175" t="inlineStr">
        <is>
          <t>0…10 МПа</t>
        </is>
      </c>
      <c r="G218" s="95" t="n"/>
      <c r="H218" s="175" t="inlineStr">
        <is>
          <t>Ртг передд ДГ (А72)</t>
        </is>
      </c>
      <c r="I218" s="70" t="inlineStr">
        <is>
          <t>КЦ</t>
        </is>
      </c>
      <c r="J218" s="41" t="inlineStr">
        <is>
          <t>АСУ,А и ТМ (КЦ № 7)</t>
        </is>
      </c>
      <c r="K218" s="93" t="n"/>
      <c r="L218" s="93" t="n"/>
      <c r="M218" s="93" t="n"/>
      <c r="N218" s="93" t="n"/>
    </row>
    <row r="219" ht="22.5" customHeight="1" s="151">
      <c r="A219" s="15">
        <f>IF(B219&lt;&gt;"", COUNTA($B$2:B219), "")</f>
        <v/>
      </c>
      <c r="B219" s="175" t="inlineStr">
        <is>
          <t>Преобразователь давления</t>
        </is>
      </c>
      <c r="C219" s="14" t="inlineStr">
        <is>
          <t>Yokogawa EJA530E</t>
        </is>
      </c>
      <c r="D219" s="175" t="inlineStr">
        <is>
          <t>91UC18508</t>
        </is>
      </c>
      <c r="E219" s="175" t="n">
        <v>2018</v>
      </c>
      <c r="F219" s="175" t="inlineStr">
        <is>
          <t>0…10 МПа</t>
        </is>
      </c>
      <c r="G219" s="95" t="n"/>
      <c r="H219" s="175" t="inlineStr">
        <is>
          <t>Ртг передд СК (А73)</t>
        </is>
      </c>
      <c r="I219" s="70" t="inlineStr">
        <is>
          <t>КЦ</t>
        </is>
      </c>
      <c r="J219" s="41" t="inlineStr">
        <is>
          <t>АСУ,А и ТМ (КЦ № 7)</t>
        </is>
      </c>
      <c r="K219" s="93" t="n"/>
      <c r="L219" s="93" t="n"/>
      <c r="M219" s="93" t="n"/>
      <c r="N219" s="93" t="n"/>
    </row>
    <row r="220" ht="22.5" customHeight="1" s="151">
      <c r="A220" s="15">
        <f>IF(B220&lt;&gt;"", COUNTA($B$2:B220), "")</f>
        <v/>
      </c>
      <c r="B220" s="175" t="inlineStr">
        <is>
          <t>Преобразователь давления</t>
        </is>
      </c>
      <c r="C220" s="14" t="inlineStr">
        <is>
          <t>Yokogawa EJA530E</t>
        </is>
      </c>
      <c r="D220" s="175" t="inlineStr">
        <is>
          <t>91UC19435</t>
        </is>
      </c>
      <c r="E220" s="175" t="n">
        <v>2018</v>
      </c>
      <c r="F220" s="175" t="inlineStr">
        <is>
          <t>0…0,2 МПа</t>
        </is>
      </c>
      <c r="G220" s="95" t="n"/>
      <c r="H220" s="175" t="inlineStr">
        <is>
          <t>Рв полное за КНД (А86)</t>
        </is>
      </c>
      <c r="I220" s="70" t="inlineStr">
        <is>
          <t>КЦ</t>
        </is>
      </c>
      <c r="J220" s="41" t="inlineStr">
        <is>
          <t>АСУ,А и ТМ (КЦ № 7)</t>
        </is>
      </c>
      <c r="K220" s="93" t="n"/>
      <c r="L220" s="93" t="n"/>
      <c r="M220" s="93" t="n"/>
      <c r="N220" s="93" t="n"/>
    </row>
    <row r="221" ht="22.5" customHeight="1" s="151">
      <c r="A221" s="15">
        <f>IF(B221&lt;&gt;"", COUNTA($B$2:B221), "")</f>
        <v/>
      </c>
      <c r="B221" s="175" t="inlineStr">
        <is>
          <t>Преобразователь давления</t>
        </is>
      </c>
      <c r="C221" s="14" t="inlineStr">
        <is>
          <t>Yokogawa EJA530E</t>
        </is>
      </c>
      <c r="D221" s="175" t="inlineStr">
        <is>
          <t>91UC18536</t>
        </is>
      </c>
      <c r="E221" s="175" t="n">
        <v>2018</v>
      </c>
      <c r="F221" s="175" t="inlineStr">
        <is>
          <t>0…2 МПа</t>
        </is>
      </c>
      <c r="G221" s="95" t="n"/>
      <c r="H221" s="175" t="inlineStr">
        <is>
          <t>Рм на входе в двигатель (А40)</t>
        </is>
      </c>
      <c r="I221" s="70" t="inlineStr">
        <is>
          <t>КЦ</t>
        </is>
      </c>
      <c r="J221" s="41" t="inlineStr">
        <is>
          <t>АСУ,А и ТМ (КЦ № 7)</t>
        </is>
      </c>
      <c r="K221" s="93" t="n"/>
      <c r="L221" s="93" t="n"/>
      <c r="M221" s="93" t="n"/>
      <c r="N221" s="93" t="n"/>
    </row>
    <row r="222" ht="22.5" customHeight="1" s="151">
      <c r="A222" s="15">
        <f>IF(B222&lt;&gt;"", COUNTA($B$2:B222), "")</f>
        <v/>
      </c>
      <c r="B222" s="175" t="inlineStr">
        <is>
          <t>Преобразователь давления</t>
        </is>
      </c>
      <c r="C222" s="14" t="inlineStr">
        <is>
          <t>Yokogawa EJA530E</t>
        </is>
      </c>
      <c r="D222" s="175" t="inlineStr">
        <is>
          <t>91UC19513</t>
        </is>
      </c>
      <c r="E222" s="175" t="n">
        <v>2018</v>
      </c>
      <c r="F222" s="175" t="inlineStr">
        <is>
          <t>0…0,2 кПа</t>
        </is>
      </c>
      <c r="G222" s="95" t="n"/>
      <c r="H222" s="175" t="inlineStr">
        <is>
          <t>Давление суфлирования (А43)</t>
        </is>
      </c>
      <c r="I222" s="70" t="inlineStr">
        <is>
          <t>КЦ</t>
        </is>
      </c>
      <c r="J222" s="41" t="inlineStr">
        <is>
          <t>АСУ,А и ТМ (КЦ № 7)</t>
        </is>
      </c>
      <c r="K222" s="93" t="n"/>
      <c r="L222" s="93" t="n"/>
      <c r="M222" s="93" t="n"/>
      <c r="N222" s="93" t="n"/>
    </row>
    <row r="223" ht="22.5" customFormat="1" customHeight="1" s="91">
      <c r="A223" s="15">
        <f>IF(B223&lt;&gt;"", COUNTA($B$2:B223), "")</f>
        <v/>
      </c>
      <c r="B223" s="73" t="inlineStr">
        <is>
          <t>Термометр сопротивления</t>
        </is>
      </c>
      <c r="C223" s="14" t="inlineStr">
        <is>
          <t>ТСП 012.52В</t>
        </is>
      </c>
      <c r="D223" s="89" t="n">
        <v>37</v>
      </c>
      <c r="E223" s="291" t="n">
        <v>43222</v>
      </c>
      <c r="F223" s="17" t="inlineStr">
        <is>
          <t>-60…200 °С
100 мм</t>
        </is>
      </c>
      <c r="G223" s="89" t="n"/>
      <c r="H223" s="175" t="inlineStr">
        <is>
          <t>Тв на выходе из осевого подшипника</t>
        </is>
      </c>
      <c r="I223" s="8" t="n"/>
      <c r="J223" s="41" t="inlineStr">
        <is>
          <t>АСУ,А и ТМ (КЦ № 7)</t>
        </is>
      </c>
      <c r="K223" s="15" t="n"/>
      <c r="L223" s="15" t="n"/>
      <c r="M223" s="3" t="n"/>
      <c r="N223" s="70" t="n"/>
    </row>
    <row r="224" ht="22.5" customFormat="1" customHeight="1" s="91">
      <c r="A224" s="15">
        <f>IF(B224&lt;&gt;"", COUNTA($B$2:B224), "")</f>
        <v/>
      </c>
      <c r="B224" s="74" t="inlineStr">
        <is>
          <t>Термометр сопротивления</t>
        </is>
      </c>
      <c r="C224" s="14" t="inlineStr">
        <is>
          <t>ТСПУ 014.12</t>
        </is>
      </c>
      <c r="D224" s="71" t="n">
        <v>358</v>
      </c>
      <c r="E224" s="29" t="inlineStr">
        <is>
          <t>2018</t>
        </is>
      </c>
      <c r="F224" s="17" t="inlineStr">
        <is>
          <t>-50…150 °С
80 мм</t>
        </is>
      </c>
      <c r="G224" s="92" t="n">
        <v>0.0025</v>
      </c>
      <c r="H224" s="71" t="inlineStr">
        <is>
          <t>Температура воздуха после доохладителя</t>
        </is>
      </c>
      <c r="I224" s="8" t="inlineStr">
        <is>
          <t>БКК 71</t>
        </is>
      </c>
      <c r="J224" s="15" t="inlineStr">
        <is>
          <t>АСУ,А и ТМ (КЦ № 7)</t>
        </is>
      </c>
      <c r="K224" s="15" t="n"/>
      <c r="L224" s="15" t="n"/>
      <c r="M224" s="93" t="n"/>
      <c r="N224" s="70" t="n"/>
    </row>
    <row r="225" ht="33.75" customHeight="1" s="151">
      <c r="A225" s="15">
        <f>IF(B225&lt;&gt;"", COUNTA($B$2:B225), "")</f>
        <v/>
      </c>
      <c r="B225" s="14" t="inlineStr">
        <is>
          <t xml:space="preserve">Газоанализатор оптический стационарный </t>
        </is>
      </c>
      <c r="C225" s="71" t="inlineStr">
        <is>
          <t>ОГС-ПГП/М</t>
        </is>
      </c>
      <c r="D225" s="126" t="n">
        <v>15343</v>
      </c>
      <c r="E225" s="70" t="n">
        <v>2021</v>
      </c>
      <c r="F225" s="3" t="n"/>
      <c r="G225" s="71" t="n"/>
      <c r="H225" s="14" t="inlineStr">
        <is>
          <t>Измерение уровня загазованности</t>
        </is>
      </c>
      <c r="I225" s="15" t="inlineStr">
        <is>
          <t>ГПА 71 (вход КШТ)</t>
        </is>
      </c>
      <c r="J225" s="15" t="inlineStr">
        <is>
          <t>АСУ,А и ТМ (КЦ № 7)</t>
        </is>
      </c>
      <c r="K225" s="15" t="n"/>
      <c r="L225" s="15" t="n">
        <v>60</v>
      </c>
      <c r="M225" s="3" t="n"/>
      <c r="N225" s="70" t="n"/>
    </row>
    <row r="226" ht="33.75" customHeight="1" s="151">
      <c r="A226" s="15">
        <f>IF(B226&lt;&gt;"", COUNTA($B$2:B226), "")</f>
        <v/>
      </c>
      <c r="B226" s="14" t="inlineStr">
        <is>
          <t xml:space="preserve">Газоанализатор оптический стационарный </t>
        </is>
      </c>
      <c r="C226" s="71" t="inlineStr">
        <is>
          <t>ОГС-ПГП/М</t>
        </is>
      </c>
      <c r="D226" s="127" t="n">
        <v>15327</v>
      </c>
      <c r="E226" s="70" t="n">
        <v>2021</v>
      </c>
      <c r="F226" s="3" t="n"/>
      <c r="G226" s="71" t="n"/>
      <c r="H226" s="14" t="inlineStr">
        <is>
          <t>Измерение уровня загазованности</t>
        </is>
      </c>
      <c r="I226" s="15" t="inlineStr">
        <is>
          <t>ГПА 71 (выход КШТ)</t>
        </is>
      </c>
      <c r="J226" s="15" t="inlineStr">
        <is>
          <t>АСУ,А и ТМ (КЦ № 7)</t>
        </is>
      </c>
      <c r="K226" s="15" t="n"/>
      <c r="L226" s="15" t="n">
        <v>61</v>
      </c>
      <c r="M226" s="3" t="n"/>
      <c r="N226" s="70" t="n"/>
    </row>
    <row r="227" ht="33.75" customHeight="1" s="151">
      <c r="A227" s="15">
        <f>IF(B227&lt;&gt;"", COUNTA($B$2:B227), "")</f>
        <v/>
      </c>
      <c r="B227" s="14" t="inlineStr">
        <is>
          <t xml:space="preserve">Газоанализатор оптический стационарный </t>
        </is>
      </c>
      <c r="C227" s="71" t="inlineStr">
        <is>
          <t>ОГС-ПГП/М</t>
        </is>
      </c>
      <c r="D227" s="126" t="n">
        <v>15310</v>
      </c>
      <c r="E227" s="70" t="n">
        <v>2021</v>
      </c>
      <c r="F227" s="3" t="n"/>
      <c r="G227" s="71" t="n"/>
      <c r="H227" s="14" t="inlineStr">
        <is>
          <t>Измерение уровня загазованности</t>
        </is>
      </c>
      <c r="I227" s="8" t="inlineStr">
        <is>
          <t>ГПА 71</t>
        </is>
      </c>
      <c r="J227" s="15" t="inlineStr">
        <is>
          <t>АСУ,А и ТМ (КЦ № 7)</t>
        </is>
      </c>
      <c r="K227" s="15" t="n"/>
      <c r="L227" s="15" t="n">
        <v>62</v>
      </c>
      <c r="M227" s="3" t="n"/>
      <c r="N227" s="70" t="n"/>
    </row>
    <row r="228" ht="33.75" customHeight="1" s="151">
      <c r="A228" s="15">
        <f>IF(B228&lt;&gt;"", COUNTA($B$2:B228), "")</f>
        <v/>
      </c>
      <c r="B228" s="14" t="inlineStr">
        <is>
          <t xml:space="preserve">Газоанализатор оптический стационарный </t>
        </is>
      </c>
      <c r="C228" s="71" t="inlineStr">
        <is>
          <t>ОГС-ПГП/М</t>
        </is>
      </c>
      <c r="D228" s="127" t="n">
        <v>15338</v>
      </c>
      <c r="E228" s="70" t="n">
        <v>2021</v>
      </c>
      <c r="F228" s="3" t="n"/>
      <c r="G228" s="71" t="n"/>
      <c r="H228" s="14" t="inlineStr">
        <is>
          <t>Измерение уровня загазованности</t>
        </is>
      </c>
      <c r="I228" s="8" t="inlineStr">
        <is>
          <t>ГПА 71</t>
        </is>
      </c>
      <c r="J228" s="15" t="inlineStr">
        <is>
          <t>АСУ,А и ТМ (КЦ № 7)</t>
        </is>
      </c>
      <c r="K228" s="15" t="n"/>
      <c r="L228" s="15" t="n">
        <v>63</v>
      </c>
      <c r="M228" s="3" t="n"/>
      <c r="N228" s="70" t="n"/>
    </row>
    <row r="229" ht="33.75" customHeight="1" s="151">
      <c r="A229" s="15">
        <f>IF(B229&lt;&gt;"", COUNTA($B$2:B229), "")</f>
        <v/>
      </c>
      <c r="B229" s="14" t="inlineStr">
        <is>
          <t xml:space="preserve">Газоанализатор оптический стационарный </t>
        </is>
      </c>
      <c r="C229" s="71" t="inlineStr">
        <is>
          <t>ОГС-ПГП/М</t>
        </is>
      </c>
      <c r="D229" s="126" t="n">
        <v>15336</v>
      </c>
      <c r="E229" s="70" t="n">
        <v>2021</v>
      </c>
      <c r="F229" s="3" t="n"/>
      <c r="G229" s="71" t="n"/>
      <c r="H229" s="14" t="inlineStr">
        <is>
          <t>Измерение уровня загазованности</t>
        </is>
      </c>
      <c r="I229" s="8" t="inlineStr">
        <is>
          <t>ГПА 71</t>
        </is>
      </c>
      <c r="J229" s="15" t="inlineStr">
        <is>
          <t>АСУ,А и ТМ (КЦ № 7)</t>
        </is>
      </c>
      <c r="K229" s="15" t="n"/>
      <c r="L229" s="15" t="n">
        <v>64</v>
      </c>
      <c r="M229" s="3" t="n"/>
      <c r="N229" s="70" t="n"/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  <pageSetup orientation="portrait" paperSize="9"/>
</worksheet>
</file>

<file path=xl/worksheets/sheet24.xml><?xml version="1.0" encoding="utf-8"?>
<worksheet xmlns="http://schemas.openxmlformats.org/spreadsheetml/2006/main">
  <sheetPr codeName="Лист23">
    <outlinePr summaryBelow="1" summaryRight="1"/>
    <pageSetUpPr/>
  </sheetPr>
  <dimension ref="A1:P229"/>
  <sheetViews>
    <sheetView topLeftCell="C1" zoomScaleNormal="100" workbookViewId="0">
      <pane ySplit="1" topLeftCell="A2" activePane="bottomLeft" state="frozen"/>
      <selection pane="bottomLeft" activeCell="P208" sqref="P208"/>
    </sheetView>
  </sheetViews>
  <sheetFormatPr baseColWidth="8" defaultRowHeight="15"/>
  <cols>
    <col width="3.5703125" bestFit="1" customWidth="1" style="151" min="1" max="1"/>
    <col width="18" customWidth="1" style="151" min="2" max="2"/>
    <col width="20.85546875" customWidth="1" style="151" min="3" max="3"/>
    <col width="18.140625" customWidth="1" style="151" min="4" max="4"/>
    <col width="6.5703125" customWidth="1" style="151" min="5" max="5"/>
    <col width="12.7109375" customWidth="1" style="151" min="6" max="6"/>
    <col width="7.42578125" customWidth="1" style="151" min="7" max="7"/>
    <col width="31.7109375" customWidth="1" style="151" min="8" max="8"/>
    <col width="14" customWidth="1" style="151" min="9" max="9"/>
    <col width="11.140625" customWidth="1" style="151" min="10" max="10"/>
    <col width="8" customWidth="1" style="151" min="11" max="11"/>
    <col width="9.85546875" customWidth="1" style="151" min="12" max="12"/>
    <col width="8.85546875" customWidth="1" style="151" min="13" max="13"/>
    <col width="9.85546875" customWidth="1" style="151" min="14" max="14"/>
    <col width="13.85546875" customWidth="1" style="275" min="15" max="15"/>
    <col width="14.85546875" customWidth="1" style="151" min="16" max="16"/>
    <col width="9.140625" customWidth="1" style="151" min="17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
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
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  <c r="O1" s="10" t="inlineStr">
        <is>
          <t>Заменён на:</t>
        </is>
      </c>
    </row>
    <row r="2" ht="22.5" customHeight="1" s="151">
      <c r="A2" s="15">
        <f>IF(B2&lt;&gt;"", COUNTA($B$2:B2), "")</f>
        <v/>
      </c>
      <c r="B2" s="280" t="inlineStr">
        <is>
          <t>Манометр технический</t>
        </is>
      </c>
      <c r="C2" s="70" t="inlineStr">
        <is>
          <t>МП4-УУ2</t>
        </is>
      </c>
      <c r="D2" s="70" t="n">
        <v>7000114</v>
      </c>
      <c r="E2" s="70" t="n"/>
      <c r="F2" s="70" t="inlineStr">
        <is>
          <t>0…16 МПа</t>
        </is>
      </c>
      <c r="G2" s="70" t="n">
        <v>1.5</v>
      </c>
      <c r="H2" s="175" t="inlineStr">
        <is>
          <t>P газа на выходе нагнетателя</t>
        </is>
      </c>
      <c r="I2" s="8" t="inlineStr">
        <is>
          <t>ГПА 72</t>
        </is>
      </c>
      <c r="J2" s="15" t="inlineStr">
        <is>
          <t>АСУ,А и ТМ (КЦ № 7)</t>
        </is>
      </c>
      <c r="K2" s="15" t="n"/>
      <c r="L2" s="15" t="n">
        <v>12</v>
      </c>
      <c r="M2" s="3" t="inlineStr">
        <is>
          <t>2К26</t>
        </is>
      </c>
      <c r="N2" s="70" t="inlineStr">
        <is>
          <t>К</t>
        </is>
      </c>
      <c r="O2" s="270" t="n"/>
    </row>
    <row r="3" ht="22.5" customHeight="1" s="151">
      <c r="A3" s="15">
        <f>IF(B3&lt;&gt;"", COUNTA($B$2:B3), "")</f>
        <v/>
      </c>
      <c r="B3" s="280" t="inlineStr">
        <is>
          <t>Манометр технический</t>
        </is>
      </c>
      <c r="C3" s="70" t="inlineStr">
        <is>
          <t>МП4-УУХЛ1</t>
        </is>
      </c>
      <c r="D3" s="70" t="n">
        <v>700080</v>
      </c>
      <c r="E3" s="70" t="n"/>
      <c r="F3" s="70" t="inlineStr">
        <is>
          <t>0…6 МПа</t>
        </is>
      </c>
      <c r="G3" s="70" t="n">
        <v>1</v>
      </c>
      <c r="H3" s="175" t="inlineStr">
        <is>
          <t>P т.г. после РД5101</t>
        </is>
      </c>
      <c r="I3" s="8" t="inlineStr">
        <is>
          <t>ГПА 72</t>
        </is>
      </c>
      <c r="J3" s="15" t="inlineStr">
        <is>
          <t>АСУ,А и ТМ (КЦ № 7)</t>
        </is>
      </c>
      <c r="K3" s="15" t="n"/>
      <c r="L3" s="15" t="n">
        <v>12</v>
      </c>
      <c r="M3" s="3" t="inlineStr">
        <is>
          <t>2К26</t>
        </is>
      </c>
      <c r="N3" s="70" t="inlineStr">
        <is>
          <t>К</t>
        </is>
      </c>
      <c r="O3" s="270" t="n"/>
    </row>
    <row r="4" ht="22.5" customHeight="1" s="151">
      <c r="A4" s="15">
        <f>IF(B4&lt;&gt;"", COUNTA($B$2:B4), "")</f>
        <v/>
      </c>
      <c r="B4" s="280" t="inlineStr">
        <is>
          <t>Манометр технический</t>
        </is>
      </c>
      <c r="C4" s="70" t="inlineStr">
        <is>
          <t>МП4-УУ2</t>
        </is>
      </c>
      <c r="D4" s="71" t="n">
        <v>600589</v>
      </c>
      <c r="E4" s="70" t="n"/>
      <c r="F4" s="26" t="inlineStr">
        <is>
          <t>0…60 кгс/см2</t>
        </is>
      </c>
      <c r="G4" s="70" t="n">
        <v>1.5</v>
      </c>
      <c r="H4" s="175" t="inlineStr">
        <is>
          <t>P т.г. после РД5102</t>
        </is>
      </c>
      <c r="I4" s="8" t="inlineStr">
        <is>
          <t>ГПА 72</t>
        </is>
      </c>
      <c r="J4" s="15" t="inlineStr">
        <is>
          <t>АСУ,А и ТМ (КЦ № 7)</t>
        </is>
      </c>
      <c r="K4" s="15" t="n"/>
      <c r="L4" s="15" t="n">
        <v>12</v>
      </c>
      <c r="M4" s="3" t="inlineStr">
        <is>
          <t>2К26</t>
        </is>
      </c>
      <c r="N4" s="70" t="inlineStr">
        <is>
          <t>К</t>
        </is>
      </c>
      <c r="O4" s="270" t="n"/>
    </row>
    <row r="5" ht="22.5" customHeight="1" s="151">
      <c r="A5" s="15">
        <f>IF(B5&lt;&gt;"", COUNTA($B$2:B5), "")</f>
        <v/>
      </c>
      <c r="B5" s="280" t="inlineStr">
        <is>
          <t>Манометр технический</t>
        </is>
      </c>
      <c r="C5" s="70" t="inlineStr">
        <is>
          <t>МП4-УУХЛ1</t>
        </is>
      </c>
      <c r="D5" s="32" t="inlineStr">
        <is>
          <t>700095</t>
        </is>
      </c>
      <c r="E5" s="70" t="n"/>
      <c r="F5" s="70" t="inlineStr">
        <is>
          <t>0…10 МПа</t>
        </is>
      </c>
      <c r="G5" s="70" t="n">
        <v>1</v>
      </c>
      <c r="H5" s="175" t="inlineStr">
        <is>
          <t>P т.г. после фильтра-сепаратора</t>
        </is>
      </c>
      <c r="I5" s="8" t="inlineStr">
        <is>
          <t>ГПА 72</t>
        </is>
      </c>
      <c r="J5" s="15" t="inlineStr">
        <is>
          <t>АСУ,А и ТМ (КЦ № 7)</t>
        </is>
      </c>
      <c r="K5" s="15" t="n"/>
      <c r="L5" s="15" t="n">
        <v>12</v>
      </c>
      <c r="M5" s="3" t="inlineStr">
        <is>
          <t>2К26</t>
        </is>
      </c>
      <c r="N5" s="70" t="inlineStr">
        <is>
          <t>К</t>
        </is>
      </c>
      <c r="O5" s="270" t="n"/>
    </row>
    <row r="6" ht="22.5" customHeight="1" s="151">
      <c r="A6" s="15">
        <f>IF(B6&lt;&gt;"", COUNTA($B$2:B6), "")</f>
        <v/>
      </c>
      <c r="B6" s="280" t="inlineStr">
        <is>
          <t>Манометр технический</t>
        </is>
      </c>
      <c r="C6" s="70" t="inlineStr">
        <is>
          <t>МП4-УУ2</t>
        </is>
      </c>
      <c r="D6" s="32" t="inlineStr">
        <is>
          <t>15656</t>
        </is>
      </c>
      <c r="E6" s="70" t="n"/>
      <c r="F6" s="70" t="inlineStr">
        <is>
          <t>0…160 кПа</t>
        </is>
      </c>
      <c r="G6" s="70" t="n">
        <v>1.5</v>
      </c>
      <c r="H6" s="175" t="inlineStr">
        <is>
          <t>P з.в. после РД5303</t>
        </is>
      </c>
      <c r="I6" s="8" t="inlineStr">
        <is>
          <t>ГПА 72</t>
        </is>
      </c>
      <c r="J6" s="15" t="inlineStr">
        <is>
          <t>АСУ,А и ТМ (КЦ № 7)</t>
        </is>
      </c>
      <c r="K6" s="15" t="n"/>
      <c r="L6" s="15" t="n">
        <v>12</v>
      </c>
      <c r="M6" s="3" t="inlineStr">
        <is>
          <t>2К26</t>
        </is>
      </c>
      <c r="N6" s="70" t="inlineStr">
        <is>
          <t>К</t>
        </is>
      </c>
      <c r="O6" s="270" t="n"/>
    </row>
    <row r="7" ht="22.5" customHeight="1" s="151">
      <c r="A7" s="15">
        <f>IF(B7&lt;&gt;"", COUNTA($B$2:B7), "")</f>
        <v/>
      </c>
      <c r="B7" s="280" t="inlineStr">
        <is>
          <t>Манометр технический</t>
        </is>
      </c>
      <c r="C7" s="70" t="inlineStr">
        <is>
          <t>МП4-УУХЛ1</t>
        </is>
      </c>
      <c r="D7" s="32" t="inlineStr">
        <is>
          <t>700090</t>
        </is>
      </c>
      <c r="E7" s="70" t="n"/>
      <c r="F7" s="70" t="inlineStr">
        <is>
          <t>0…100 кПа</t>
        </is>
      </c>
      <c r="G7" s="70" t="n">
        <v>1</v>
      </c>
      <c r="H7" s="175" t="inlineStr">
        <is>
          <t>P з.в. после ФВ-100</t>
        </is>
      </c>
      <c r="I7" s="8" t="inlineStr">
        <is>
          <t>ГПА 72</t>
        </is>
      </c>
      <c r="J7" s="15" t="inlineStr">
        <is>
          <t>АСУ,А и ТМ (КЦ № 7)</t>
        </is>
      </c>
      <c r="K7" s="15" t="n"/>
      <c r="L7" s="15" t="n">
        <v>12</v>
      </c>
      <c r="M7" s="3" t="inlineStr">
        <is>
          <t>2К26</t>
        </is>
      </c>
      <c r="N7" s="70" t="inlineStr">
        <is>
          <t>К</t>
        </is>
      </c>
      <c r="O7" s="270" t="n"/>
    </row>
    <row r="8" ht="22.5" customHeight="1" s="151">
      <c r="A8" s="15">
        <f>IF(B8&lt;&gt;"", COUNTA($B$2:B8), "")</f>
        <v/>
      </c>
      <c r="B8" s="280" t="inlineStr">
        <is>
          <t>Манометр технический</t>
        </is>
      </c>
      <c r="C8" s="70" t="inlineStr">
        <is>
          <t>МП4-УУХЛ1</t>
        </is>
      </c>
      <c r="D8" s="70" t="n">
        <v>7000190</v>
      </c>
      <c r="E8" s="70" t="n"/>
      <c r="F8" s="70" t="inlineStr">
        <is>
          <t>0…160 кПа</t>
        </is>
      </c>
      <c r="G8" s="70" t="n">
        <v>1</v>
      </c>
      <c r="H8" s="175" t="inlineStr">
        <is>
          <t>P з.в. после РД5301</t>
        </is>
      </c>
      <c r="I8" s="8" t="inlineStr">
        <is>
          <t>ГПА 72</t>
        </is>
      </c>
      <c r="J8" s="15" t="inlineStr">
        <is>
          <t>АСУ,А и ТМ (КЦ № 7)</t>
        </is>
      </c>
      <c r="K8" s="15" t="n"/>
      <c r="L8" s="15" t="n">
        <v>12</v>
      </c>
      <c r="M8" s="3" t="inlineStr">
        <is>
          <t>2К26</t>
        </is>
      </c>
      <c r="N8" s="70" t="inlineStr">
        <is>
          <t>К</t>
        </is>
      </c>
      <c r="O8" s="270" t="n"/>
    </row>
    <row r="9" ht="22.5" customHeight="1" s="151">
      <c r="A9" s="15">
        <f>IF(B9&lt;&gt;"", COUNTA($B$2:B9), "")</f>
        <v/>
      </c>
      <c r="B9" s="280" t="inlineStr">
        <is>
          <t>Манометр технический</t>
        </is>
      </c>
      <c r="C9" s="70" t="inlineStr">
        <is>
          <t>МП4-УУХЛ1</t>
        </is>
      </c>
      <c r="D9" s="71" t="n">
        <v>15392</v>
      </c>
      <c r="E9" s="14" t="n"/>
      <c r="F9" s="26" t="inlineStr">
        <is>
          <t>0…160 кгс/см2</t>
        </is>
      </c>
      <c r="G9" s="70" t="n">
        <v>1</v>
      </c>
      <c r="H9" s="175" t="inlineStr">
        <is>
          <t>P б.г. в фильтре-сепараторе</t>
        </is>
      </c>
      <c r="I9" s="8" t="inlineStr">
        <is>
          <t>ГПА 72</t>
        </is>
      </c>
      <c r="J9" s="15" t="inlineStr">
        <is>
          <t>АСУ,А и ТМ (КЦ № 7)</t>
        </is>
      </c>
      <c r="K9" s="15" t="n"/>
      <c r="L9" s="15" t="n">
        <v>12</v>
      </c>
      <c r="M9" s="3" t="inlineStr">
        <is>
          <t>26ДЯУ</t>
        </is>
      </c>
      <c r="N9" s="70" t="inlineStr">
        <is>
          <t>П</t>
        </is>
      </c>
      <c r="O9" s="270" t="n"/>
    </row>
    <row r="10" ht="22.5" customHeight="1" s="151">
      <c r="A10" s="15">
        <f>IF(B10&lt;&gt;"", COUNTA($B$2:B10), "")</f>
        <v/>
      </c>
      <c r="B10" s="280" t="inlineStr">
        <is>
          <t>Манометр технический</t>
        </is>
      </c>
      <c r="C10" s="14" t="inlineStr">
        <is>
          <t>EN 837-1</t>
        </is>
      </c>
      <c r="D10" s="14" t="inlineStr">
        <is>
          <t>860008B5</t>
        </is>
      </c>
      <c r="E10" s="15" t="n"/>
      <c r="F10" s="26" t="inlineStr">
        <is>
          <t>0…160 кгс/см2</t>
        </is>
      </c>
      <c r="G10" s="70" t="n">
        <v>1</v>
      </c>
      <c r="H10" s="175" t="inlineStr">
        <is>
          <t>P б.г. после фильтра PI1</t>
        </is>
      </c>
      <c r="I10" s="8" t="inlineStr">
        <is>
          <t>ГПА 72</t>
        </is>
      </c>
      <c r="J10" s="15" t="inlineStr">
        <is>
          <t>АСУ,А и ТМ (КЦ № 7)</t>
        </is>
      </c>
      <c r="K10" s="15" t="n"/>
      <c r="L10" s="15" t="n">
        <v>12</v>
      </c>
      <c r="M10" s="3" t="inlineStr">
        <is>
          <t>2К26</t>
        </is>
      </c>
      <c r="N10" s="70" t="inlineStr">
        <is>
          <t>К</t>
        </is>
      </c>
      <c r="O10" s="270" t="n"/>
    </row>
    <row r="11" ht="22.5" customHeight="1" s="151">
      <c r="A11" s="15">
        <f>IF(B11&lt;&gt;"", COUNTA($B$2:B11), "")</f>
        <v/>
      </c>
      <c r="B11" s="280" t="inlineStr">
        <is>
          <t>Манометр технический</t>
        </is>
      </c>
      <c r="C11" s="14" t="inlineStr">
        <is>
          <t>EN 837-1</t>
        </is>
      </c>
      <c r="D11" s="14" t="inlineStr">
        <is>
          <t>860008BE</t>
        </is>
      </c>
      <c r="E11" s="15" t="n"/>
      <c r="F11" s="26" t="inlineStr">
        <is>
          <t>0…160 кгс/см2</t>
        </is>
      </c>
      <c r="G11" s="70" t="n">
        <v>1</v>
      </c>
      <c r="H11" s="175" t="inlineStr">
        <is>
          <t>P б.г. после фильтра PI2</t>
        </is>
      </c>
      <c r="I11" s="8" t="inlineStr">
        <is>
          <t>ГПА 72</t>
        </is>
      </c>
      <c r="J11" s="15" t="inlineStr">
        <is>
          <t>АСУ,А и ТМ (КЦ № 7)</t>
        </is>
      </c>
      <c r="K11" s="15" t="n"/>
      <c r="L11" s="15" t="n">
        <v>12</v>
      </c>
      <c r="M11" s="3" t="inlineStr">
        <is>
          <t>2К26</t>
        </is>
      </c>
      <c r="N11" s="70" t="inlineStr">
        <is>
          <t>К</t>
        </is>
      </c>
      <c r="O11" s="270" t="n"/>
    </row>
    <row r="12" ht="22.5" customHeight="1" s="151">
      <c r="A12" s="15">
        <f>IF(B12&lt;&gt;"", COUNTA($B$2:B12), "")</f>
        <v/>
      </c>
      <c r="B12" s="280" t="inlineStr">
        <is>
          <t>Манометр технический</t>
        </is>
      </c>
      <c r="C12" s="14" t="inlineStr">
        <is>
          <t>EN 837-1</t>
        </is>
      </c>
      <c r="D12" s="14" t="inlineStr">
        <is>
          <t>860008BF</t>
        </is>
      </c>
      <c r="E12" s="15" t="n"/>
      <c r="F12" s="26" t="inlineStr">
        <is>
          <t>0…160 кгс/см2</t>
        </is>
      </c>
      <c r="G12" s="70" t="n">
        <v>1</v>
      </c>
      <c r="H12" s="175" t="inlineStr">
        <is>
          <t>P б.г. после фильтра PI3</t>
        </is>
      </c>
      <c r="I12" s="8" t="inlineStr">
        <is>
          <t>ГПА 72</t>
        </is>
      </c>
      <c r="J12" s="15" t="inlineStr">
        <is>
          <t>АСУ,А и ТМ (КЦ № 7)</t>
        </is>
      </c>
      <c r="K12" s="15" t="n"/>
      <c r="L12" s="15" t="n">
        <v>12</v>
      </c>
      <c r="M12" s="3" t="inlineStr">
        <is>
          <t>2К26</t>
        </is>
      </c>
      <c r="N12" s="70" t="inlineStr">
        <is>
          <t>К</t>
        </is>
      </c>
      <c r="O12" s="270" t="n"/>
    </row>
    <row r="13" ht="22.5" customHeight="1" s="151">
      <c r="A13" s="15">
        <f>IF(B13&lt;&gt;"", COUNTA($B$2:B13), "")</f>
        <v/>
      </c>
      <c r="B13" s="280" t="inlineStr">
        <is>
          <t>Манометр технический</t>
        </is>
      </c>
      <c r="C13" s="14" t="inlineStr">
        <is>
          <t>EN 837-1</t>
        </is>
      </c>
      <c r="D13" s="14" t="inlineStr">
        <is>
          <t>860008BH</t>
        </is>
      </c>
      <c r="E13" s="15" t="n"/>
      <c r="F13" s="26" t="inlineStr">
        <is>
          <t>0…160 кгс/см2</t>
        </is>
      </c>
      <c r="G13" s="70" t="n">
        <v>1</v>
      </c>
      <c r="H13" s="175" t="inlineStr">
        <is>
          <t>P б.г. после фильтра PI4</t>
        </is>
      </c>
      <c r="I13" s="8" t="inlineStr">
        <is>
          <t>ГПА 72</t>
        </is>
      </c>
      <c r="J13" s="15" t="inlineStr">
        <is>
          <t>АСУ,А и ТМ (КЦ № 7)</t>
        </is>
      </c>
      <c r="K13" s="15" t="n"/>
      <c r="L13" s="15" t="n">
        <v>12</v>
      </c>
      <c r="M13" s="3" t="inlineStr">
        <is>
          <t>2К26</t>
        </is>
      </c>
      <c r="N13" s="70" t="inlineStr">
        <is>
          <t>К</t>
        </is>
      </c>
      <c r="O13" s="270" t="n"/>
    </row>
    <row r="14" ht="22.5" customHeight="1" s="151">
      <c r="A14" s="15">
        <f>IF(B14&lt;&gt;"", COUNTA($B$2:B14), "")</f>
        <v/>
      </c>
      <c r="B14" s="280" t="inlineStr">
        <is>
          <t>Манометр технический</t>
        </is>
      </c>
      <c r="C14" s="70" t="inlineStr">
        <is>
          <t>МП4-УУ2</t>
        </is>
      </c>
      <c r="D14" s="17" t="inlineStr">
        <is>
          <t>7000125</t>
        </is>
      </c>
      <c r="E14" s="15" t="n"/>
      <c r="F14" s="70" t="inlineStr">
        <is>
          <t>0…16 МПа</t>
        </is>
      </c>
      <c r="G14" s="70" t="n">
        <v>1.5</v>
      </c>
      <c r="H14" s="175" t="inlineStr">
        <is>
          <t>P газа на входе в нагнетатель</t>
        </is>
      </c>
      <c r="I14" s="8" t="inlineStr">
        <is>
          <t>ГПА 72</t>
        </is>
      </c>
      <c r="J14" s="15" t="inlineStr">
        <is>
          <t>АСУ,А и ТМ (КЦ № 7)</t>
        </is>
      </c>
      <c r="K14" s="15" t="n"/>
      <c r="L14" s="15" t="n">
        <v>12</v>
      </c>
      <c r="M14" s="3" t="inlineStr">
        <is>
          <t>2К26</t>
        </is>
      </c>
      <c r="N14" s="70" t="inlineStr">
        <is>
          <t>К</t>
        </is>
      </c>
      <c r="O14" s="270" t="n"/>
    </row>
    <row r="15" ht="22.5" customHeight="1" s="151">
      <c r="A15" s="15">
        <f>IF(B15&lt;&gt;"", COUNTA($B$2:B15), "")</f>
        <v/>
      </c>
      <c r="B15" s="280" t="inlineStr">
        <is>
          <t>Манометр технический</t>
        </is>
      </c>
      <c r="C15" s="70" t="inlineStr">
        <is>
          <t>МП4-УУХЛ1</t>
        </is>
      </c>
      <c r="D15" s="16" t="inlineStr">
        <is>
          <t>1873023</t>
        </is>
      </c>
      <c r="E15" s="15" t="n">
        <v>2018</v>
      </c>
      <c r="F15" s="70" t="inlineStr">
        <is>
          <t>0…10 МПа</t>
        </is>
      </c>
      <c r="G15" s="71" t="n">
        <v>1</v>
      </c>
      <c r="H15" s="175" t="inlineStr">
        <is>
          <t>P т.г. в фильтре ФГ-80 №2-2</t>
        </is>
      </c>
      <c r="I15" s="8" t="inlineStr">
        <is>
          <t>ГПА 72</t>
        </is>
      </c>
      <c r="J15" s="15" t="inlineStr">
        <is>
          <t>АСУ,А и ТМ (КЦ № 7)</t>
        </is>
      </c>
      <c r="K15" s="15" t="n"/>
      <c r="L15" s="15" t="n">
        <v>12</v>
      </c>
      <c r="M15" s="3" t="inlineStr">
        <is>
          <t>26ДЯУ</t>
        </is>
      </c>
      <c r="N15" s="70" t="inlineStr">
        <is>
          <t>П</t>
        </is>
      </c>
      <c r="O15" s="270" t="n"/>
    </row>
    <row r="16" ht="22.5" customHeight="1" s="151">
      <c r="A16" s="15">
        <f>IF(B16&lt;&gt;"", COUNTA($B$2:B16), "")</f>
        <v/>
      </c>
      <c r="B16" s="280" t="inlineStr">
        <is>
          <t>Манометр технический</t>
        </is>
      </c>
      <c r="C16" s="70" t="inlineStr">
        <is>
          <t>МП4-УУ2</t>
        </is>
      </c>
      <c r="D16" s="16" t="inlineStr">
        <is>
          <t>15237</t>
        </is>
      </c>
      <c r="E16" s="15" t="n"/>
      <c r="F16" s="26" t="inlineStr">
        <is>
          <t>0…100 кгс/см2</t>
        </is>
      </c>
      <c r="G16" s="71" t="n">
        <v>1</v>
      </c>
      <c r="H16" s="175" t="inlineStr">
        <is>
          <t>P т.г. в фильтре ФГ-80 №2-1</t>
        </is>
      </c>
      <c r="I16" s="8" t="inlineStr">
        <is>
          <t>ГПА 72</t>
        </is>
      </c>
      <c r="J16" s="15" t="inlineStr">
        <is>
          <t>АСУ,А и ТМ (КЦ № 7)</t>
        </is>
      </c>
      <c r="K16" s="15" t="n"/>
      <c r="L16" s="15" t="n">
        <v>12</v>
      </c>
      <c r="M16" s="3" t="inlineStr">
        <is>
          <t>26ДЯУ</t>
        </is>
      </c>
      <c r="N16" s="70" t="inlineStr">
        <is>
          <t>П</t>
        </is>
      </c>
      <c r="O16" s="270" t="n"/>
    </row>
    <row r="17" ht="22.5" customHeight="1" s="151">
      <c r="A17" s="15">
        <f>IF(B17&lt;&gt;"", COUNTA($B$2:B17), "")</f>
        <v/>
      </c>
      <c r="B17" s="280" t="inlineStr">
        <is>
          <t>Манометр технический</t>
        </is>
      </c>
      <c r="C17" s="70" t="inlineStr">
        <is>
          <t>МП4-УУ2</t>
        </is>
      </c>
      <c r="D17" s="17" t="inlineStr">
        <is>
          <t>15662</t>
        </is>
      </c>
      <c r="E17" s="15" t="n"/>
      <c r="F17" s="70" t="inlineStr">
        <is>
          <t>0…160 кПа</t>
        </is>
      </c>
      <c r="G17" s="70" t="n">
        <v>1.5</v>
      </c>
      <c r="H17" s="175" t="inlineStr">
        <is>
          <t>Pм для настройки перепускного  клапана</t>
        </is>
      </c>
      <c r="I17" s="8" t="inlineStr">
        <is>
          <t>ГПА 72</t>
        </is>
      </c>
      <c r="J17" s="15" t="inlineStr">
        <is>
          <t>АСУ,А и ТМ (КЦ № 7)</t>
        </is>
      </c>
      <c r="K17" s="15" t="n"/>
      <c r="L17" s="15" t="n">
        <v>12</v>
      </c>
      <c r="M17" s="3" t="inlineStr">
        <is>
          <t>2К26</t>
        </is>
      </c>
      <c r="N17" s="70" t="inlineStr">
        <is>
          <t>К</t>
        </is>
      </c>
      <c r="O17" s="270" t="n"/>
    </row>
    <row r="18" ht="22.5" customHeight="1" s="151">
      <c r="A18" s="15">
        <f>IF(B18&lt;&gt;"", COUNTA($B$2:B18), "")</f>
        <v/>
      </c>
      <c r="B18" s="280" t="inlineStr">
        <is>
          <t>Манометр технический</t>
        </is>
      </c>
      <c r="C18" s="70" t="inlineStr">
        <is>
          <t>МП4-УУХЛ1</t>
        </is>
      </c>
      <c r="D18" s="17" t="inlineStr">
        <is>
          <t>700077</t>
        </is>
      </c>
      <c r="E18" s="15" t="n"/>
      <c r="F18" s="70" t="inlineStr">
        <is>
          <t>0…160 кПа</t>
        </is>
      </c>
      <c r="G18" s="71" t="n">
        <v>1</v>
      </c>
      <c r="H18" s="175" t="inlineStr">
        <is>
          <t>P м на входе в фильтры БВМФ 6002</t>
        </is>
      </c>
      <c r="I18" s="8" t="inlineStr">
        <is>
          <t>ГПА 72</t>
        </is>
      </c>
      <c r="J18" s="15" t="inlineStr">
        <is>
          <t>АСУ,А и ТМ (КЦ № 7)</t>
        </is>
      </c>
      <c r="K18" s="15" t="n"/>
      <c r="L18" s="15" t="n">
        <v>12</v>
      </c>
      <c r="M18" s="3" t="inlineStr">
        <is>
          <t>2К26</t>
        </is>
      </c>
      <c r="N18" s="70" t="inlineStr">
        <is>
          <t>К</t>
        </is>
      </c>
      <c r="O18" s="270" t="n"/>
    </row>
    <row r="19" ht="22.5" customHeight="1" s="151">
      <c r="A19" s="15">
        <f>IF(B19&lt;&gt;"", COUNTA($B$2:B19), "")</f>
        <v/>
      </c>
      <c r="B19" s="280" t="inlineStr">
        <is>
          <t>Манометр технический</t>
        </is>
      </c>
      <c r="C19" s="70" t="inlineStr">
        <is>
          <t>МП4-УУ2</t>
        </is>
      </c>
      <c r="D19" s="17" t="inlineStr">
        <is>
          <t>15114</t>
        </is>
      </c>
      <c r="E19" s="15" t="n"/>
      <c r="F19" s="26" t="inlineStr">
        <is>
          <t>0…16 кгс/см2</t>
        </is>
      </c>
      <c r="G19" s="71" t="n">
        <v>1.5</v>
      </c>
      <c r="H19" s="175" t="inlineStr">
        <is>
          <t>P м на входе в фильтры БВМФ 6001</t>
        </is>
      </c>
      <c r="I19" s="8" t="inlineStr">
        <is>
          <t>ГПА 72</t>
        </is>
      </c>
      <c r="J19" s="15" t="inlineStr">
        <is>
          <t>АСУ,А и ТМ (КЦ № 7)</t>
        </is>
      </c>
      <c r="K19" s="15" t="n"/>
      <c r="L19" s="15" t="n">
        <v>12</v>
      </c>
      <c r="M19" s="3" t="inlineStr">
        <is>
          <t>2К26</t>
        </is>
      </c>
      <c r="N19" s="70" t="inlineStr">
        <is>
          <t>К</t>
        </is>
      </c>
      <c r="O19" s="270" t="n"/>
    </row>
    <row r="20" ht="22.5" customHeight="1" s="151">
      <c r="A20" s="15">
        <f>IF(B20&lt;&gt;"", COUNTA($B$2:B20), "")</f>
        <v/>
      </c>
      <c r="B20" s="280" t="inlineStr">
        <is>
          <t>Манометр технический</t>
        </is>
      </c>
      <c r="C20" s="70" t="inlineStr">
        <is>
          <t>МП4-УУ2</t>
        </is>
      </c>
      <c r="D20" s="3" t="inlineStr">
        <is>
          <t>15295</t>
        </is>
      </c>
      <c r="E20" s="15" t="n"/>
      <c r="F20" s="26" t="inlineStr">
        <is>
          <t>0…16 кгс/см2</t>
        </is>
      </c>
      <c r="G20" s="71" t="n">
        <v>1.5</v>
      </c>
      <c r="H20" s="175" t="inlineStr">
        <is>
          <t>P м на выходе из фильтров БВМФ 6001</t>
        </is>
      </c>
      <c r="I20" s="8" t="inlineStr">
        <is>
          <t>ГПА 72</t>
        </is>
      </c>
      <c r="J20" s="15" t="inlineStr">
        <is>
          <t>АСУ,А и ТМ (КЦ № 7)</t>
        </is>
      </c>
      <c r="K20" s="15" t="n"/>
      <c r="L20" s="15" t="n">
        <v>12</v>
      </c>
      <c r="M20" s="3" t="inlineStr">
        <is>
          <t>2К26</t>
        </is>
      </c>
      <c r="N20" s="70" t="inlineStr">
        <is>
          <t>К</t>
        </is>
      </c>
      <c r="O20" s="270" t="n"/>
    </row>
    <row r="21" ht="22.5" customHeight="1" s="151">
      <c r="A21" s="15">
        <f>IF(B21&lt;&gt;"", COUNTA($B$2:B21), "")</f>
        <v/>
      </c>
      <c r="B21" s="280" t="inlineStr">
        <is>
          <t>Манометр технический</t>
        </is>
      </c>
      <c r="C21" s="70" t="inlineStr">
        <is>
          <t>МП4-УФБСУХЛ1</t>
        </is>
      </c>
      <c r="D21" s="3" t="inlineStr">
        <is>
          <t>А0810248</t>
        </is>
      </c>
      <c r="E21" s="15" t="n"/>
      <c r="F21" s="70" t="inlineStr">
        <is>
          <t>0…100 кПа</t>
        </is>
      </c>
      <c r="G21" s="71" t="n">
        <v>1</v>
      </c>
      <c r="H21" s="175" t="inlineStr">
        <is>
          <t>P м суфлирования полостей двигателя</t>
        </is>
      </c>
      <c r="I21" s="8" t="inlineStr">
        <is>
          <t>ГПА 72</t>
        </is>
      </c>
      <c r="J21" s="15" t="inlineStr">
        <is>
          <t>АСУ,А и ТМ (КЦ № 7)</t>
        </is>
      </c>
      <c r="K21" s="15" t="n"/>
      <c r="L21" s="15" t="n">
        <v>12</v>
      </c>
      <c r="M21" s="3" t="inlineStr">
        <is>
          <t>2К26</t>
        </is>
      </c>
      <c r="N21" s="70" t="inlineStr">
        <is>
          <t>К</t>
        </is>
      </c>
      <c r="O21" s="270" t="n"/>
    </row>
    <row r="22" ht="22.5" customHeight="1" s="151">
      <c r="A22" s="15">
        <f>IF(B22&lt;&gt;"", COUNTA($B$2:B22), "")</f>
        <v/>
      </c>
      <c r="B22" s="280" t="inlineStr">
        <is>
          <t>Манометр технический</t>
        </is>
      </c>
      <c r="C22" s="70" t="inlineStr">
        <is>
          <t>МП4-УУХЛ1</t>
        </is>
      </c>
      <c r="D22" s="3" t="inlineStr">
        <is>
          <t>211016829</t>
        </is>
      </c>
      <c r="E22" s="15" t="n"/>
      <c r="F22" s="70" t="inlineStr">
        <is>
          <t>0…600 кПа</t>
        </is>
      </c>
      <c r="G22" s="71" t="n">
        <v>1</v>
      </c>
      <c r="H22" s="175" t="inlineStr">
        <is>
          <t>P м при пополнении бака маслом</t>
        </is>
      </c>
      <c r="I22" s="8" t="inlineStr">
        <is>
          <t>ГПА 72</t>
        </is>
      </c>
      <c r="J22" s="15" t="inlineStr">
        <is>
          <t>АСУ,А и ТМ (КЦ № 7)</t>
        </is>
      </c>
      <c r="K22" s="15" t="n"/>
      <c r="L22" s="15" t="n">
        <v>12</v>
      </c>
      <c r="M22" s="3" t="inlineStr">
        <is>
          <t>2К26</t>
        </is>
      </c>
      <c r="N22" s="70" t="inlineStr">
        <is>
          <t>К</t>
        </is>
      </c>
      <c r="O22" s="270" t="n"/>
    </row>
    <row r="23" ht="22.5" customHeight="1" s="151">
      <c r="A23" s="15">
        <f>IF(B23&lt;&gt;"", COUNTA($B$2:B23), "")</f>
        <v/>
      </c>
      <c r="B23" s="280" t="inlineStr">
        <is>
          <t>Манометр технический</t>
        </is>
      </c>
      <c r="C23" s="70" t="inlineStr">
        <is>
          <t>ТМ5</t>
        </is>
      </c>
      <c r="D23" s="32" t="inlineStr">
        <is>
          <t>15313</t>
        </is>
      </c>
      <c r="E23" s="15" t="n"/>
      <c r="F23" s="70" t="inlineStr">
        <is>
          <t>0…0,06 МПа</t>
        </is>
      </c>
      <c r="G23" s="71" t="n">
        <v>1.5</v>
      </c>
      <c r="H23" s="175" t="inlineStr">
        <is>
          <t>P в на выходе воздуходувок PI5322</t>
        </is>
      </c>
      <c r="I23" s="8" t="inlineStr">
        <is>
          <t>БКК 72</t>
        </is>
      </c>
      <c r="J23" s="15" t="inlineStr">
        <is>
          <t>АСУ,А и ТМ (КЦ № 7)</t>
        </is>
      </c>
      <c r="K23" s="15" t="n"/>
      <c r="L23" s="15" t="n">
        <v>12</v>
      </c>
      <c r="M23" s="3" t="inlineStr">
        <is>
          <t>2К26</t>
        </is>
      </c>
      <c r="N23" s="70" t="inlineStr">
        <is>
          <t>К</t>
        </is>
      </c>
      <c r="O23" s="270" t="n"/>
    </row>
    <row r="24" ht="22.5" customHeight="1" s="151">
      <c r="A24" s="15">
        <f>IF(B24&lt;&gt;"", COUNTA($B$2:B24), "")</f>
        <v/>
      </c>
      <c r="B24" s="280" t="inlineStr">
        <is>
          <t>Манометр технический</t>
        </is>
      </c>
      <c r="C24" s="70" t="inlineStr">
        <is>
          <t>ТМ5</t>
        </is>
      </c>
      <c r="D24" s="32" t="inlineStr">
        <is>
          <t>7000195</t>
        </is>
      </c>
      <c r="E24" s="15" t="n">
        <v>2013</v>
      </c>
      <c r="F24" s="70" t="inlineStr">
        <is>
          <t>0…1,6 МПа</t>
        </is>
      </c>
      <c r="G24" s="71" t="n">
        <v>1.5</v>
      </c>
      <c r="H24" s="175" t="inlineStr">
        <is>
          <t>P в в 1 адсорбере PI5314</t>
        </is>
      </c>
      <c r="I24" s="8" t="inlineStr">
        <is>
          <t>БКК 72</t>
        </is>
      </c>
      <c r="J24" s="15" t="inlineStr">
        <is>
          <t>АСУ,А и ТМ (КЦ № 7)</t>
        </is>
      </c>
      <c r="K24" s="15" t="n"/>
      <c r="L24" s="15" t="n">
        <v>12</v>
      </c>
      <c r="M24" s="3" t="inlineStr">
        <is>
          <t>26ДЯУ</t>
        </is>
      </c>
      <c r="N24" s="70" t="inlineStr">
        <is>
          <t>П</t>
        </is>
      </c>
      <c r="O24" s="270" t="n"/>
    </row>
    <row r="25" ht="22.5" customHeight="1" s="151">
      <c r="A25" s="15">
        <f>IF(B25&lt;&gt;"", COUNTA($B$2:B25), "")</f>
        <v/>
      </c>
      <c r="B25" s="280" t="inlineStr">
        <is>
          <t>Манометр технический</t>
        </is>
      </c>
      <c r="C25" s="70" t="inlineStr">
        <is>
          <t>ТМ5</t>
        </is>
      </c>
      <c r="D25" s="32" t="inlineStr">
        <is>
          <t>7000179</t>
        </is>
      </c>
      <c r="E25" s="15" t="n"/>
      <c r="F25" s="70" t="inlineStr">
        <is>
          <t>0…1,6 МПа</t>
        </is>
      </c>
      <c r="G25" s="71" t="n">
        <v>1.5</v>
      </c>
      <c r="H25" s="175" t="inlineStr">
        <is>
          <t>P в во 2 адсорбере PI5315</t>
        </is>
      </c>
      <c r="I25" s="8" t="inlineStr">
        <is>
          <t>БКК 72</t>
        </is>
      </c>
      <c r="J25" s="15" t="inlineStr">
        <is>
          <t>АСУ,А и ТМ (КЦ № 7)</t>
        </is>
      </c>
      <c r="K25" s="15" t="n"/>
      <c r="L25" s="15" t="n">
        <v>12</v>
      </c>
      <c r="M25" s="3" t="inlineStr">
        <is>
          <t>26ДЯУ</t>
        </is>
      </c>
      <c r="N25" s="70" t="inlineStr">
        <is>
          <t>П</t>
        </is>
      </c>
      <c r="O25" s="270" t="n"/>
    </row>
    <row r="26" ht="22.5" customHeight="1" s="151">
      <c r="A26" s="15">
        <f>IF(B26&lt;&gt;"", COUNTA($B$2:B26), "")</f>
        <v/>
      </c>
      <c r="B26" s="280" t="inlineStr">
        <is>
          <t>Манометр технический</t>
        </is>
      </c>
      <c r="C26" s="70" t="inlineStr">
        <is>
          <t>ТМ5</t>
        </is>
      </c>
      <c r="D26" s="32" t="inlineStr">
        <is>
          <t>7000194</t>
        </is>
      </c>
      <c r="E26" s="15" t="n">
        <v>2013</v>
      </c>
      <c r="F26" s="70" t="inlineStr">
        <is>
          <t>0…1,6 МПа</t>
        </is>
      </c>
      <c r="G26" s="71" t="n">
        <v>1.5</v>
      </c>
      <c r="H26" s="175" t="inlineStr">
        <is>
          <t>P в в 3 адсорбере PI5313</t>
        </is>
      </c>
      <c r="I26" s="8" t="inlineStr">
        <is>
          <t>БКК 72</t>
        </is>
      </c>
      <c r="J26" s="15" t="inlineStr">
        <is>
          <t>АСУ,А и ТМ (КЦ № 7)</t>
        </is>
      </c>
      <c r="K26" s="15" t="n"/>
      <c r="L26" s="15" t="n">
        <v>12</v>
      </c>
      <c r="M26" s="3" t="inlineStr">
        <is>
          <t>26ДЯУ</t>
        </is>
      </c>
      <c r="N26" s="70" t="inlineStr">
        <is>
          <t>П</t>
        </is>
      </c>
      <c r="O26" s="270" t="n"/>
    </row>
    <row r="27" ht="22.5" customHeight="1" s="151">
      <c r="A27" s="15">
        <f>IF(B27&lt;&gt;"", COUNTA($B$2:B27), "")</f>
        <v/>
      </c>
      <c r="B27" s="280" t="inlineStr">
        <is>
          <t>Манометр технический</t>
        </is>
      </c>
      <c r="C27" s="70" t="inlineStr">
        <is>
          <t>ТМ5</t>
        </is>
      </c>
      <c r="D27" s="32" t="inlineStr">
        <is>
          <t>7000192</t>
        </is>
      </c>
      <c r="E27" s="15" t="n">
        <v>2020</v>
      </c>
      <c r="F27" s="70" t="inlineStr">
        <is>
          <t>0…1,6 МПа</t>
        </is>
      </c>
      <c r="G27" s="71" t="n">
        <v>1.5</v>
      </c>
      <c r="H27" s="175" t="inlineStr">
        <is>
          <t>P в в 4 адсорбере PI5312</t>
        </is>
      </c>
      <c r="I27" s="8" t="inlineStr">
        <is>
          <t>БКК 72</t>
        </is>
      </c>
      <c r="J27" s="15" t="inlineStr">
        <is>
          <t>АСУ,А и ТМ (КЦ № 7)</t>
        </is>
      </c>
      <c r="K27" s="15" t="n"/>
      <c r="L27" s="15" t="n">
        <v>12</v>
      </c>
      <c r="M27" s="3" t="inlineStr">
        <is>
          <t>26ДЯУ</t>
        </is>
      </c>
      <c r="N27" s="70" t="inlineStr">
        <is>
          <t>П</t>
        </is>
      </c>
      <c r="O27" s="270" t="n"/>
    </row>
    <row r="28" ht="22.5" customHeight="1" s="151">
      <c r="A28" s="15">
        <f>IF(B28&lt;&gt;"", COUNTA($B$2:B28), "")</f>
        <v/>
      </c>
      <c r="B28" s="280" t="inlineStr">
        <is>
          <t>Перепад давления ДМ 5301</t>
        </is>
      </c>
      <c r="C28" s="14" t="inlineStr">
        <is>
          <t>Wika</t>
        </is>
      </c>
      <c r="D28" s="14" t="inlineStr">
        <is>
          <t>110BGBZA</t>
        </is>
      </c>
      <c r="E28" s="15" t="n"/>
      <c r="F28" s="70" t="inlineStr">
        <is>
          <t>0…0,6 бар</t>
        </is>
      </c>
      <c r="G28" s="71" t="n"/>
      <c r="H28" s="175" t="inlineStr">
        <is>
          <t>∆P в на фильтре</t>
        </is>
      </c>
      <c r="I28" s="8" t="inlineStr">
        <is>
          <t>БКК 72</t>
        </is>
      </c>
      <c r="J28" s="15" t="inlineStr">
        <is>
          <t>АСУ,А и ТМ (КЦ № 7)</t>
        </is>
      </c>
      <c r="K28" s="15" t="n"/>
      <c r="L28" s="15" t="n">
        <v>12</v>
      </c>
      <c r="M28" s="3" t="inlineStr">
        <is>
          <t>1к26</t>
        </is>
      </c>
      <c r="N28" s="70" t="inlineStr">
        <is>
          <t>К</t>
        </is>
      </c>
      <c r="O28" s="270" t="n"/>
    </row>
    <row r="29" ht="22.5" customHeight="1" s="151">
      <c r="A29" s="15">
        <f>IF(B29&lt;&gt;"", COUNTA($B$2:B29), "")</f>
        <v/>
      </c>
      <c r="B29" s="280" t="inlineStr">
        <is>
          <t>Перепад давления ДМ 5302</t>
        </is>
      </c>
      <c r="C29" s="14" t="inlineStr">
        <is>
          <t>Wika</t>
        </is>
      </c>
      <c r="D29" s="14" t="inlineStr">
        <is>
          <t>110BGBZJ</t>
        </is>
      </c>
      <c r="E29" s="15" t="n"/>
      <c r="F29" s="70" t="inlineStr">
        <is>
          <t>0…0,6 бар</t>
        </is>
      </c>
      <c r="G29" s="71" t="n"/>
      <c r="H29" s="175" t="inlineStr">
        <is>
          <t>∆P в на фильтре</t>
        </is>
      </c>
      <c r="I29" s="8" t="inlineStr">
        <is>
          <t>БКК 72</t>
        </is>
      </c>
      <c r="J29" s="15" t="inlineStr">
        <is>
          <t>АСУ,А и ТМ (КЦ № 7)</t>
        </is>
      </c>
      <c r="K29" s="15" t="n"/>
      <c r="L29" s="15" t="n">
        <v>12</v>
      </c>
      <c r="M29" s="3" t="inlineStr">
        <is>
          <t>1к26</t>
        </is>
      </c>
      <c r="N29" s="70" t="inlineStr">
        <is>
          <t>К</t>
        </is>
      </c>
      <c r="O29" s="270" t="n"/>
    </row>
    <row r="30" ht="22.5" customHeight="1" s="151">
      <c r="A30" s="15">
        <f>IF(B30&lt;&gt;"", COUNTA($B$2:B30), "")</f>
        <v/>
      </c>
      <c r="B30" s="280" t="inlineStr">
        <is>
          <t>Перепад давления ДМ 5303</t>
        </is>
      </c>
      <c r="C30" s="14" t="inlineStr">
        <is>
          <t>Wika</t>
        </is>
      </c>
      <c r="D30" s="14" t="inlineStr">
        <is>
          <t>110BGBZ3</t>
        </is>
      </c>
      <c r="E30" s="15" t="n"/>
      <c r="F30" s="70" t="inlineStr">
        <is>
          <t>0…0,6 бар</t>
        </is>
      </c>
      <c r="G30" s="71" t="n"/>
      <c r="H30" s="175" t="inlineStr">
        <is>
          <t>∆P в на фильтре</t>
        </is>
      </c>
      <c r="I30" s="8" t="inlineStr">
        <is>
          <t>БКК 72</t>
        </is>
      </c>
      <c r="J30" s="15" t="inlineStr">
        <is>
          <t>АСУ,А и ТМ (КЦ № 7)</t>
        </is>
      </c>
      <c r="K30" s="15" t="n"/>
      <c r="L30" s="15" t="n">
        <v>12</v>
      </c>
      <c r="M30" s="3" t="inlineStr">
        <is>
          <t>1к26</t>
        </is>
      </c>
      <c r="N30" s="70" t="inlineStr">
        <is>
          <t>К</t>
        </is>
      </c>
      <c r="O30" s="270" t="n"/>
    </row>
    <row r="31" ht="22.5" customHeight="1" s="151">
      <c r="A31" s="15">
        <f>IF(B31&lt;&gt;"", COUNTA($B$2:B31), "")</f>
        <v/>
      </c>
      <c r="B31" s="280" t="inlineStr">
        <is>
          <t>Перепад давления ДМ 5304</t>
        </is>
      </c>
      <c r="C31" s="14" t="inlineStr">
        <is>
          <t>Wika</t>
        </is>
      </c>
      <c r="D31" s="14" t="inlineStr">
        <is>
          <t>110BGBZD</t>
        </is>
      </c>
      <c r="E31" s="15" t="n"/>
      <c r="F31" s="70" t="inlineStr">
        <is>
          <t>0…0,6 бар</t>
        </is>
      </c>
      <c r="G31" s="71" t="n"/>
      <c r="H31" s="175" t="inlineStr">
        <is>
          <t>∆P в на фильтре</t>
        </is>
      </c>
      <c r="I31" s="8" t="inlineStr">
        <is>
          <t>БКК 72</t>
        </is>
      </c>
      <c r="J31" s="15" t="inlineStr">
        <is>
          <t>АСУ,А и ТМ (КЦ № 7)</t>
        </is>
      </c>
      <c r="K31" s="15" t="n"/>
      <c r="L31" s="15" t="n">
        <v>12</v>
      </c>
      <c r="M31" s="3" t="inlineStr">
        <is>
          <t>1к26</t>
        </is>
      </c>
      <c r="N31" s="70" t="inlineStr">
        <is>
          <t>К</t>
        </is>
      </c>
      <c r="O31" s="270" t="n"/>
    </row>
    <row r="32" ht="22.5" customHeight="1" s="151">
      <c r="A32" s="15">
        <f>IF(B32&lt;&gt;"", COUNTA($B$2:B32), "")</f>
        <v/>
      </c>
      <c r="B32" s="280" t="inlineStr">
        <is>
          <t>Перепад давления ДМ 5305</t>
        </is>
      </c>
      <c r="C32" s="14" t="inlineStr">
        <is>
          <t>Wika</t>
        </is>
      </c>
      <c r="D32" s="14" t="inlineStr">
        <is>
          <t>110BGBZ7</t>
        </is>
      </c>
      <c r="E32" s="70" t="n"/>
      <c r="F32" s="70" t="inlineStr">
        <is>
          <t>0…0,6 бар</t>
        </is>
      </c>
      <c r="G32" s="71" t="n"/>
      <c r="H32" s="175" t="inlineStr">
        <is>
          <t>∆P в на фильтре</t>
        </is>
      </c>
      <c r="I32" s="8" t="inlineStr">
        <is>
          <t>БКК 72</t>
        </is>
      </c>
      <c r="J32" s="15" t="inlineStr">
        <is>
          <t>АСУ,А и ТМ (КЦ № 7)</t>
        </is>
      </c>
      <c r="K32" s="175" t="n"/>
      <c r="L32" s="15" t="n">
        <v>12</v>
      </c>
      <c r="M32" s="3" t="inlineStr">
        <is>
          <t>1к26</t>
        </is>
      </c>
      <c r="N32" s="70" t="inlineStr">
        <is>
          <t>К</t>
        </is>
      </c>
      <c r="O32" s="270" t="n"/>
    </row>
    <row r="33" ht="22.5" customHeight="1" s="151">
      <c r="A33" s="15">
        <f>IF(B33&lt;&gt;"", COUNTA($B$2:B33), "")</f>
        <v/>
      </c>
      <c r="B33" s="280" t="inlineStr">
        <is>
          <t>Манометр технический</t>
        </is>
      </c>
      <c r="C33" s="70" t="inlineStr">
        <is>
          <t>ТМ3</t>
        </is>
      </c>
      <c r="D33" s="175" t="n">
        <v>7000182</v>
      </c>
      <c r="E33" s="70" t="n"/>
      <c r="F33" s="70" t="inlineStr">
        <is>
          <t>0…0,1 МПа</t>
        </is>
      </c>
      <c r="G33" s="71" t="n">
        <v>1.5</v>
      </c>
      <c r="H33" s="175" t="inlineStr">
        <is>
          <t>P в в ГШ 5301</t>
        </is>
      </c>
      <c r="I33" s="8" t="inlineStr">
        <is>
          <t>БКК 72</t>
        </is>
      </c>
      <c r="J33" s="15" t="inlineStr">
        <is>
          <t>АСУ,А и ТМ (КЦ № 7)</t>
        </is>
      </c>
      <c r="K33" s="175" t="n"/>
      <c r="L33" s="15" t="n">
        <v>12</v>
      </c>
      <c r="M33" s="3" t="inlineStr">
        <is>
          <t>1к26</t>
        </is>
      </c>
      <c r="N33" s="70" t="inlineStr">
        <is>
          <t>К</t>
        </is>
      </c>
      <c r="O33" s="270" t="n"/>
    </row>
    <row r="34" ht="22.5" customHeight="1" s="151">
      <c r="A34" s="15">
        <f>IF(B34&lt;&gt;"", COUNTA($B$2:B34), "")</f>
        <v/>
      </c>
      <c r="B34" s="280" t="inlineStr">
        <is>
          <t>Манометр технический</t>
        </is>
      </c>
      <c r="C34" s="70" t="inlineStr">
        <is>
          <t>ТМ3</t>
        </is>
      </c>
      <c r="D34" s="175" t="n">
        <v>7000183</v>
      </c>
      <c r="E34" s="15" t="n"/>
      <c r="F34" s="70" t="inlineStr">
        <is>
          <t>0…0,1 МПа</t>
        </is>
      </c>
      <c r="G34" s="71" t="n">
        <v>1.5</v>
      </c>
      <c r="H34" s="175" t="inlineStr">
        <is>
          <t>P в в ГШ 5302</t>
        </is>
      </c>
      <c r="I34" s="8" t="inlineStr">
        <is>
          <t>БКК 72</t>
        </is>
      </c>
      <c r="J34" s="15" t="inlineStr">
        <is>
          <t>АСУ,А и ТМ (КЦ № 7)</t>
        </is>
      </c>
      <c r="K34" s="15" t="n"/>
      <c r="L34" s="15" t="n">
        <v>12</v>
      </c>
      <c r="M34" s="3" t="inlineStr">
        <is>
          <t>1к26</t>
        </is>
      </c>
      <c r="N34" s="70" t="inlineStr">
        <is>
          <t>К</t>
        </is>
      </c>
      <c r="O34" s="270" t="n"/>
    </row>
    <row r="35" ht="22.5" customHeight="1" s="151">
      <c r="A35" s="15">
        <f>IF(B35&lt;&gt;"", COUNTA($B$2:B35), "")</f>
        <v/>
      </c>
      <c r="B35" s="280" t="inlineStr">
        <is>
          <t>Манометр технический</t>
        </is>
      </c>
      <c r="C35" s="70" t="inlineStr">
        <is>
          <t>МП4-УУХЛ1</t>
        </is>
      </c>
      <c r="D35" s="26" t="n">
        <v>7000184</v>
      </c>
      <c r="E35" s="15" t="n">
        <v>2018</v>
      </c>
      <c r="F35" s="70" t="inlineStr">
        <is>
          <t>0…1,6 МПа</t>
        </is>
      </c>
      <c r="G35" s="71" t="n">
        <v>1.5</v>
      </c>
      <c r="H35" s="175" t="inlineStr">
        <is>
          <t>P в в ресивере</t>
        </is>
      </c>
      <c r="I35" s="8" t="inlineStr">
        <is>
          <t>ГПА 72</t>
        </is>
      </c>
      <c r="J35" s="15" t="inlineStr">
        <is>
          <t>АСУ,А и ТМ (КЦ № 7)</t>
        </is>
      </c>
      <c r="K35" s="15" t="n"/>
      <c r="L35" s="15" t="n">
        <v>12</v>
      </c>
      <c r="M35" s="16" t="inlineStr">
        <is>
          <t>26ДЯУ</t>
        </is>
      </c>
      <c r="N35" s="70" t="inlineStr">
        <is>
          <t>П</t>
        </is>
      </c>
      <c r="O35" s="270" t="n"/>
    </row>
    <row r="36" ht="22.5" customHeight="1" s="151">
      <c r="A36" s="15">
        <f>IF(B36&lt;&gt;"", COUNTA($B$2:B36), "")</f>
        <v/>
      </c>
      <c r="B36" s="280" t="inlineStr">
        <is>
          <t>Манометр технический</t>
        </is>
      </c>
      <c r="C36" s="70" t="inlineStr">
        <is>
          <t>МП4-УФБСУХЛ1</t>
        </is>
      </c>
      <c r="D36" s="71" t="n">
        <v>311695</v>
      </c>
      <c r="E36" s="15" t="n"/>
      <c r="F36" s="26" t="inlineStr">
        <is>
          <t>0…160 кгс/см2</t>
        </is>
      </c>
      <c r="G36" s="71" t="n">
        <v>1</v>
      </c>
      <c r="H36" s="233" t="inlineStr">
        <is>
          <t>P г во 2 фильтроэлементе БФБГ №1</t>
        </is>
      </c>
      <c r="I36" s="8" t="inlineStr">
        <is>
          <t>ГПА 72</t>
        </is>
      </c>
      <c r="J36" s="15" t="inlineStr">
        <is>
          <t>АСУ,А и ТМ (КЦ № 7)</t>
        </is>
      </c>
      <c r="K36" s="15" t="n"/>
      <c r="L36" s="15" t="n">
        <v>12</v>
      </c>
      <c r="M36" s="16" t="inlineStr">
        <is>
          <t>26ДЯУ</t>
        </is>
      </c>
      <c r="N36" s="70" t="inlineStr">
        <is>
          <t>П</t>
        </is>
      </c>
      <c r="O36" s="270" t="n"/>
    </row>
    <row r="37" ht="22.5" customHeight="1" s="151">
      <c r="A37" s="15">
        <f>IF(B37&lt;&gt;"", COUNTA($B$2:B37), "")</f>
        <v/>
      </c>
      <c r="B37" s="280" t="inlineStr">
        <is>
          <t>Манометр технический</t>
        </is>
      </c>
      <c r="C37" s="70" t="inlineStr">
        <is>
          <t>МП4-УФБСУХЛ1</t>
        </is>
      </c>
      <c r="D37" s="71" t="n">
        <v>312141</v>
      </c>
      <c r="E37" s="70" t="n"/>
      <c r="F37" s="26" t="inlineStr">
        <is>
          <t>0…160 кгс/см2</t>
        </is>
      </c>
      <c r="G37" s="71" t="n">
        <v>1</v>
      </c>
      <c r="H37" s="233" t="inlineStr">
        <is>
          <t>P г в 1 фильтроэлементе БФБГ №1</t>
        </is>
      </c>
      <c r="I37" s="8" t="inlineStr">
        <is>
          <t>ГПА 72</t>
        </is>
      </c>
      <c r="J37" s="15" t="inlineStr">
        <is>
          <t>АСУ,А и ТМ (КЦ № 7)</t>
        </is>
      </c>
      <c r="K37" s="15" t="n"/>
      <c r="L37" s="15" t="n">
        <v>12</v>
      </c>
      <c r="M37" s="16" t="inlineStr">
        <is>
          <t>26ДЯУ</t>
        </is>
      </c>
      <c r="N37" s="70" t="inlineStr">
        <is>
          <t>П</t>
        </is>
      </c>
      <c r="O37" s="270" t="n"/>
    </row>
    <row r="38" ht="22.5" customHeight="1" s="151">
      <c r="A38" s="15">
        <f>IF(B38&lt;&gt;"", COUNTA($B$2:B38), "")</f>
        <v/>
      </c>
      <c r="B38" s="280" t="inlineStr">
        <is>
          <t>Манометр технический</t>
        </is>
      </c>
      <c r="C38" s="70" t="inlineStr">
        <is>
          <t>МП4-УФБСУХЛ1</t>
        </is>
      </c>
      <c r="D38" s="71" t="n">
        <v>312544</v>
      </c>
      <c r="E38" s="70" t="n"/>
      <c r="F38" s="26" t="inlineStr">
        <is>
          <t>0…160 кгс/см2</t>
        </is>
      </c>
      <c r="G38" s="71" t="n">
        <v>1</v>
      </c>
      <c r="H38" s="233" t="inlineStr">
        <is>
          <t>P г во 2 фильтроэлементе БФБГ №2</t>
        </is>
      </c>
      <c r="I38" s="8" t="inlineStr">
        <is>
          <t>ГПА 72</t>
        </is>
      </c>
      <c r="J38" s="15" t="inlineStr">
        <is>
          <t>АСУ,А и ТМ (КЦ № 7)</t>
        </is>
      </c>
      <c r="K38" s="15" t="n"/>
      <c r="L38" s="15" t="n">
        <v>12</v>
      </c>
      <c r="M38" s="16" t="inlineStr">
        <is>
          <t>26ДЯУ</t>
        </is>
      </c>
      <c r="N38" s="70" t="inlineStr">
        <is>
          <t>П</t>
        </is>
      </c>
      <c r="O38" s="270" t="n"/>
    </row>
    <row r="39" ht="22.5" customHeight="1" s="151">
      <c r="A39" s="15">
        <f>IF(B39&lt;&gt;"", COUNTA($B$2:B39), "")</f>
        <v/>
      </c>
      <c r="B39" s="280" t="inlineStr">
        <is>
          <t>Манометр технический</t>
        </is>
      </c>
      <c r="C39" s="70" t="inlineStr">
        <is>
          <t>МП4-УФБСУХЛ1</t>
        </is>
      </c>
      <c r="D39" s="71" t="n">
        <v>310366</v>
      </c>
      <c r="E39" s="70" t="n"/>
      <c r="F39" s="26" t="inlineStr">
        <is>
          <t>0…160 кгс/см2</t>
        </is>
      </c>
      <c r="G39" s="71" t="n">
        <v>1</v>
      </c>
      <c r="H39" s="233" t="inlineStr">
        <is>
          <t>P г в 1 фильтроэлементе БФБГ №2</t>
        </is>
      </c>
      <c r="I39" s="8" t="inlineStr">
        <is>
          <t>ГПА 72</t>
        </is>
      </c>
      <c r="J39" s="15" t="inlineStr">
        <is>
          <t>АСУ,А и ТМ (КЦ № 7)</t>
        </is>
      </c>
      <c r="K39" s="15" t="n"/>
      <c r="L39" s="15" t="n">
        <v>12</v>
      </c>
      <c r="M39" s="16" t="inlineStr">
        <is>
          <t>26ДЯУ</t>
        </is>
      </c>
      <c r="N39" s="70" t="inlineStr">
        <is>
          <t>П</t>
        </is>
      </c>
      <c r="O39" s="270" t="n"/>
    </row>
    <row r="40" ht="22.5" customHeight="1" s="151">
      <c r="A40" s="15">
        <f>IF(B40&lt;&gt;"", COUNTA($B$2:B40), "")</f>
        <v/>
      </c>
      <c r="B40" s="280" t="inlineStr">
        <is>
          <t>Манометр технический</t>
        </is>
      </c>
      <c r="C40" s="70" t="inlineStr">
        <is>
          <t>МП4-УУ2</t>
        </is>
      </c>
      <c r="D40" s="71" t="n">
        <v>15620</v>
      </c>
      <c r="E40" s="70" t="n"/>
      <c r="F40" s="26" t="inlineStr">
        <is>
          <t>0…160 кгс/см2</t>
        </is>
      </c>
      <c r="G40" s="71" t="n">
        <v>1</v>
      </c>
      <c r="H40" s="175" t="inlineStr">
        <is>
          <t>P г во 2 фильтроэлементе БФТГ №1</t>
        </is>
      </c>
      <c r="I40" s="8" t="inlineStr">
        <is>
          <t>ГПА 72</t>
        </is>
      </c>
      <c r="J40" s="15" t="inlineStr">
        <is>
          <t>АСУ,А и ТМ (КЦ № 7)</t>
        </is>
      </c>
      <c r="K40" s="15" t="n"/>
      <c r="L40" s="15" t="n">
        <v>12</v>
      </c>
      <c r="M40" s="16" t="inlineStr">
        <is>
          <t>26ДЯУ</t>
        </is>
      </c>
      <c r="N40" s="70" t="inlineStr">
        <is>
          <t>П</t>
        </is>
      </c>
      <c r="O40" s="270" t="n"/>
    </row>
    <row r="41" ht="22.5" customFormat="1" customHeight="1" s="268">
      <c r="A41" s="252">
        <f>IF(B41&lt;&gt;"", COUNTA($B$2:B41), "")</f>
        <v/>
      </c>
      <c r="B41" s="262" t="inlineStr">
        <is>
          <t>Манометр технический</t>
        </is>
      </c>
      <c r="C41" s="260" t="inlineStr">
        <is>
          <t>МП4-УУ2</t>
        </is>
      </c>
      <c r="D41" s="264" t="inlineStr">
        <is>
          <t>-</t>
        </is>
      </c>
      <c r="E41" s="260" t="n"/>
      <c r="F41" s="265" t="inlineStr">
        <is>
          <t>0…160 кгс/см2</t>
        </is>
      </c>
      <c r="G41" s="264" t="n">
        <v>1</v>
      </c>
      <c r="H41" s="257" t="inlineStr">
        <is>
          <t>P г в 1 фильтроэлементе БФТГ №1</t>
        </is>
      </c>
      <c r="I41" s="266" t="inlineStr">
        <is>
          <t>ГПА 72</t>
        </is>
      </c>
      <c r="J41" s="252" t="inlineStr">
        <is>
          <t>АСУ,А и ТМ (КЦ № 7)</t>
        </is>
      </c>
      <c r="K41" s="252" t="n"/>
      <c r="L41" s="252" t="n">
        <v>12</v>
      </c>
      <c r="M41" s="267" t="inlineStr">
        <is>
          <t>26ДЯУ</t>
        </is>
      </c>
      <c r="N41" s="260" t="inlineStr">
        <is>
          <t>П</t>
        </is>
      </c>
      <c r="O41" s="271" t="n">
        <v>15548</v>
      </c>
    </row>
    <row r="42" ht="22.5" customHeight="1" s="151">
      <c r="A42" s="15">
        <f>IF(B42&lt;&gt;"", COUNTA($B$2:B42), "")</f>
        <v/>
      </c>
      <c r="B42" s="280" t="inlineStr">
        <is>
          <t>Манометр технический</t>
        </is>
      </c>
      <c r="C42" s="70" t="inlineStr">
        <is>
          <t>МП4-УУ2</t>
        </is>
      </c>
      <c r="D42" s="71" t="n">
        <v>15568</v>
      </c>
      <c r="E42" s="70" t="n"/>
      <c r="F42" s="26" t="inlineStr">
        <is>
          <t>0…160 кгс/см2</t>
        </is>
      </c>
      <c r="G42" s="71" t="n">
        <v>1</v>
      </c>
      <c r="H42" s="175" t="inlineStr">
        <is>
          <t>P г в 1 фильтроэлементе БФТГ №2</t>
        </is>
      </c>
      <c r="I42" s="8" t="inlineStr">
        <is>
          <t>ГПА 72</t>
        </is>
      </c>
      <c r="J42" s="15" t="inlineStr">
        <is>
          <t>АСУ,А и ТМ (КЦ № 7)</t>
        </is>
      </c>
      <c r="K42" s="15" t="n"/>
      <c r="L42" s="15" t="n">
        <v>12</v>
      </c>
      <c r="M42" s="16" t="inlineStr">
        <is>
          <t>26ДЯУ</t>
        </is>
      </c>
      <c r="N42" s="70" t="inlineStr">
        <is>
          <t>П</t>
        </is>
      </c>
      <c r="O42" s="270" t="inlineStr">
        <is>
          <t> </t>
        </is>
      </c>
    </row>
    <row r="43" ht="22.5" customHeight="1" s="151">
      <c r="A43" s="15">
        <f>IF(B43&lt;&gt;"", COUNTA($B$2:B43), "")</f>
        <v/>
      </c>
      <c r="B43" s="280" t="inlineStr">
        <is>
          <t>Манометр технический</t>
        </is>
      </c>
      <c r="C43" s="70" t="inlineStr">
        <is>
          <t>МП4-УУХЛ1</t>
        </is>
      </c>
      <c r="D43" s="71" t="n">
        <v>700070</v>
      </c>
      <c r="E43" s="70" t="n"/>
      <c r="F43" s="26" t="inlineStr">
        <is>
          <t>0…160 кгс/см2</t>
        </is>
      </c>
      <c r="G43" s="71" t="n">
        <v>1</v>
      </c>
      <c r="H43" s="175" t="inlineStr">
        <is>
          <t>P г во 2 фильтроэлементе БФТГ №2</t>
        </is>
      </c>
      <c r="I43" s="8" t="inlineStr">
        <is>
          <t>ГПА 72</t>
        </is>
      </c>
      <c r="J43" s="15" t="inlineStr">
        <is>
          <t>АСУ,А и ТМ (КЦ № 7)</t>
        </is>
      </c>
      <c r="K43" s="15" t="n"/>
      <c r="L43" s="15" t="n">
        <v>12</v>
      </c>
      <c r="M43" s="16" t="inlineStr">
        <is>
          <t>26ДЯУ</t>
        </is>
      </c>
      <c r="N43" s="70" t="inlineStr">
        <is>
          <t>П</t>
        </is>
      </c>
      <c r="O43" s="270" t="n"/>
    </row>
    <row r="44" ht="22.5" customHeight="1" s="151">
      <c r="A44" s="15">
        <f>IF(B44&lt;&gt;"", COUNTA($B$2:B44), "")</f>
        <v/>
      </c>
      <c r="B44" s="280" t="inlineStr">
        <is>
          <t>Манометр технический</t>
        </is>
      </c>
      <c r="C44" s="70" t="inlineStr">
        <is>
          <t>МП4-УУХЛ1</t>
        </is>
      </c>
      <c r="D44" s="70" t="n">
        <v>2097318</v>
      </c>
      <c r="E44" s="70" t="n"/>
      <c r="F44" s="70" t="inlineStr">
        <is>
          <t>0…16 МПа</t>
        </is>
      </c>
      <c r="G44" s="71" t="n">
        <v>1</v>
      </c>
      <c r="H44" s="175" t="inlineStr">
        <is>
          <t>P имп г крана 3бис</t>
        </is>
      </c>
      <c r="I44" s="8" t="inlineStr">
        <is>
          <t>ГПА 72</t>
        </is>
      </c>
      <c r="J44" s="15" t="inlineStr">
        <is>
          <t>АСУ,А и ТМ (КЦ № 7)</t>
        </is>
      </c>
      <c r="K44" s="15" t="n"/>
      <c r="L44" s="15" t="n">
        <v>12</v>
      </c>
      <c r="M44" s="3" t="inlineStr">
        <is>
          <t>2К26</t>
        </is>
      </c>
      <c r="N44" s="70" t="inlineStr">
        <is>
          <t>К</t>
        </is>
      </c>
      <c r="O44" s="270" t="n"/>
    </row>
    <row r="45" ht="22.5" customHeight="1" s="151">
      <c r="A45" s="15">
        <f>IF(B45&lt;&gt;"", COUNTA($B$2:B45), "")</f>
        <v/>
      </c>
      <c r="B45" s="280" t="inlineStr">
        <is>
          <t>Манометр технический</t>
        </is>
      </c>
      <c r="C45" s="70" t="inlineStr">
        <is>
          <t>КМ2</t>
        </is>
      </c>
      <c r="D45" s="32" t="inlineStr">
        <is>
          <t>700284</t>
        </is>
      </c>
      <c r="E45" s="70" t="n"/>
      <c r="F45" s="70" t="inlineStr">
        <is>
          <t>0…25 кПа</t>
        </is>
      </c>
      <c r="G45" s="71" t="n">
        <v>1.5</v>
      </c>
      <c r="H45" s="175" t="inlineStr">
        <is>
          <t>P г после счётчика MH2</t>
        </is>
      </c>
      <c r="I45" s="8" t="inlineStr">
        <is>
          <t>АВГМ 72</t>
        </is>
      </c>
      <c r="J45" s="15" t="inlineStr">
        <is>
          <t>АСУ,А и ТМ (КЦ № 7)</t>
        </is>
      </c>
      <c r="K45" s="15" t="n"/>
      <c r="L45" s="15" t="n">
        <v>12</v>
      </c>
      <c r="M45" s="3" t="inlineStr">
        <is>
          <t>2К26</t>
        </is>
      </c>
      <c r="N45" s="70" t="inlineStr">
        <is>
          <t>К</t>
        </is>
      </c>
      <c r="O45" s="270" t="n"/>
    </row>
    <row r="46" ht="22.5" customHeight="1" s="151">
      <c r="A46" s="15">
        <f>IF(B46&lt;&gt;"", COUNTA($B$2:B46), "")</f>
        <v/>
      </c>
      <c r="B46" s="280" t="inlineStr">
        <is>
          <t>Манометр технический</t>
        </is>
      </c>
      <c r="C46" s="70" t="inlineStr">
        <is>
          <t>ТМ5</t>
        </is>
      </c>
      <c r="D46" s="32" t="inlineStr">
        <is>
          <t>7000171</t>
        </is>
      </c>
      <c r="E46" s="70" t="n"/>
      <c r="F46" s="70" t="inlineStr">
        <is>
          <t>0…1 МПа</t>
        </is>
      </c>
      <c r="G46" s="71" t="n">
        <v>1.5</v>
      </c>
      <c r="H46" s="175" t="inlineStr">
        <is>
          <t>P г на входе MH1</t>
        </is>
      </c>
      <c r="I46" s="8" t="inlineStr">
        <is>
          <t>АВГМ 72</t>
        </is>
      </c>
      <c r="J46" s="15" t="inlineStr">
        <is>
          <t>АСУ,А и ТМ (КЦ № 7)</t>
        </is>
      </c>
      <c r="K46" s="15" t="n"/>
      <c r="L46" s="15" t="n">
        <v>12</v>
      </c>
      <c r="M46" s="3" t="inlineStr">
        <is>
          <t>2К26</t>
        </is>
      </c>
      <c r="N46" s="70" t="inlineStr">
        <is>
          <t>К</t>
        </is>
      </c>
      <c r="O46" s="270" t="n"/>
    </row>
    <row r="47" ht="22.5" customHeight="1" s="151">
      <c r="A47" s="15">
        <f>IF(B47&lt;&gt;"", COUNTA($B$2:B47), "")</f>
        <v/>
      </c>
      <c r="B47" s="280" t="inlineStr">
        <is>
          <t>Манометр технический</t>
        </is>
      </c>
      <c r="C47" s="70" t="inlineStr">
        <is>
          <t>МП4-УУ2</t>
        </is>
      </c>
      <c r="D47" s="32" t="inlineStr">
        <is>
          <t>15179</t>
        </is>
      </c>
      <c r="E47" s="70" t="n"/>
      <c r="F47" s="26" t="inlineStr">
        <is>
          <t>0…160 кгс/см2</t>
        </is>
      </c>
      <c r="G47" s="71" t="n">
        <v>1</v>
      </c>
      <c r="H47" s="175" t="inlineStr">
        <is>
          <t>P г после защитной решётки</t>
        </is>
      </c>
      <c r="I47" s="8" t="inlineStr">
        <is>
          <t>ГПА 72</t>
        </is>
      </c>
      <c r="J47" s="15" t="inlineStr">
        <is>
          <t>АСУ,А и ТМ (КЦ № 7)</t>
        </is>
      </c>
      <c r="K47" s="15" t="n"/>
      <c r="L47" s="15" t="n">
        <v>12</v>
      </c>
      <c r="M47" s="3" t="inlineStr">
        <is>
          <t>2К26</t>
        </is>
      </c>
      <c r="N47" s="70" t="inlineStr">
        <is>
          <t>К</t>
        </is>
      </c>
      <c r="O47" s="270" t="n"/>
    </row>
    <row r="48" ht="22.5" customHeight="1" s="151">
      <c r="A48" s="15">
        <f>IF(B48&lt;&gt;"", COUNTA($B$2:B48), "")</f>
        <v/>
      </c>
      <c r="B48" s="280" t="inlineStr">
        <is>
          <t>Манометр технический</t>
        </is>
      </c>
      <c r="C48" s="70" t="inlineStr">
        <is>
          <t>МП4-УУ2</t>
        </is>
      </c>
      <c r="D48" s="32" t="inlineStr">
        <is>
          <t>80518</t>
        </is>
      </c>
      <c r="E48" s="70" t="n"/>
      <c r="F48" s="26" t="inlineStr">
        <is>
          <t>0…160 кгс/см2</t>
        </is>
      </c>
      <c r="G48" s="71" t="n">
        <v>1</v>
      </c>
      <c r="H48" s="175" t="inlineStr">
        <is>
          <t>P г до защитной решётки</t>
        </is>
      </c>
      <c r="I48" s="8" t="inlineStr">
        <is>
          <t>ГПА 72</t>
        </is>
      </c>
      <c r="J48" s="15" t="inlineStr">
        <is>
          <t>АСУ,А и ТМ (КЦ № 7)</t>
        </is>
      </c>
      <c r="K48" s="15" t="n"/>
      <c r="L48" s="15" t="n">
        <v>12</v>
      </c>
      <c r="M48" s="3" t="inlineStr">
        <is>
          <t>2К26</t>
        </is>
      </c>
      <c r="N48" s="70" t="inlineStr">
        <is>
          <t>К</t>
        </is>
      </c>
      <c r="O48" s="270" t="n"/>
    </row>
    <row r="49" ht="22.5" customHeight="1" s="151">
      <c r="A49" s="15">
        <f>IF(B49&lt;&gt;"", COUNTA($B$2:B49), "")</f>
        <v/>
      </c>
      <c r="B49" s="280" t="inlineStr">
        <is>
          <t>Манометр технический</t>
        </is>
      </c>
      <c r="C49" s="70" t="inlineStr">
        <is>
          <t>МП4-УУХЛ1</t>
        </is>
      </c>
      <c r="D49" s="32" t="inlineStr">
        <is>
          <t>2097310</t>
        </is>
      </c>
      <c r="E49" s="70" t="n"/>
      <c r="F49" s="70" t="inlineStr">
        <is>
          <t>0…16 МПа</t>
        </is>
      </c>
      <c r="G49" s="71" t="n">
        <v>1</v>
      </c>
      <c r="H49" s="175" t="inlineStr">
        <is>
          <t>P г до крана №1-1</t>
        </is>
      </c>
      <c r="I49" s="8" t="inlineStr">
        <is>
          <t>ГПА 72</t>
        </is>
      </c>
      <c r="J49" s="15" t="inlineStr">
        <is>
          <t>АСУ,А и ТМ (КЦ № 7)</t>
        </is>
      </c>
      <c r="K49" s="15" t="n"/>
      <c r="L49" s="15" t="n">
        <v>12</v>
      </c>
      <c r="M49" s="3" t="inlineStr">
        <is>
          <t>2К26</t>
        </is>
      </c>
      <c r="N49" s="70" t="inlineStr">
        <is>
          <t>К</t>
        </is>
      </c>
      <c r="O49" s="270" t="n"/>
    </row>
    <row r="50" ht="22.5" customHeight="1" s="151">
      <c r="A50" s="15">
        <f>IF(B50&lt;&gt;"", COUNTA($B$2:B50), "")</f>
        <v/>
      </c>
      <c r="B50" s="280" t="inlineStr">
        <is>
          <t>Манометр технический</t>
        </is>
      </c>
      <c r="C50" s="70" t="inlineStr">
        <is>
          <t>МП4-УУ2</t>
        </is>
      </c>
      <c r="D50" s="32" t="inlineStr">
        <is>
          <t>7000112</t>
        </is>
      </c>
      <c r="E50" s="70" t="n"/>
      <c r="F50" s="70" t="inlineStr">
        <is>
          <t>0…16 МПа</t>
        </is>
      </c>
      <c r="G50" s="71" t="n">
        <v>1.5</v>
      </c>
      <c r="H50" s="175" t="inlineStr">
        <is>
          <t>P г после крана №1-1</t>
        </is>
      </c>
      <c r="I50" s="8" t="inlineStr">
        <is>
          <t>ГПА 72</t>
        </is>
      </c>
      <c r="J50" s="15" t="inlineStr">
        <is>
          <t>АСУ,А и ТМ (КЦ № 7)</t>
        </is>
      </c>
      <c r="K50" s="15" t="n"/>
      <c r="L50" s="15" t="n">
        <v>12</v>
      </c>
      <c r="M50" s="3" t="inlineStr">
        <is>
          <t>2К26</t>
        </is>
      </c>
      <c r="N50" s="70" t="inlineStr">
        <is>
          <t>К</t>
        </is>
      </c>
      <c r="O50" s="270" t="n"/>
    </row>
    <row r="51" ht="22.5" customFormat="1" customHeight="1" s="268">
      <c r="A51" s="252">
        <f>IF(B51&lt;&gt;"", COUNTA($B$2:B51), "")</f>
        <v/>
      </c>
      <c r="B51" s="262" t="inlineStr">
        <is>
          <t>Манометр технический</t>
        </is>
      </c>
      <c r="C51" s="260" t="inlineStr">
        <is>
          <t>МП3-УУ2</t>
        </is>
      </c>
      <c r="D51" s="256" t="inlineStr">
        <is>
          <t>7000106</t>
        </is>
      </c>
      <c r="E51" s="260" t="n">
        <v>2016</v>
      </c>
      <c r="F51" s="260" t="inlineStr">
        <is>
          <t>0…16 МПа</t>
        </is>
      </c>
      <c r="G51" s="264" t="n">
        <v>1.5</v>
      </c>
      <c r="H51" s="257" t="inlineStr">
        <is>
          <t>P г в ёмкости Е-1</t>
        </is>
      </c>
      <c r="I51" s="266" t="inlineStr">
        <is>
          <t>ГПА 72</t>
        </is>
      </c>
      <c r="J51" s="252" t="inlineStr">
        <is>
          <t>АСУ,А и ТМ (КЦ № 7)</t>
        </is>
      </c>
      <c r="K51" s="252" t="n"/>
      <c r="L51" s="252" t="n">
        <v>12</v>
      </c>
      <c r="M51" s="259" t="inlineStr">
        <is>
          <t>26ДЯУ</t>
        </is>
      </c>
      <c r="N51" s="260" t="inlineStr">
        <is>
          <t>П</t>
        </is>
      </c>
      <c r="O51" s="271" t="n">
        <v>212033571</v>
      </c>
    </row>
    <row r="52" ht="22.5" customHeight="1" s="151">
      <c r="A52" s="15">
        <f>IF(B52&lt;&gt;"", COUNTA($B$2:B52), "")</f>
        <v/>
      </c>
      <c r="B52" s="280" t="inlineStr">
        <is>
          <t>Манометр технический</t>
        </is>
      </c>
      <c r="C52" s="70" t="inlineStr">
        <is>
          <t>МП4-УУ2</t>
        </is>
      </c>
      <c r="D52" s="32" t="inlineStr">
        <is>
          <t>15387</t>
        </is>
      </c>
      <c r="E52" s="70" t="n"/>
      <c r="F52" s="26" t="inlineStr">
        <is>
          <t>0…160 кгс/см2</t>
        </is>
      </c>
      <c r="G52" s="71" t="n">
        <v>1</v>
      </c>
      <c r="H52" s="175" t="inlineStr">
        <is>
          <t>P г до крана №1</t>
        </is>
      </c>
      <c r="I52" s="8" t="inlineStr">
        <is>
          <t>ГПА 72</t>
        </is>
      </c>
      <c r="J52" s="15" t="inlineStr">
        <is>
          <t>АСУ,А и ТМ (КЦ № 7)</t>
        </is>
      </c>
      <c r="K52" s="15" t="n"/>
      <c r="L52" s="15" t="n">
        <v>12</v>
      </c>
      <c r="M52" s="3" t="inlineStr">
        <is>
          <t>2К26</t>
        </is>
      </c>
      <c r="N52" s="70" t="inlineStr">
        <is>
          <t>К</t>
        </is>
      </c>
      <c r="O52" s="270" t="n"/>
    </row>
    <row r="53" ht="22.5" customHeight="1" s="151">
      <c r="A53" s="15">
        <f>IF(B53&lt;&gt;"", COUNTA($B$2:B53), "")</f>
        <v/>
      </c>
      <c r="B53" s="280" t="inlineStr">
        <is>
          <t>Манометр технический</t>
        </is>
      </c>
      <c r="C53" s="70" t="inlineStr">
        <is>
          <t>МП4-УУ2</t>
        </is>
      </c>
      <c r="D53" s="32" t="inlineStr">
        <is>
          <t>7000112</t>
        </is>
      </c>
      <c r="E53" s="70" t="n"/>
      <c r="F53" s="70" t="inlineStr">
        <is>
          <t>0…16 МПа</t>
        </is>
      </c>
      <c r="G53" s="71" t="n">
        <v>1.5</v>
      </c>
      <c r="H53" s="175" t="inlineStr">
        <is>
          <t>P г после крана №1</t>
        </is>
      </c>
      <c r="I53" s="8" t="inlineStr">
        <is>
          <t>ГПА 72</t>
        </is>
      </c>
      <c r="J53" s="15" t="inlineStr">
        <is>
          <t>АСУ,А и ТМ (КЦ № 7)</t>
        </is>
      </c>
      <c r="K53" s="15" t="n"/>
      <c r="L53" s="15" t="n">
        <v>12</v>
      </c>
      <c r="M53" s="3" t="inlineStr">
        <is>
          <t>2К26</t>
        </is>
      </c>
      <c r="N53" s="70" t="inlineStr">
        <is>
          <t>К</t>
        </is>
      </c>
      <c r="O53" s="270" t="n"/>
    </row>
    <row r="54" ht="22.5" customHeight="1" s="151">
      <c r="A54" s="15">
        <f>IF(B54&lt;&gt;"", COUNTA($B$2:B54), "")</f>
        <v/>
      </c>
      <c r="B54" s="280" t="inlineStr">
        <is>
          <t>Манометр технический</t>
        </is>
      </c>
      <c r="C54" s="70" t="inlineStr">
        <is>
          <t>МП4-УУ2</t>
        </is>
      </c>
      <c r="D54" s="32" t="inlineStr">
        <is>
          <t>7000118</t>
        </is>
      </c>
      <c r="E54" s="70" t="n"/>
      <c r="F54" s="70" t="inlineStr">
        <is>
          <t>0…16 МПа</t>
        </is>
      </c>
      <c r="G54" s="71" t="n">
        <v>1.5</v>
      </c>
      <c r="H54" s="175" t="inlineStr">
        <is>
          <t>P г на входе в АВОГ</t>
        </is>
      </c>
      <c r="I54" s="8" t="inlineStr">
        <is>
          <t>ГПА 72</t>
        </is>
      </c>
      <c r="J54" s="15" t="inlineStr">
        <is>
          <t>АСУ,А и ТМ (КЦ № 7)</t>
        </is>
      </c>
      <c r="K54" s="15" t="n"/>
      <c r="L54" s="15" t="n">
        <v>12</v>
      </c>
      <c r="M54" s="3" t="inlineStr">
        <is>
          <t>2К26</t>
        </is>
      </c>
      <c r="N54" s="70" t="inlineStr">
        <is>
          <t>К</t>
        </is>
      </c>
      <c r="O54" s="270" t="n"/>
    </row>
    <row r="55" ht="22.5" customHeight="1" s="151">
      <c r="A55" s="15">
        <f>IF(B55&lt;&gt;"", COUNTA($B$2:B55), "")</f>
        <v/>
      </c>
      <c r="B55" s="280" t="inlineStr">
        <is>
          <t>Манометр технический</t>
        </is>
      </c>
      <c r="C55" s="70" t="inlineStr">
        <is>
          <t>МП4-УУ2</t>
        </is>
      </c>
      <c r="D55" s="175" t="n">
        <v>7000120</v>
      </c>
      <c r="E55" s="70" t="n"/>
      <c r="F55" s="70" t="inlineStr">
        <is>
          <t>0…16 МПа</t>
        </is>
      </c>
      <c r="G55" s="71" t="n">
        <v>1.5</v>
      </c>
      <c r="H55" s="175" t="inlineStr">
        <is>
          <t>P г на выходе из АВОГ</t>
        </is>
      </c>
      <c r="I55" s="8" t="inlineStr">
        <is>
          <t>ГПА 72</t>
        </is>
      </c>
      <c r="J55" s="15" t="inlineStr">
        <is>
          <t>АСУ,А и ТМ (КЦ № 7)</t>
        </is>
      </c>
      <c r="K55" s="15" t="n"/>
      <c r="L55" s="15" t="n">
        <v>12</v>
      </c>
      <c r="M55" s="3" t="inlineStr">
        <is>
          <t>2К26</t>
        </is>
      </c>
      <c r="N55" s="70" t="inlineStr">
        <is>
          <t>К</t>
        </is>
      </c>
      <c r="O55" s="270" t="n"/>
    </row>
    <row r="56" ht="22.5" customHeight="1" s="151">
      <c r="A56" s="15">
        <f>IF(B56&lt;&gt;"", COUNTA($B$2:B56), "")</f>
        <v/>
      </c>
      <c r="B56" s="280" t="inlineStr">
        <is>
          <t>Манометр технический</t>
        </is>
      </c>
      <c r="C56" s="70" t="inlineStr">
        <is>
          <t>МП4-УУ2</t>
        </is>
      </c>
      <c r="D56" s="17" t="inlineStr">
        <is>
          <t>7000117</t>
        </is>
      </c>
      <c r="E56" s="15" t="n"/>
      <c r="F56" s="70" t="inlineStr">
        <is>
          <t>0…16 МПа</t>
        </is>
      </c>
      <c r="G56" s="71" t="n">
        <v>1.5</v>
      </c>
      <c r="H56" s="175" t="inlineStr">
        <is>
          <t>P г перед краном №2</t>
        </is>
      </c>
      <c r="I56" s="8" t="inlineStr">
        <is>
          <t>ГПА 72</t>
        </is>
      </c>
      <c r="J56" s="15" t="inlineStr">
        <is>
          <t>АСУ,А и ТМ (КЦ № 7)</t>
        </is>
      </c>
      <c r="K56" s="15" t="n"/>
      <c r="L56" s="15" t="n">
        <v>12</v>
      </c>
      <c r="M56" s="3" t="inlineStr">
        <is>
          <t>2К26</t>
        </is>
      </c>
      <c r="N56" s="70" t="inlineStr">
        <is>
          <t>К</t>
        </is>
      </c>
      <c r="O56" s="270" t="n"/>
    </row>
    <row r="57" ht="22.5" customHeight="1" s="151">
      <c r="A57" s="15">
        <f>IF(B57&lt;&gt;"", COUNTA($B$2:B57), "")</f>
        <v/>
      </c>
      <c r="B57" s="280" t="inlineStr">
        <is>
          <t>Манометр технический</t>
        </is>
      </c>
      <c r="C57" s="70" t="inlineStr">
        <is>
          <t>МП4-УУ2</t>
        </is>
      </c>
      <c r="D57" s="17" t="inlineStr">
        <is>
          <t>7000116</t>
        </is>
      </c>
      <c r="E57" s="15" t="n"/>
      <c r="F57" s="70" t="inlineStr">
        <is>
          <t>0…16 МПа</t>
        </is>
      </c>
      <c r="G57" s="71" t="n">
        <v>1.5</v>
      </c>
      <c r="H57" s="175" t="inlineStr">
        <is>
          <t>P г после крана №2</t>
        </is>
      </c>
      <c r="I57" s="8" t="inlineStr">
        <is>
          <t>ГПА 72</t>
        </is>
      </c>
      <c r="J57" s="15" t="inlineStr">
        <is>
          <t>АСУ,А и ТМ (КЦ № 7)</t>
        </is>
      </c>
      <c r="K57" s="15" t="n"/>
      <c r="L57" s="15" t="n">
        <v>12</v>
      </c>
      <c r="M57" s="3" t="inlineStr">
        <is>
          <t>2К26</t>
        </is>
      </c>
      <c r="N57" s="70" t="inlineStr">
        <is>
          <t>К</t>
        </is>
      </c>
      <c r="O57" s="270" t="n"/>
    </row>
    <row r="58" ht="22.5" customHeight="1" s="151">
      <c r="A58" s="15">
        <f>IF(B58&lt;&gt;"", COUNTA($B$2:B58), "")</f>
        <v/>
      </c>
      <c r="B58" s="280" t="inlineStr">
        <is>
          <t>Манометр технический</t>
        </is>
      </c>
      <c r="C58" s="70" t="inlineStr">
        <is>
          <t>МП3-УУ2</t>
        </is>
      </c>
      <c r="D58" s="17" t="inlineStr">
        <is>
          <t>212027942</t>
        </is>
      </c>
      <c r="E58" s="14" t="n"/>
      <c r="F58" s="70" t="inlineStr">
        <is>
          <t>0…16 МПа</t>
        </is>
      </c>
      <c r="G58" s="71" t="n">
        <v>1</v>
      </c>
      <c r="H58" s="175" t="inlineStr">
        <is>
          <t>P г на входе установки</t>
        </is>
      </c>
      <c r="I58" s="8" t="inlineStr">
        <is>
          <t>АВОГ 72</t>
        </is>
      </c>
      <c r="J58" s="15" t="inlineStr">
        <is>
          <t>АСУ,А и ТМ (КЦ № 7)</t>
        </is>
      </c>
      <c r="K58" s="15" t="n"/>
      <c r="L58" s="15" t="n">
        <v>12</v>
      </c>
      <c r="M58" s="3" t="inlineStr">
        <is>
          <t>2К26</t>
        </is>
      </c>
      <c r="N58" s="70" t="inlineStr">
        <is>
          <t>К</t>
        </is>
      </c>
      <c r="O58" s="270" t="n"/>
    </row>
    <row r="59" ht="22.5" customHeight="1" s="151">
      <c r="A59" s="15">
        <f>IF(B59&lt;&gt;"", COUNTA($B$2:B59), "")</f>
        <v/>
      </c>
      <c r="B59" s="280" t="inlineStr">
        <is>
          <t>Манометр технический</t>
        </is>
      </c>
      <c r="C59" s="70" t="inlineStr">
        <is>
          <t>МП3-УУ2</t>
        </is>
      </c>
      <c r="D59" s="17" t="inlineStr">
        <is>
          <t>212027987</t>
        </is>
      </c>
      <c r="E59" s="14" t="n"/>
      <c r="F59" s="70" t="inlineStr">
        <is>
          <t>0…16 МПа</t>
        </is>
      </c>
      <c r="G59" s="71" t="n">
        <v>1</v>
      </c>
      <c r="H59" s="175" t="inlineStr">
        <is>
          <t>P г на входе установки</t>
        </is>
      </c>
      <c r="I59" s="8" t="inlineStr">
        <is>
          <t>АВОГ 72</t>
        </is>
      </c>
      <c r="J59" s="15" t="inlineStr">
        <is>
          <t>АСУ,А и ТМ (КЦ № 7)</t>
        </is>
      </c>
      <c r="K59" s="15" t="n"/>
      <c r="L59" s="15" t="n">
        <v>12</v>
      </c>
      <c r="M59" s="3" t="inlineStr">
        <is>
          <t>2К26</t>
        </is>
      </c>
      <c r="N59" s="70" t="inlineStr">
        <is>
          <t>К</t>
        </is>
      </c>
      <c r="O59" s="270" t="n"/>
    </row>
    <row r="60" ht="22.5" customHeight="1" s="151">
      <c r="A60" s="15">
        <f>IF(B60&lt;&gt;"", COUNTA($B$2:B60), "")</f>
        <v/>
      </c>
      <c r="B60" s="280" t="inlineStr">
        <is>
          <t>Манометр технический</t>
        </is>
      </c>
      <c r="C60" s="70" t="inlineStr">
        <is>
          <t>МП3-УУ2</t>
        </is>
      </c>
      <c r="D60" s="29" t="inlineStr">
        <is>
          <t>212028006</t>
        </is>
      </c>
      <c r="E60" s="14" t="n"/>
      <c r="F60" s="70" t="inlineStr">
        <is>
          <t>0…16 МПа</t>
        </is>
      </c>
      <c r="G60" s="71" t="n">
        <v>1</v>
      </c>
      <c r="H60" s="175" t="inlineStr">
        <is>
          <t>P г на входе установки</t>
        </is>
      </c>
      <c r="I60" s="8" t="inlineStr">
        <is>
          <t>АВОГ 72</t>
        </is>
      </c>
      <c r="J60" s="15" t="inlineStr">
        <is>
          <t>АСУ,А и ТМ (КЦ № 7)</t>
        </is>
      </c>
      <c r="K60" s="15" t="n"/>
      <c r="L60" s="15" t="n">
        <v>12</v>
      </c>
      <c r="M60" s="3" t="inlineStr">
        <is>
          <t>2К26</t>
        </is>
      </c>
      <c r="N60" s="70" t="inlineStr">
        <is>
          <t>К</t>
        </is>
      </c>
      <c r="O60" s="270" t="n"/>
    </row>
    <row r="61" ht="22.5" customHeight="1" s="151">
      <c r="A61" s="15">
        <f>IF(B61&lt;&gt;"", COUNTA($B$2:B61), "")</f>
        <v/>
      </c>
      <c r="B61" s="280" t="inlineStr">
        <is>
          <t>Манометр технический</t>
        </is>
      </c>
      <c r="C61" s="70" t="inlineStr">
        <is>
          <t>МП3-УУ2</t>
        </is>
      </c>
      <c r="D61" s="17" t="inlineStr">
        <is>
          <t>212027918</t>
        </is>
      </c>
      <c r="E61" s="17" t="n"/>
      <c r="F61" s="70" t="inlineStr">
        <is>
          <t>0…16 МПа</t>
        </is>
      </c>
      <c r="G61" s="71" t="n">
        <v>1</v>
      </c>
      <c r="H61" s="175" t="inlineStr">
        <is>
          <t>P г на входе установки</t>
        </is>
      </c>
      <c r="I61" s="8" t="inlineStr">
        <is>
          <t>АВОГ 72</t>
        </is>
      </c>
      <c r="J61" s="15" t="inlineStr">
        <is>
          <t>АСУ,А и ТМ (КЦ № 7)</t>
        </is>
      </c>
      <c r="K61" s="15" t="n"/>
      <c r="L61" s="15" t="n">
        <v>12</v>
      </c>
      <c r="M61" s="3" t="inlineStr">
        <is>
          <t>2К26</t>
        </is>
      </c>
      <c r="N61" s="70" t="inlineStr">
        <is>
          <t>К</t>
        </is>
      </c>
      <c r="O61" s="270" t="n"/>
    </row>
    <row r="62" ht="22.5" customHeight="1" s="151">
      <c r="A62" s="15">
        <f>IF(B62&lt;&gt;"", COUNTA($B$2:B62), "")</f>
        <v/>
      </c>
      <c r="B62" s="280" t="inlineStr">
        <is>
          <t>Манометр технический</t>
        </is>
      </c>
      <c r="C62" s="70" t="inlineStr">
        <is>
          <t>МП3-УУ2</t>
        </is>
      </c>
      <c r="D62" s="3" t="inlineStr">
        <is>
          <t>212027930</t>
        </is>
      </c>
      <c r="E62" s="15" t="n"/>
      <c r="F62" s="70" t="inlineStr">
        <is>
          <t>0…16 МПа</t>
        </is>
      </c>
      <c r="G62" s="71" t="n">
        <v>1</v>
      </c>
      <c r="H62" s="175" t="inlineStr">
        <is>
          <t>P г на входе установки</t>
        </is>
      </c>
      <c r="I62" s="8" t="inlineStr">
        <is>
          <t>АВОГ 72</t>
        </is>
      </c>
      <c r="J62" s="15" t="inlineStr">
        <is>
          <t>АСУ,А и ТМ (КЦ № 7)</t>
        </is>
      </c>
      <c r="K62" s="15" t="n"/>
      <c r="L62" s="15" t="n">
        <v>12</v>
      </c>
      <c r="M62" s="3" t="inlineStr">
        <is>
          <t>2К26</t>
        </is>
      </c>
      <c r="N62" s="70" t="inlineStr">
        <is>
          <t>К</t>
        </is>
      </c>
      <c r="O62" s="270" t="n"/>
    </row>
    <row r="63" ht="22.5" customHeight="1" s="151">
      <c r="A63" s="15">
        <f>IF(B63&lt;&gt;"", COUNTA($B$2:B63), "")</f>
        <v/>
      </c>
      <c r="B63" s="280" t="inlineStr">
        <is>
          <t>Манометр технический</t>
        </is>
      </c>
      <c r="C63" s="70" t="inlineStr">
        <is>
          <t>МП3-УУ2</t>
        </is>
      </c>
      <c r="D63" s="17" t="inlineStr">
        <is>
          <t>212028007</t>
        </is>
      </c>
      <c r="E63" s="15" t="n"/>
      <c r="F63" s="70" t="inlineStr">
        <is>
          <t>0…16 МПа</t>
        </is>
      </c>
      <c r="G63" s="71" t="n">
        <v>1</v>
      </c>
      <c r="H63" s="175" t="inlineStr">
        <is>
          <t>P г на входе установки</t>
        </is>
      </c>
      <c r="I63" s="8" t="inlineStr">
        <is>
          <t>АВОГ 72</t>
        </is>
      </c>
      <c r="J63" s="15" t="inlineStr">
        <is>
          <t>АСУ,А и ТМ (КЦ № 7)</t>
        </is>
      </c>
      <c r="K63" s="15" t="n"/>
      <c r="L63" s="15" t="n">
        <v>12</v>
      </c>
      <c r="M63" s="3" t="inlineStr">
        <is>
          <t>2К26</t>
        </is>
      </c>
      <c r="N63" s="70" t="inlineStr">
        <is>
          <t>К</t>
        </is>
      </c>
      <c r="O63" s="270" t="n"/>
    </row>
    <row r="64" ht="22.5" customHeight="1" s="151">
      <c r="A64" s="15">
        <f>IF(B64&lt;&gt;"", COUNTA($B$2:B64), "")</f>
        <v/>
      </c>
      <c r="B64" s="280" t="inlineStr">
        <is>
          <t>Манометр технический</t>
        </is>
      </c>
      <c r="C64" s="70" t="inlineStr">
        <is>
          <t>МП3-УУ2</t>
        </is>
      </c>
      <c r="D64" s="29" t="inlineStr">
        <is>
          <t>212027986</t>
        </is>
      </c>
      <c r="E64" s="70" t="n"/>
      <c r="F64" s="70" t="inlineStr">
        <is>
          <t>0…16 МПа</t>
        </is>
      </c>
      <c r="G64" s="71" t="n">
        <v>1</v>
      </c>
      <c r="H64" s="175" t="inlineStr">
        <is>
          <t>P г на входе установки</t>
        </is>
      </c>
      <c r="I64" s="8" t="inlineStr">
        <is>
          <t>АВОГ 72</t>
        </is>
      </c>
      <c r="J64" s="15" t="inlineStr">
        <is>
          <t>АСУ,А и ТМ (КЦ № 7)</t>
        </is>
      </c>
      <c r="K64" s="15" t="n"/>
      <c r="L64" s="15" t="n">
        <v>12</v>
      </c>
      <c r="M64" s="3" t="inlineStr">
        <is>
          <t>2К26</t>
        </is>
      </c>
      <c r="N64" s="70" t="inlineStr">
        <is>
          <t>К</t>
        </is>
      </c>
      <c r="O64" s="270" t="n"/>
    </row>
    <row r="65" ht="22.5" customHeight="1" s="151">
      <c r="A65" s="15">
        <f>IF(B65&lt;&gt;"", COUNTA($B$2:B65), "")</f>
        <v/>
      </c>
      <c r="B65" s="280" t="inlineStr">
        <is>
          <t>Манометр технический</t>
        </is>
      </c>
      <c r="C65" s="70" t="inlineStr">
        <is>
          <t>МП3-УУ2</t>
        </is>
      </c>
      <c r="D65" s="29" t="inlineStr">
        <is>
          <t>212027984</t>
        </is>
      </c>
      <c r="E65" s="70" t="n"/>
      <c r="F65" s="70" t="inlineStr">
        <is>
          <t>0…16 МПа</t>
        </is>
      </c>
      <c r="G65" s="71" t="n">
        <v>1</v>
      </c>
      <c r="H65" s="175" t="inlineStr">
        <is>
          <t>P г на входе установки</t>
        </is>
      </c>
      <c r="I65" s="8" t="inlineStr">
        <is>
          <t>АВОГ 72</t>
        </is>
      </c>
      <c r="J65" s="15" t="inlineStr">
        <is>
          <t>АСУ,А и ТМ (КЦ № 7)</t>
        </is>
      </c>
      <c r="K65" s="15" t="n"/>
      <c r="L65" s="15" t="n">
        <v>12</v>
      </c>
      <c r="M65" s="3" t="inlineStr">
        <is>
          <t>2К26</t>
        </is>
      </c>
      <c r="N65" s="70" t="inlineStr">
        <is>
          <t>К</t>
        </is>
      </c>
      <c r="O65" s="270" t="n"/>
    </row>
    <row r="66" ht="22.5" customHeight="1" s="151">
      <c r="A66" s="15">
        <f>IF(B66&lt;&gt;"", COUNTA($B$2:B66), "")</f>
        <v/>
      </c>
      <c r="B66" s="280" t="inlineStr">
        <is>
          <t>Манометр технический</t>
        </is>
      </c>
      <c r="C66" s="70" t="inlineStr">
        <is>
          <t>МП4-УУХЛ1</t>
        </is>
      </c>
      <c r="D66" s="71" t="n">
        <v>2097324</v>
      </c>
      <c r="E66" s="70" t="n"/>
      <c r="F66" s="70" t="inlineStr">
        <is>
          <t>0…16 МПа</t>
        </is>
      </c>
      <c r="G66" s="71" t="n">
        <v>1</v>
      </c>
      <c r="H66" s="175" t="inlineStr">
        <is>
          <t>P имп г крана 6к</t>
        </is>
      </c>
      <c r="I66" s="8" t="inlineStr">
        <is>
          <t>ГПА 72</t>
        </is>
      </c>
      <c r="J66" s="15" t="inlineStr">
        <is>
          <t>АСУ,А и ТМ (КЦ № 7)</t>
        </is>
      </c>
      <c r="K66" s="15" t="n"/>
      <c r="L66" s="15" t="n">
        <v>12</v>
      </c>
      <c r="M66" s="3" t="inlineStr">
        <is>
          <t>2К26</t>
        </is>
      </c>
      <c r="N66" s="70" t="inlineStr">
        <is>
          <t>К</t>
        </is>
      </c>
      <c r="O66" s="270" t="n"/>
    </row>
    <row r="67" ht="22.5" customHeight="1" s="151">
      <c r="A67" s="15">
        <f>IF(B67&lt;&gt;"", COUNTA($B$2:B67), "")</f>
        <v/>
      </c>
      <c r="B67" s="73" t="inlineStr">
        <is>
          <t>Термометр биметаллический</t>
        </is>
      </c>
      <c r="C67" s="14" t="inlineStr">
        <is>
          <t>ТБ-2р ухл2</t>
        </is>
      </c>
      <c r="D67" s="14" t="n">
        <v>7317</v>
      </c>
      <c r="E67" s="14" t="n"/>
      <c r="F67" s="70" t="inlineStr">
        <is>
          <t>0…100 °С</t>
        </is>
      </c>
      <c r="G67" s="71" t="n">
        <v>1.5</v>
      </c>
      <c r="H67" s="14" t="inlineStr">
        <is>
          <t>T в до фильтра</t>
        </is>
      </c>
      <c r="I67" s="8" t="inlineStr">
        <is>
          <t>ГПА 72</t>
        </is>
      </c>
      <c r="J67" s="15" t="inlineStr">
        <is>
          <t>АСУ,А и ТМ (КЦ № 7)</t>
        </is>
      </c>
      <c r="K67" s="15" t="n"/>
      <c r="L67" s="15" t="n">
        <v>24</v>
      </c>
      <c r="M67" s="3" t="inlineStr">
        <is>
          <t>2К26</t>
        </is>
      </c>
      <c r="N67" s="70" t="inlineStr">
        <is>
          <t>К</t>
        </is>
      </c>
      <c r="O67" s="270" t="n"/>
    </row>
    <row r="68" ht="22.5" customHeight="1" s="151">
      <c r="A68" s="15">
        <f>IF(B68&lt;&gt;"", COUNTA($B$2:B68), "")</f>
        <v/>
      </c>
      <c r="B68" s="73" t="inlineStr">
        <is>
          <t>Термометр биметаллический</t>
        </is>
      </c>
      <c r="C68" s="14" t="inlineStr">
        <is>
          <t>ТБ-2</t>
        </is>
      </c>
      <c r="D68" s="14" t="n">
        <v>8572</v>
      </c>
      <c r="E68" s="15" t="n"/>
      <c r="F68" s="32" t="inlineStr">
        <is>
          <t>-50…100 °С</t>
        </is>
      </c>
      <c r="G68" s="71" t="n">
        <v>1</v>
      </c>
      <c r="H68" s="14" t="inlineStr">
        <is>
          <t>T г на выходе установки</t>
        </is>
      </c>
      <c r="I68" s="8" t="inlineStr">
        <is>
          <t>АВОГ 72</t>
        </is>
      </c>
      <c r="J68" s="15" t="inlineStr">
        <is>
          <t>АСУ,А и ТМ (КЦ № 7)</t>
        </is>
      </c>
      <c r="K68" s="15" t="n"/>
      <c r="L68" s="15" t="n">
        <v>24</v>
      </c>
      <c r="M68" s="3" t="inlineStr">
        <is>
          <t>2к26</t>
        </is>
      </c>
      <c r="N68" s="70" t="inlineStr">
        <is>
          <t>К</t>
        </is>
      </c>
      <c r="O68" s="270" t="n"/>
    </row>
    <row r="69" ht="22.5" customHeight="1" s="151">
      <c r="A69" s="15">
        <f>IF(B69&lt;&gt;"", COUNTA($B$2:B69), "")</f>
        <v/>
      </c>
      <c r="B69" s="73" t="inlineStr">
        <is>
          <t>Термометр биметаллический</t>
        </is>
      </c>
      <c r="C69" s="14" t="inlineStr">
        <is>
          <t>ТБ-2</t>
        </is>
      </c>
      <c r="D69" s="14" t="n">
        <v>8528</v>
      </c>
      <c r="E69" s="15" t="n"/>
      <c r="F69" s="32" t="inlineStr">
        <is>
          <t>-50…100 °С</t>
        </is>
      </c>
      <c r="G69" s="71" t="n">
        <v>1</v>
      </c>
      <c r="H69" s="14" t="inlineStr">
        <is>
          <t>T г на выходе установки</t>
        </is>
      </c>
      <c r="I69" s="8" t="inlineStr">
        <is>
          <t>АВОГ 72</t>
        </is>
      </c>
      <c r="J69" s="15" t="inlineStr">
        <is>
          <t>АСУ,А и ТМ (КЦ № 7)</t>
        </is>
      </c>
      <c r="K69" s="15" t="n"/>
      <c r="L69" s="15" t="n">
        <v>24</v>
      </c>
      <c r="M69" s="3" t="inlineStr">
        <is>
          <t>2к26</t>
        </is>
      </c>
      <c r="N69" s="70" t="inlineStr">
        <is>
          <t>К</t>
        </is>
      </c>
      <c r="O69" s="270" t="n"/>
    </row>
    <row r="70" ht="22.5" customHeight="1" s="151">
      <c r="A70" s="15">
        <f>IF(B70&lt;&gt;"", COUNTA($B$2:B70), "")</f>
        <v/>
      </c>
      <c r="B70" s="73" t="inlineStr">
        <is>
          <t>Термометр биметаллический</t>
        </is>
      </c>
      <c r="C70" s="14" t="inlineStr">
        <is>
          <t>ТБ-2</t>
        </is>
      </c>
      <c r="D70" s="14" t="n">
        <v>8533</v>
      </c>
      <c r="E70" s="15" t="n"/>
      <c r="F70" s="32" t="inlineStr">
        <is>
          <t>-50…100 °С</t>
        </is>
      </c>
      <c r="G70" s="71" t="n">
        <v>1</v>
      </c>
      <c r="H70" s="14" t="inlineStr">
        <is>
          <t>T г на выходе установки</t>
        </is>
      </c>
      <c r="I70" s="8" t="inlineStr">
        <is>
          <t>АВОГ 72</t>
        </is>
      </c>
      <c r="J70" s="15" t="inlineStr">
        <is>
          <t>АСУ,А и ТМ (КЦ № 7)</t>
        </is>
      </c>
      <c r="K70" s="15" t="n"/>
      <c r="L70" s="15" t="n">
        <v>24</v>
      </c>
      <c r="M70" s="3" t="inlineStr">
        <is>
          <t>2к26</t>
        </is>
      </c>
      <c r="N70" s="70" t="inlineStr">
        <is>
          <t>К</t>
        </is>
      </c>
      <c r="O70" s="270" t="n"/>
    </row>
    <row r="71" ht="22.5" customHeight="1" s="151">
      <c r="A71" s="15">
        <f>IF(B71&lt;&gt;"", COUNTA($B$2:B71), "")</f>
        <v/>
      </c>
      <c r="B71" s="73" t="inlineStr">
        <is>
          <t>Термометр биметаллический</t>
        </is>
      </c>
      <c r="C71" s="14" t="inlineStr">
        <is>
          <t>ТБ-2</t>
        </is>
      </c>
      <c r="D71" s="14" t="n">
        <v>8567</v>
      </c>
      <c r="E71" s="15" t="n"/>
      <c r="F71" s="32" t="inlineStr">
        <is>
          <t>-50…100 °С</t>
        </is>
      </c>
      <c r="G71" s="71" t="n">
        <v>1</v>
      </c>
      <c r="H71" s="14" t="inlineStr">
        <is>
          <t>T г на выходе установки</t>
        </is>
      </c>
      <c r="I71" s="8" t="inlineStr">
        <is>
          <t>АВОГ 72</t>
        </is>
      </c>
      <c r="J71" s="15" t="inlineStr">
        <is>
          <t>АСУ,А и ТМ (КЦ № 7)</t>
        </is>
      </c>
      <c r="K71" s="15" t="n"/>
      <c r="L71" s="15" t="n">
        <v>24</v>
      </c>
      <c r="M71" s="3" t="inlineStr">
        <is>
          <t>2к26</t>
        </is>
      </c>
      <c r="N71" s="70" t="inlineStr">
        <is>
          <t>К</t>
        </is>
      </c>
      <c r="O71" s="270" t="n"/>
    </row>
    <row r="72" ht="22.5" customHeight="1" s="151">
      <c r="A72" s="15">
        <f>IF(B72&lt;&gt;"", COUNTA($B$2:B72), "")</f>
        <v/>
      </c>
      <c r="B72" s="73" t="inlineStr">
        <is>
          <t>Термометр биметаллический</t>
        </is>
      </c>
      <c r="C72" s="14" t="inlineStr">
        <is>
          <t>ТБ-2</t>
        </is>
      </c>
      <c r="D72" s="14" t="n">
        <v>8559</v>
      </c>
      <c r="E72" s="15" t="n"/>
      <c r="F72" s="32" t="inlineStr">
        <is>
          <t>-50…100 °С</t>
        </is>
      </c>
      <c r="G72" s="71" t="n">
        <v>1</v>
      </c>
      <c r="H72" s="14" t="inlineStr">
        <is>
          <t>T г на выходе установки</t>
        </is>
      </c>
      <c r="I72" s="8" t="inlineStr">
        <is>
          <t>АВОГ 72</t>
        </is>
      </c>
      <c r="J72" s="15" t="inlineStr">
        <is>
          <t>АСУ,А и ТМ (КЦ № 7)</t>
        </is>
      </c>
      <c r="K72" s="15" t="n"/>
      <c r="L72" s="15" t="n">
        <v>24</v>
      </c>
      <c r="M72" s="3" t="inlineStr">
        <is>
          <t>2к26</t>
        </is>
      </c>
      <c r="N72" s="70" t="inlineStr">
        <is>
          <t>К</t>
        </is>
      </c>
      <c r="O72" s="270" t="n"/>
    </row>
    <row r="73" ht="22.5" customHeight="1" s="151">
      <c r="A73" s="15">
        <f>IF(B73&lt;&gt;"", COUNTA($B$2:B73), "")</f>
        <v/>
      </c>
      <c r="B73" s="73" t="inlineStr">
        <is>
          <t>Термометр биметаллический</t>
        </is>
      </c>
      <c r="C73" s="14" t="inlineStr">
        <is>
          <t>ТБ-2</t>
        </is>
      </c>
      <c r="D73" s="14" t="n">
        <v>8535</v>
      </c>
      <c r="E73" s="14" t="n"/>
      <c r="F73" s="32" t="inlineStr">
        <is>
          <t>-50…100 °С</t>
        </is>
      </c>
      <c r="G73" s="71" t="n">
        <v>1</v>
      </c>
      <c r="H73" s="14" t="inlineStr">
        <is>
          <t>T г на выходе установки</t>
        </is>
      </c>
      <c r="I73" s="8" t="inlineStr">
        <is>
          <t>АВОГ 72</t>
        </is>
      </c>
      <c r="J73" s="15" t="inlineStr">
        <is>
          <t>АСУ,А и ТМ (КЦ № 7)</t>
        </is>
      </c>
      <c r="K73" s="15" t="n"/>
      <c r="L73" s="15" t="n">
        <v>24</v>
      </c>
      <c r="M73" s="3" t="inlineStr">
        <is>
          <t>2к26</t>
        </is>
      </c>
      <c r="N73" s="70" t="inlineStr">
        <is>
          <t>К</t>
        </is>
      </c>
      <c r="O73" s="270" t="n"/>
    </row>
    <row r="74" ht="22.5" customHeight="1" s="151">
      <c r="A74" s="15">
        <f>IF(B74&lt;&gt;"", COUNTA($B$2:B74), "")</f>
        <v/>
      </c>
      <c r="B74" s="73" t="inlineStr">
        <is>
          <t>Термометр биметаллический</t>
        </is>
      </c>
      <c r="C74" s="14" t="inlineStr">
        <is>
          <t>ТБ-2</t>
        </is>
      </c>
      <c r="D74" s="14" t="n">
        <v>8565</v>
      </c>
      <c r="E74" s="14" t="n"/>
      <c r="F74" s="32" t="inlineStr">
        <is>
          <t>-50…100 °С</t>
        </is>
      </c>
      <c r="G74" s="71" t="n">
        <v>1</v>
      </c>
      <c r="H74" s="14" t="inlineStr">
        <is>
          <t>T г на выходе установки</t>
        </is>
      </c>
      <c r="I74" s="8" t="inlineStr">
        <is>
          <t>АВОГ 72</t>
        </is>
      </c>
      <c r="J74" s="15" t="inlineStr">
        <is>
          <t>АСУ,А и ТМ (КЦ № 7)</t>
        </is>
      </c>
      <c r="K74" s="15" t="n"/>
      <c r="L74" s="15" t="n">
        <v>24</v>
      </c>
      <c r="M74" s="3" t="inlineStr">
        <is>
          <t>2к26</t>
        </is>
      </c>
      <c r="N74" s="70" t="inlineStr">
        <is>
          <t>К</t>
        </is>
      </c>
      <c r="O74" s="270" t="n"/>
    </row>
    <row r="75" ht="22.5" customHeight="1" s="151">
      <c r="A75" s="15">
        <f>IF(B75&lt;&gt;"", COUNTA($B$2:B75), "")</f>
        <v/>
      </c>
      <c r="B75" s="73" t="inlineStr">
        <is>
          <t>Термометр биметаллический</t>
        </is>
      </c>
      <c r="C75" s="14" t="inlineStr">
        <is>
          <t>ТБ-2</t>
        </is>
      </c>
      <c r="D75" s="14" t="n">
        <v>8570</v>
      </c>
      <c r="E75" s="14" t="n"/>
      <c r="F75" s="32" t="inlineStr">
        <is>
          <t>-50…100 °С</t>
        </is>
      </c>
      <c r="G75" s="71" t="n">
        <v>1</v>
      </c>
      <c r="H75" s="14" t="inlineStr">
        <is>
          <t>T г на выходе установки</t>
        </is>
      </c>
      <c r="I75" s="8" t="inlineStr">
        <is>
          <t>АВОГ 72</t>
        </is>
      </c>
      <c r="J75" s="15" t="inlineStr">
        <is>
          <t>АСУ,А и ТМ (КЦ № 7)</t>
        </is>
      </c>
      <c r="K75" s="15" t="n"/>
      <c r="L75" s="15" t="n">
        <v>24</v>
      </c>
      <c r="M75" s="3" t="inlineStr">
        <is>
          <t>2к26</t>
        </is>
      </c>
      <c r="N75" s="70" t="inlineStr">
        <is>
          <t>К</t>
        </is>
      </c>
      <c r="O75" s="270" t="n"/>
    </row>
    <row r="76" ht="22.5" customHeight="1" s="151">
      <c r="A76" s="15">
        <f>IF(B76&lt;&gt;"", COUNTA($B$2:B76), "")</f>
        <v/>
      </c>
      <c r="B76" s="73" t="inlineStr">
        <is>
          <t>Расходомер</t>
        </is>
      </c>
      <c r="C76" s="14" t="inlineStr">
        <is>
          <t>Yokogawa D-79664</t>
        </is>
      </c>
      <c r="D76" s="14" t="inlineStr">
        <is>
          <t>D1U302285</t>
        </is>
      </c>
      <c r="E76" s="14" t="n">
        <v>2018</v>
      </c>
      <c r="F76" s="172" t="inlineStr">
        <is>
          <t>1200 м3/ч</t>
        </is>
      </c>
      <c r="G76" s="71" t="n"/>
      <c r="H76" s="175" t="inlineStr">
        <is>
          <t>Qбг на входе в ГДУ ПКВ</t>
        </is>
      </c>
      <c r="I76" s="8" t="inlineStr">
        <is>
          <t>ГПА 72</t>
        </is>
      </c>
      <c r="J76" s="15" t="inlineStr">
        <is>
          <t>АСУ,А и ТМ (КЦ № 7)</t>
        </is>
      </c>
      <c r="K76" s="15" t="n"/>
      <c r="L76" s="15" t="n">
        <v>60</v>
      </c>
      <c r="M76" s="3" t="n"/>
      <c r="N76" s="70" t="n"/>
      <c r="O76" s="272" t="n"/>
    </row>
    <row r="77" ht="22.5" customHeight="1" s="151">
      <c r="A77" s="15">
        <f>IF(B77&lt;&gt;"", COUNTA($B$2:B77), "")</f>
        <v/>
      </c>
      <c r="B77" s="73" t="inlineStr">
        <is>
          <t>Расходомер</t>
        </is>
      </c>
      <c r="C77" s="14" t="inlineStr">
        <is>
          <t>Yokogawa D-79664</t>
        </is>
      </c>
      <c r="D77" s="14" t="inlineStr">
        <is>
          <t>D1U302284</t>
        </is>
      </c>
      <c r="E77" s="14" t="n">
        <v>2018</v>
      </c>
      <c r="F77" s="172" t="inlineStr">
        <is>
          <t>1200 м3/ч</t>
        </is>
      </c>
      <c r="G77" s="71" t="n"/>
      <c r="H77" s="175" t="inlineStr">
        <is>
          <t>Qбг на входе в ГДУ ЗКВ</t>
        </is>
      </c>
      <c r="I77" s="8" t="inlineStr">
        <is>
          <t>ГПА 72</t>
        </is>
      </c>
      <c r="J77" s="15" t="inlineStr">
        <is>
          <t>АСУ,А и ТМ (КЦ № 7)</t>
        </is>
      </c>
      <c r="K77" s="15" t="n"/>
      <c r="L77" s="15" t="n">
        <v>60</v>
      </c>
      <c r="M77" s="3" t="n"/>
      <c r="N77" s="70" t="n"/>
      <c r="O77" s="272" t="n"/>
    </row>
    <row r="78" ht="22.5" customHeight="1" s="151">
      <c r="A78" s="15">
        <f>IF(B78&lt;&gt;"", COUNTA($B$2:B78), "")</f>
        <v/>
      </c>
      <c r="B78" s="73" t="inlineStr">
        <is>
          <t>Расходомер</t>
        </is>
      </c>
      <c r="C78" s="14" t="inlineStr">
        <is>
          <t>Yokogawa D-79664</t>
        </is>
      </c>
      <c r="D78" s="14" t="inlineStr">
        <is>
          <t>D1U402343</t>
        </is>
      </c>
      <c r="E78" s="14" t="n">
        <v>2018</v>
      </c>
      <c r="F78" s="172" t="inlineStr">
        <is>
          <t>20 м3/ч</t>
        </is>
      </c>
      <c r="G78" s="71" t="n"/>
      <c r="H78" s="175" t="inlineStr">
        <is>
          <t xml:space="preserve">Qбг в линии утечек 1-ой ступени ГДУ ПКВ  </t>
        </is>
      </c>
      <c r="I78" s="8" t="inlineStr">
        <is>
          <t>ГПА 72</t>
        </is>
      </c>
      <c r="J78" s="15" t="inlineStr">
        <is>
          <t>АСУ,А и ТМ (КЦ № 7)</t>
        </is>
      </c>
      <c r="K78" s="15" t="n"/>
      <c r="L78" s="15" t="n">
        <v>60</v>
      </c>
      <c r="M78" s="3" t="n"/>
      <c r="N78" s="70" t="n"/>
      <c r="O78" s="272" t="n"/>
    </row>
    <row r="79" ht="22.5" customHeight="1" s="151">
      <c r="A79" s="15">
        <f>IF(B79&lt;&gt;"", COUNTA($B$2:B79), "")</f>
        <v/>
      </c>
      <c r="B79" s="73" t="inlineStr">
        <is>
          <t>Расходомер</t>
        </is>
      </c>
      <c r="C79" s="14" t="inlineStr">
        <is>
          <t>Yokogawa D-79664</t>
        </is>
      </c>
      <c r="D79" s="14" t="inlineStr">
        <is>
          <t>D1U402344</t>
        </is>
      </c>
      <c r="E79" s="14" t="n">
        <v>2018</v>
      </c>
      <c r="F79" s="172" t="inlineStr">
        <is>
          <t>20 м3/ч</t>
        </is>
      </c>
      <c r="G79" s="71" t="n"/>
      <c r="H79" s="175" t="inlineStr">
        <is>
          <t xml:space="preserve">Qбг в линии утечек 1-ой ступени ГДУ ЗКВ  </t>
        </is>
      </c>
      <c r="I79" s="8" t="inlineStr">
        <is>
          <t>ГПА 72</t>
        </is>
      </c>
      <c r="J79" s="15" t="inlineStr">
        <is>
          <t>АСУ,А и ТМ (КЦ № 7)</t>
        </is>
      </c>
      <c r="K79" s="15" t="n"/>
      <c r="L79" s="15" t="n">
        <v>60</v>
      </c>
      <c r="M79" s="3" t="n"/>
      <c r="N79" s="70" t="n"/>
      <c r="O79" s="272" t="n"/>
    </row>
    <row r="80" ht="22.5" customHeight="1" s="151">
      <c r="A80" s="15">
        <f>IF(B80&lt;&gt;"", COUNTA($B$2:B80), "")</f>
        <v/>
      </c>
      <c r="B80" s="73" t="inlineStr">
        <is>
          <t>Расходомер</t>
        </is>
      </c>
      <c r="C80" s="14" t="inlineStr">
        <is>
          <t>Turbo Flow UFG-F</t>
        </is>
      </c>
      <c r="D80" s="14" t="n">
        <v>90651</v>
      </c>
      <c r="E80" s="14" t="n">
        <v>2018</v>
      </c>
      <c r="F80" s="172" t="inlineStr">
        <is>
          <t>2,2…440 м3/ч</t>
        </is>
      </c>
      <c r="G80" s="75" t="n">
        <v>0.02</v>
      </c>
      <c r="H80" s="14" t="inlineStr">
        <is>
          <t>Расход топл. газа</t>
        </is>
      </c>
      <c r="I80" s="8" t="inlineStr">
        <is>
          <t>ГПА 72</t>
        </is>
      </c>
      <c r="J80" s="15" t="inlineStr">
        <is>
          <t>АСУ,А и ТМ (КЦ № 7)</t>
        </is>
      </c>
      <c r="K80" s="15" t="n"/>
      <c r="L80" s="15" t="n">
        <v>60</v>
      </c>
      <c r="M80" s="3" t="n"/>
      <c r="N80" s="70" t="n"/>
      <c r="O80" s="270" t="n"/>
    </row>
    <row r="81" ht="22.5" customHeight="1" s="151">
      <c r="A81" s="15">
        <f>IF(B81&lt;&gt;"", COUNTA($B$2:B81), "")</f>
        <v/>
      </c>
      <c r="B81" s="76" t="inlineStr">
        <is>
          <t>Корректор объёма газа</t>
        </is>
      </c>
      <c r="C81" s="14" t="inlineStr">
        <is>
          <t>ЕК270</t>
        </is>
      </c>
      <c r="D81" s="14" t="n">
        <v>1119090075</v>
      </c>
      <c r="E81" s="15" t="n">
        <v>2019</v>
      </c>
      <c r="F81" s="3" t="n"/>
      <c r="G81" s="71" t="n"/>
      <c r="H81" s="14" t="inlineStr">
        <is>
          <t>коммерческий учет газа</t>
        </is>
      </c>
      <c r="I81" s="8" t="inlineStr">
        <is>
          <t>АВГМ 72</t>
        </is>
      </c>
      <c r="J81" s="15" t="inlineStr">
        <is>
          <t>АСУ,А и ТМ (КЦ № 7)</t>
        </is>
      </c>
      <c r="K81" s="15" t="n"/>
      <c r="L81" s="15" t="n">
        <v>60</v>
      </c>
      <c r="M81" s="3" t="n"/>
      <c r="N81" s="70" t="n"/>
      <c r="O81" s="270" t="n"/>
    </row>
    <row r="82" ht="22.5" customHeight="1" s="151">
      <c r="A82" s="15">
        <f>IF(B82&lt;&gt;"", COUNTA($B$2:B82), "")</f>
        <v/>
      </c>
      <c r="B82" s="280" t="inlineStr">
        <is>
          <t>Комплекс для измерения количества газа</t>
        </is>
      </c>
      <c r="C82" s="14" t="inlineStr">
        <is>
          <t>СГ-ЭК-Вз-Р-0,2-160/1,6</t>
        </is>
      </c>
      <c r="D82" s="29" t="inlineStr">
        <is>
          <t>1519090070</t>
        </is>
      </c>
      <c r="E82" s="15" t="n">
        <v>2019</v>
      </c>
      <c r="F82" s="3" t="n"/>
      <c r="G82" s="71" t="n"/>
      <c r="H82" s="14" t="inlineStr">
        <is>
          <t>коммерческий учет газа</t>
        </is>
      </c>
      <c r="I82" s="8" t="inlineStr">
        <is>
          <t>АВГМ 72</t>
        </is>
      </c>
      <c r="J82" s="15" t="inlineStr">
        <is>
          <t>АСУ,А и ТМ (КЦ № 7)</t>
        </is>
      </c>
      <c r="K82" s="15" t="n"/>
      <c r="L82" s="15" t="n">
        <v>60</v>
      </c>
      <c r="M82" s="3" t="n"/>
      <c r="N82" s="70" t="n"/>
      <c r="O82" s="270" t="n"/>
    </row>
    <row r="83" ht="22.5" customHeight="1" s="151">
      <c r="A83" s="15">
        <f>IF(B83&lt;&gt;"", COUNTA($B$2:B83), "")</f>
        <v/>
      </c>
      <c r="B83" s="280" t="inlineStr">
        <is>
          <t>Счётчик газа</t>
        </is>
      </c>
      <c r="C83" s="14" t="inlineStr">
        <is>
          <t>RVG G100</t>
        </is>
      </c>
      <c r="D83" s="29" t="inlineStr">
        <is>
          <t>1219090052</t>
        </is>
      </c>
      <c r="E83" s="15" t="n">
        <v>2019</v>
      </c>
      <c r="F83" s="172" t="inlineStr">
        <is>
          <t>3…160 м3/ч</t>
        </is>
      </c>
      <c r="G83" s="75" t="n">
        <v>0.01</v>
      </c>
      <c r="H83" s="14" t="inlineStr">
        <is>
          <t>коммерческий учет газа</t>
        </is>
      </c>
      <c r="I83" s="8" t="inlineStr">
        <is>
          <t>АВГМ 72</t>
        </is>
      </c>
      <c r="J83" s="15" t="inlineStr">
        <is>
          <t>АСУ,А и ТМ (КЦ № 7)</t>
        </is>
      </c>
      <c r="K83" s="15" t="n"/>
      <c r="L83" s="15" t="n">
        <v>60</v>
      </c>
      <c r="M83" s="3" t="n"/>
      <c r="N83" s="70" t="n"/>
      <c r="O83" s="270" t="n"/>
    </row>
    <row r="84" ht="22.5" customHeight="1" s="151">
      <c r="A84" s="15">
        <f>IF(B84&lt;&gt;"", COUNTA($B$2:B84), "")</f>
        <v/>
      </c>
      <c r="B84" s="280" t="inlineStr">
        <is>
          <t>Газоанализатор оптический</t>
        </is>
      </c>
      <c r="C84" s="150" t="inlineStr">
        <is>
          <t>ОГС-ПГП/М</t>
        </is>
      </c>
      <c r="D84" s="29" t="inlineStr">
        <is>
          <t>15320</t>
        </is>
      </c>
      <c r="E84" s="70" t="n">
        <v>2021</v>
      </c>
      <c r="F84" s="3" t="n"/>
      <c r="G84" s="71" t="n"/>
      <c r="H84" s="14" t="inlineStr">
        <is>
          <t>Измерение уровня загазованности</t>
        </is>
      </c>
      <c r="I84" s="8" t="inlineStr">
        <is>
          <t>АВГМ 72</t>
        </is>
      </c>
      <c r="J84" s="15" t="inlineStr">
        <is>
          <t>АСУ,А и ТМ (КЦ № 7)</t>
        </is>
      </c>
      <c r="K84" s="15" t="n"/>
      <c r="L84" s="15" t="n">
        <v>60</v>
      </c>
      <c r="M84" s="3" t="n"/>
      <c r="N84" s="70" t="n"/>
      <c r="O84" s="270" t="n"/>
    </row>
    <row r="85" ht="22.5" customHeight="1" s="151">
      <c r="A85" s="15">
        <f>IF(B85&lt;&gt;"", COUNTA($B$2:B85), "")</f>
        <v/>
      </c>
      <c r="B85" s="280" t="inlineStr">
        <is>
          <t>Газоанализатор оптический</t>
        </is>
      </c>
      <c r="C85" s="150" t="inlineStr">
        <is>
          <t>ОГС-ПГП/М</t>
        </is>
      </c>
      <c r="D85" s="29" t="inlineStr">
        <is>
          <t>15353</t>
        </is>
      </c>
      <c r="E85" s="70" t="n">
        <v>2021</v>
      </c>
      <c r="F85" s="3" t="n"/>
      <c r="G85" s="71" t="n"/>
      <c r="H85" s="14" t="inlineStr">
        <is>
          <t>Измерение уровня загазованности</t>
        </is>
      </c>
      <c r="I85" s="8" t="inlineStr">
        <is>
          <t>АВГМ 72</t>
        </is>
      </c>
      <c r="J85" s="15" t="inlineStr">
        <is>
          <t>АСУ,А и ТМ (КЦ № 7)</t>
        </is>
      </c>
      <c r="K85" s="15" t="n"/>
      <c r="L85" s="15" t="n">
        <v>60</v>
      </c>
      <c r="M85" s="3" t="n"/>
      <c r="N85" s="70" t="n"/>
      <c r="O85" s="270" t="n"/>
    </row>
    <row r="86" ht="22.5" customHeight="1" s="151">
      <c r="A86" s="15">
        <f>IF(B86&lt;&gt;"", COUNTA($B$2:B86), "")</f>
        <v/>
      </c>
      <c r="B86" s="280" t="inlineStr">
        <is>
          <t>Преобразователь давления</t>
        </is>
      </c>
      <c r="C86" s="14" t="inlineStr">
        <is>
          <t>ПД100И-ДИ 0,0016-811-1,0</t>
        </is>
      </c>
      <c r="D86" s="29" t="inlineStr">
        <is>
          <t>74625190446018237</t>
        </is>
      </c>
      <c r="E86" s="70" t="n">
        <v>2018</v>
      </c>
      <c r="F86" s="70" t="inlineStr">
        <is>
          <t>0…1,6 кПа</t>
        </is>
      </c>
      <c r="G86" s="71" t="n"/>
      <c r="H86" s="14" t="inlineStr">
        <is>
          <t>Давление воздуха в воздуховоде на ангар ГПА</t>
        </is>
      </c>
      <c r="I86" s="8" t="inlineStr">
        <is>
          <t>АВГМ 72</t>
        </is>
      </c>
      <c r="J86" s="15" t="inlineStr">
        <is>
          <t>АСУ,А и ТМ (КЦ № 7)</t>
        </is>
      </c>
      <c r="K86" s="15" t="n"/>
      <c r="L86" s="15" t="n">
        <v>60</v>
      </c>
      <c r="M86" s="3" t="n"/>
      <c r="N86" s="70" t="n"/>
      <c r="O86" s="272" t="n"/>
    </row>
    <row r="87" ht="22.5" customHeight="1" s="151">
      <c r="A87" s="15">
        <f>IF(B87&lt;&gt;"", COUNTA($B$2:B87), "")</f>
        <v/>
      </c>
      <c r="B87" s="280" t="inlineStr">
        <is>
          <t>Термометр сопротивления</t>
        </is>
      </c>
      <c r="C87" s="14" t="inlineStr">
        <is>
          <t>ДТС145-PT100.В3.180</t>
        </is>
      </c>
      <c r="D87" s="29" t="inlineStr">
        <is>
          <t>52199190444135110</t>
        </is>
      </c>
      <c r="E87" s="70" t="n">
        <v>2019</v>
      </c>
      <c r="F87" s="32" t="inlineStr">
        <is>
          <t>-60…500 °С</t>
        </is>
      </c>
      <c r="G87" s="71" t="n"/>
      <c r="H87" s="14" t="inlineStr">
        <is>
          <t>Температура нагретого воздуха</t>
        </is>
      </c>
      <c r="I87" s="8" t="inlineStr">
        <is>
          <t>АВГМ 72</t>
        </is>
      </c>
      <c r="J87" s="15" t="inlineStr">
        <is>
          <t>АСУ,А и ТМ (КЦ № 7)</t>
        </is>
      </c>
      <c r="K87" s="15" t="n"/>
      <c r="L87" s="15" t="n"/>
      <c r="M87" s="3" t="n"/>
      <c r="N87" s="70" t="n"/>
      <c r="O87" s="270" t="n"/>
    </row>
    <row r="88" ht="22.5" customHeight="1" s="151">
      <c r="A88" s="15">
        <f>IF(B88&lt;&gt;"", COUNTA($B$2:B88), "")</f>
        <v/>
      </c>
      <c r="B88" s="280" t="inlineStr">
        <is>
          <t>Преобразователь давления</t>
        </is>
      </c>
      <c r="C88" s="14" t="inlineStr">
        <is>
          <t>ПД100-ДИ 0,04-111-1,0</t>
        </is>
      </c>
      <c r="D88" s="29" t="inlineStr">
        <is>
          <t>42770190446018210</t>
        </is>
      </c>
      <c r="E88" s="70" t="n">
        <v>2018</v>
      </c>
      <c r="F88" s="70" t="inlineStr">
        <is>
          <t>0…40 кПа</t>
        </is>
      </c>
      <c r="G88" s="71" t="n"/>
      <c r="H88" s="14" t="inlineStr">
        <is>
          <t>Давление газа после регулятора давления</t>
        </is>
      </c>
      <c r="I88" s="8" t="inlineStr">
        <is>
          <t>АВГМ 72</t>
        </is>
      </c>
      <c r="J88" s="15" t="inlineStr">
        <is>
          <t>АСУ,А и ТМ (КЦ № 7)</t>
        </is>
      </c>
      <c r="K88" s="15" t="n"/>
      <c r="L88" s="15" t="n">
        <v>60</v>
      </c>
      <c r="M88" s="3" t="n"/>
      <c r="N88" s="70" t="n"/>
      <c r="O88" s="272" t="n"/>
    </row>
    <row r="89" ht="22.5" customHeight="1" s="151">
      <c r="A89" s="15">
        <f>IF(B89&lt;&gt;"", COUNTA($B$2:B89), "")</f>
        <v/>
      </c>
      <c r="B89" s="280" t="inlineStr">
        <is>
          <t>Термометр сопротивления</t>
        </is>
      </c>
      <c r="C89" s="14" t="inlineStr">
        <is>
          <t>ТСПУ-Л-22322 УХЛ3,1</t>
        </is>
      </c>
      <c r="D89" s="29" t="inlineStr">
        <is>
          <t>004</t>
        </is>
      </c>
      <c r="E89" s="70" t="n">
        <v>2019</v>
      </c>
      <c r="F89" s="32" t="inlineStr">
        <is>
          <t>-50…350 °С</t>
        </is>
      </c>
      <c r="G89" s="71" t="n"/>
      <c r="H89" s="14" t="inlineStr">
        <is>
          <t>Температура теплообменника №1</t>
        </is>
      </c>
      <c r="I89" s="8" t="inlineStr">
        <is>
          <t>АВГМ 72</t>
        </is>
      </c>
      <c r="J89" s="15" t="inlineStr">
        <is>
          <t>АСУ,А и ТМ (КЦ № 7)</t>
        </is>
      </c>
      <c r="K89" s="15" t="n"/>
      <c r="L89" s="15" t="n"/>
      <c r="M89" s="3" t="n"/>
      <c r="N89" s="70" t="n"/>
      <c r="O89" s="270" t="n"/>
    </row>
    <row r="90" ht="22.5" customHeight="1" s="151">
      <c r="A90" s="15">
        <f>IF(B90&lt;&gt;"", COUNTA($B$2:B90), "")</f>
        <v/>
      </c>
      <c r="B90" s="280" t="inlineStr">
        <is>
          <t>Датчик давления микропроцессорный</t>
        </is>
      </c>
      <c r="C90" s="14" t="inlineStr">
        <is>
          <t>ДДМ-03-МИ</t>
        </is>
      </c>
      <c r="D90" s="29" t="inlineStr">
        <is>
          <t>808260</t>
        </is>
      </c>
      <c r="E90" s="70" t="n"/>
      <c r="F90" s="70" t="inlineStr">
        <is>
          <t>0…40 кПа</t>
        </is>
      </c>
      <c r="G90" s="71" t="n"/>
      <c r="H90" s="14" t="inlineStr">
        <is>
          <t>Давление газа перед газовой горелкой №2</t>
        </is>
      </c>
      <c r="I90" s="8" t="inlineStr">
        <is>
          <t>АВГМ 72</t>
        </is>
      </c>
      <c r="J90" s="15" t="inlineStr">
        <is>
          <t>АСУ,А и ТМ (КЦ № 7)</t>
        </is>
      </c>
      <c r="K90" s="15" t="n"/>
      <c r="L90" s="15" t="n"/>
      <c r="M90" s="3" t="n"/>
      <c r="N90" s="70" t="n"/>
      <c r="O90" s="272" t="n"/>
    </row>
    <row r="91" ht="22.5" customHeight="1" s="151">
      <c r="A91" s="15">
        <f>IF(B91&lt;&gt;"", COUNTA($B$2:B91), "")</f>
        <v/>
      </c>
      <c r="B91" s="280" t="inlineStr">
        <is>
          <t>Преобразователь давления</t>
        </is>
      </c>
      <c r="C91" s="14" t="inlineStr">
        <is>
          <t>ПД100-ДИ 1,0-111-1,0</t>
        </is>
      </c>
      <c r="D91" s="29" t="inlineStr">
        <is>
          <t>42219190446016686</t>
        </is>
      </c>
      <c r="E91" s="70" t="n">
        <v>2018</v>
      </c>
      <c r="F91" s="70" t="inlineStr">
        <is>
          <t>0…1 МПа</t>
        </is>
      </c>
      <c r="G91" s="71" t="n"/>
      <c r="H91" s="14" t="inlineStr">
        <is>
          <t>Давление газа на входе</t>
        </is>
      </c>
      <c r="I91" s="8" t="inlineStr">
        <is>
          <t>АВГМ 72</t>
        </is>
      </c>
      <c r="J91" s="15" t="inlineStr">
        <is>
          <t>АСУ,А и ТМ (КЦ № 7)</t>
        </is>
      </c>
      <c r="K91" s="15" t="n"/>
      <c r="L91" s="15" t="n"/>
      <c r="M91" s="3" t="n"/>
      <c r="N91" s="70" t="n"/>
      <c r="O91" s="272" t="n"/>
    </row>
    <row r="92" ht="22.5" customHeight="1" s="151">
      <c r="A92" s="15">
        <f>IF(B92&lt;&gt;"", COUNTA($B$2:B92), "")</f>
        <v/>
      </c>
      <c r="B92" s="280" t="inlineStr">
        <is>
          <t>Термометр сопротивления</t>
        </is>
      </c>
      <c r="C92" s="14" t="inlineStr">
        <is>
          <t>ДТС145-PT100.В3.120</t>
        </is>
      </c>
      <c r="D92" s="29" t="inlineStr">
        <is>
          <t>1106818114233323</t>
        </is>
      </c>
      <c r="E92" s="70" t="n">
        <v>2018</v>
      </c>
      <c r="F92" s="32" t="inlineStr">
        <is>
          <t>-50…500 °С</t>
        </is>
      </c>
      <c r="G92" s="71" t="n"/>
      <c r="H92" s="14" t="inlineStr">
        <is>
          <t xml:space="preserve">Температура газа на входе </t>
        </is>
      </c>
      <c r="I92" s="8" t="inlineStr">
        <is>
          <t>АВГМ 72</t>
        </is>
      </c>
      <c r="J92" s="15" t="inlineStr">
        <is>
          <t>АСУ,А и ТМ (КЦ № 7)</t>
        </is>
      </c>
      <c r="K92" s="15" t="n"/>
      <c r="L92" s="15" t="n"/>
      <c r="M92" s="3" t="n"/>
      <c r="N92" s="70" t="n"/>
      <c r="O92" s="270" t="n"/>
    </row>
    <row r="93" ht="22.5" customHeight="1" s="151">
      <c r="A93" s="15">
        <f>IF(B93&lt;&gt;"", COUNTA($B$2:B93), "")</f>
        <v/>
      </c>
      <c r="B93" s="280" t="inlineStr">
        <is>
          <t>Термометр сопротивления</t>
        </is>
      </c>
      <c r="C93" s="14" t="inlineStr">
        <is>
          <t>ДТС145-PT100.В3.120</t>
        </is>
      </c>
      <c r="D93" s="29" t="inlineStr">
        <is>
          <t>09190190444135118</t>
        </is>
      </c>
      <c r="E93" s="70" t="n">
        <v>2018</v>
      </c>
      <c r="F93" s="32" t="inlineStr">
        <is>
          <t>-60…500 °С</t>
        </is>
      </c>
      <c r="G93" s="71" t="n"/>
      <c r="H93" s="14" t="inlineStr">
        <is>
          <t>Температура в секции обслуживания</t>
        </is>
      </c>
      <c r="I93" s="8" t="inlineStr">
        <is>
          <t>АВГМ 72</t>
        </is>
      </c>
      <c r="J93" s="15" t="inlineStr">
        <is>
          <t>АСУ,А и ТМ (КЦ № 7)</t>
        </is>
      </c>
      <c r="K93" s="15" t="n"/>
      <c r="L93" s="15" t="n"/>
      <c r="M93" s="3" t="n"/>
      <c r="N93" s="70" t="n"/>
      <c r="O93" s="270" t="n"/>
    </row>
    <row r="94" ht="22.5" customHeight="1" s="151">
      <c r="A94" s="15">
        <f>IF(B94&lt;&gt;"", COUNTA($B$2:B94), "")</f>
        <v/>
      </c>
      <c r="B94" s="280" t="inlineStr">
        <is>
          <t>Датчик давления микропроцессорный</t>
        </is>
      </c>
      <c r="C94" s="14" t="inlineStr">
        <is>
          <t>ДДМ-03-ДИ-МИ</t>
        </is>
      </c>
      <c r="D94" s="29" t="inlineStr">
        <is>
          <t>808261</t>
        </is>
      </c>
      <c r="E94" s="70" t="n"/>
      <c r="F94" s="70" t="inlineStr">
        <is>
          <t>0…40 кПа</t>
        </is>
      </c>
      <c r="G94" s="71" t="n"/>
      <c r="H94" s="14" t="inlineStr">
        <is>
          <t>Давление газа перед газовой горелкой №1</t>
        </is>
      </c>
      <c r="I94" s="8" t="inlineStr">
        <is>
          <t>АВГМ 72</t>
        </is>
      </c>
      <c r="J94" s="15" t="inlineStr">
        <is>
          <t>АСУ,А и ТМ (КЦ № 7)</t>
        </is>
      </c>
      <c r="K94" s="15" t="n"/>
      <c r="L94" s="15" t="n"/>
      <c r="M94" s="3" t="n"/>
      <c r="N94" s="70" t="n"/>
      <c r="O94" s="272" t="n"/>
    </row>
    <row r="95" ht="22.5" customHeight="1" s="151">
      <c r="A95" s="15">
        <f>IF(B95&lt;&gt;"", COUNTA($B$2:B95), "")</f>
        <v/>
      </c>
      <c r="B95" s="280" t="inlineStr">
        <is>
          <t>Термометр сопротивления</t>
        </is>
      </c>
      <c r="C95" s="14" t="inlineStr">
        <is>
          <t>ТСПУ-Л-22322 УХЛ3,1</t>
        </is>
      </c>
      <c r="D95" s="17" t="inlineStr">
        <is>
          <t>019</t>
        </is>
      </c>
      <c r="E95" s="70" t="n">
        <v>2019</v>
      </c>
      <c r="F95" s="32" t="inlineStr">
        <is>
          <t>-50…350 °С</t>
        </is>
      </c>
      <c r="G95" s="71" t="n"/>
      <c r="H95" s="14" t="inlineStr">
        <is>
          <t>Температура теплообменника №2</t>
        </is>
      </c>
      <c r="I95" s="8" t="inlineStr">
        <is>
          <t>АВГМ 72</t>
        </is>
      </c>
      <c r="J95" s="15" t="inlineStr">
        <is>
          <t>АСУ,А и ТМ (КЦ № 7)</t>
        </is>
      </c>
      <c r="K95" s="15" t="n"/>
      <c r="L95" s="15" t="n"/>
      <c r="M95" s="3" t="n"/>
      <c r="N95" s="70" t="n"/>
      <c r="O95" s="270" t="n"/>
    </row>
    <row r="96" ht="22.5" customHeight="1" s="151">
      <c r="A96" s="15">
        <f>IF(B96&lt;&gt;"", COUNTA($B$2:B96), "")</f>
        <v/>
      </c>
      <c r="B96" s="280" t="inlineStr">
        <is>
          <t>Реле давления</t>
        </is>
      </c>
      <c r="C96" s="14" t="inlineStr">
        <is>
          <t>GW 150 A6</t>
        </is>
      </c>
      <c r="D96" s="29" t="inlineStr">
        <is>
          <t>CE-0085AO3220-15T70</t>
        </is>
      </c>
      <c r="E96" s="70" t="n"/>
      <c r="F96" s="70" t="inlineStr">
        <is>
          <t>0…500 мбар</t>
        </is>
      </c>
      <c r="G96" s="71" t="n"/>
      <c r="H96" s="14" t="inlineStr">
        <is>
          <t>Давление газа между предохранительно-запорными клапанами Y1 и Y2 горелки №2</t>
        </is>
      </c>
      <c r="I96" s="8" t="inlineStr">
        <is>
          <t>АВГМ 72</t>
        </is>
      </c>
      <c r="J96" s="15" t="inlineStr">
        <is>
          <t>АСУ,А и ТМ (КЦ № 7)</t>
        </is>
      </c>
      <c r="K96" s="15" t="n"/>
      <c r="L96" s="15" t="n"/>
      <c r="M96" s="3" t="n"/>
      <c r="N96" s="70" t="n"/>
      <c r="O96" s="272" t="n"/>
      <c r="P96" s="275" t="inlineStr">
        <is>
          <t>Не является СИ</t>
        </is>
      </c>
    </row>
    <row r="97" ht="22.5" customHeight="1" s="151">
      <c r="A97" s="15">
        <f>IF(B97&lt;&gt;"", COUNTA($B$2:B97), "")</f>
        <v/>
      </c>
      <c r="B97" s="280" t="inlineStr">
        <is>
          <t>Реле давления</t>
        </is>
      </c>
      <c r="C97" s="14" t="inlineStr">
        <is>
          <t>РД-016</t>
        </is>
      </c>
      <c r="D97" s="29" t="inlineStr">
        <is>
          <t>808065</t>
        </is>
      </c>
      <c r="E97" s="70" t="n"/>
      <c r="F97" s="70" t="inlineStr">
        <is>
          <t>0…40 кПа</t>
        </is>
      </c>
      <c r="G97" s="71" t="n"/>
      <c r="H97" s="14" t="inlineStr">
        <is>
          <t>Давление газа перед предохранительно-запорным клапаном горелки №1</t>
        </is>
      </c>
      <c r="I97" s="8" t="inlineStr">
        <is>
          <t>АВГМ 72</t>
        </is>
      </c>
      <c r="J97" s="15" t="inlineStr">
        <is>
          <t>АСУ,А и ТМ (КЦ № 7)</t>
        </is>
      </c>
      <c r="K97" s="15" t="n"/>
      <c r="L97" s="15" t="n"/>
      <c r="M97" s="3" t="n"/>
      <c r="N97" s="70" t="n"/>
      <c r="O97" s="272" t="n"/>
      <c r="P97" s="275" t="inlineStr">
        <is>
          <t>Не является СИ</t>
        </is>
      </c>
    </row>
    <row r="98" ht="15" customHeight="1" s="151">
      <c r="A98" s="15">
        <f>IF(B98&lt;&gt;"", COUNTA($B$2:B98), "")</f>
        <v/>
      </c>
      <c r="B98" s="280" t="inlineStr">
        <is>
          <t>Реле давления</t>
        </is>
      </c>
      <c r="C98" s="14" t="inlineStr">
        <is>
          <t>РД-016</t>
        </is>
      </c>
      <c r="D98" s="29" t="inlineStr">
        <is>
          <t>808061</t>
        </is>
      </c>
      <c r="E98" s="70" t="n"/>
      <c r="F98" s="70" t="inlineStr">
        <is>
          <t>0…40 кПа</t>
        </is>
      </c>
      <c r="G98" s="71" t="n"/>
      <c r="H98" s="14" t="inlineStr">
        <is>
          <t xml:space="preserve">давление газа после газовой заслонки R2 </t>
        </is>
      </c>
      <c r="I98" s="8" t="inlineStr">
        <is>
          <t>АВГМ 72</t>
        </is>
      </c>
      <c r="J98" s="15" t="inlineStr">
        <is>
          <t>АСУ,А и ТМ (КЦ № 7)</t>
        </is>
      </c>
      <c r="K98" s="15" t="n"/>
      <c r="L98" s="15" t="n"/>
      <c r="M98" s="3" t="n"/>
      <c r="N98" s="70" t="n"/>
      <c r="O98" s="272" t="n"/>
      <c r="P98" s="275" t="inlineStr">
        <is>
          <t>Не является СИ</t>
        </is>
      </c>
    </row>
    <row r="99" ht="22.5" customHeight="1" s="151">
      <c r="A99" s="15">
        <f>IF(B99&lt;&gt;"", COUNTA($B$2:B99), "")</f>
        <v/>
      </c>
      <c r="B99" s="280" t="inlineStr">
        <is>
          <t>Реле давления</t>
        </is>
      </c>
      <c r="C99" s="14" t="inlineStr">
        <is>
          <t>GW 150 A6</t>
        </is>
      </c>
      <c r="D99" s="29" t="inlineStr">
        <is>
          <t>CE-0085AO3220-15T70</t>
        </is>
      </c>
      <c r="E99" s="70" t="n"/>
      <c r="F99" s="70" t="inlineStr">
        <is>
          <t>0…500 мбар</t>
        </is>
      </c>
      <c r="G99" s="71" t="n"/>
      <c r="H99" s="14" t="inlineStr">
        <is>
          <t>Давление газа между предохранительно-запорными клапанами Y1 и Y2 горелки №1</t>
        </is>
      </c>
      <c r="I99" s="8" t="inlineStr">
        <is>
          <t>АВГМ 72</t>
        </is>
      </c>
      <c r="J99" s="15" t="inlineStr">
        <is>
          <t>АСУ,А и ТМ (КЦ № 7)</t>
        </is>
      </c>
      <c r="K99" s="15" t="n"/>
      <c r="L99" s="15" t="n"/>
      <c r="M99" s="3" t="n"/>
      <c r="N99" s="70" t="n"/>
      <c r="O99" s="272" t="n"/>
      <c r="P99" s="275" t="inlineStr">
        <is>
          <t>Не является СИ</t>
        </is>
      </c>
    </row>
    <row r="100" ht="22.5" customHeight="1" s="151">
      <c r="A100" s="15">
        <f>IF(B100&lt;&gt;"", COUNTA($B$2:B100), "")</f>
        <v/>
      </c>
      <c r="B100" s="280" t="inlineStr">
        <is>
          <t>Реле давления</t>
        </is>
      </c>
      <c r="C100" s="14" t="inlineStr">
        <is>
          <t>РД-016</t>
        </is>
      </c>
      <c r="D100" s="29" t="inlineStr">
        <is>
          <t>42770190446018210</t>
        </is>
      </c>
      <c r="E100" s="70" t="n"/>
      <c r="F100" s="70" t="inlineStr">
        <is>
          <t>0…40 кПа</t>
        </is>
      </c>
      <c r="G100" s="71" t="n"/>
      <c r="H100" s="14" t="inlineStr">
        <is>
          <t>Давление газа перед предохранительно-запорным клапаном горелки №2</t>
        </is>
      </c>
      <c r="I100" s="8" t="inlineStr">
        <is>
          <t>АВГМ 72</t>
        </is>
      </c>
      <c r="J100" s="15" t="inlineStr">
        <is>
          <t>АСУ,А и ТМ (КЦ № 7)</t>
        </is>
      </c>
      <c r="K100" s="15" t="n"/>
      <c r="L100" s="15" t="n"/>
      <c r="M100" s="3" t="n"/>
      <c r="N100" s="70" t="n"/>
      <c r="O100" s="272" t="n"/>
      <c r="P100" s="275" t="inlineStr">
        <is>
          <t>Не является СИ</t>
        </is>
      </c>
    </row>
    <row r="101" ht="20.25" customHeight="1" s="151">
      <c r="A101" s="15">
        <f>IF(B101&lt;&gt;"", COUNTA($B$2:B101), "")</f>
        <v/>
      </c>
      <c r="B101" s="73" t="inlineStr">
        <is>
          <t>Преобразователь избыточного давления</t>
        </is>
      </c>
      <c r="C101" s="14" t="inlineStr">
        <is>
          <t>Метран 150 TG</t>
        </is>
      </c>
      <c r="D101" s="14" t="n">
        <v>6178295</v>
      </c>
      <c r="E101" s="288" t="n">
        <v>44317</v>
      </c>
      <c r="F101" s="70" t="inlineStr">
        <is>
          <t>0…1 МПа</t>
        </is>
      </c>
      <c r="G101" s="71" t="inlineStr">
        <is>
          <t>0.1</t>
        </is>
      </c>
      <c r="H101" s="14" t="inlineStr">
        <is>
          <t>Pм на выходе из двигателя</t>
        </is>
      </c>
      <c r="I101" s="8" t="inlineStr">
        <is>
          <t>Масленая  консоль</t>
        </is>
      </c>
      <c r="J101" s="15" t="inlineStr">
        <is>
          <t>АСУ,А и ТМ (КЦ № 7)</t>
        </is>
      </c>
      <c r="K101" s="15" t="n"/>
      <c r="L101" s="15" t="n"/>
      <c r="M101" s="3" t="n"/>
      <c r="N101" s="70" t="n"/>
      <c r="O101" s="270" t="n"/>
    </row>
    <row r="102" ht="22.5" customHeight="1" s="151">
      <c r="A102" s="15">
        <f>IF(B102&lt;&gt;"", COUNTA($B$2:B102), "")</f>
        <v/>
      </c>
      <c r="B102" s="73" t="inlineStr">
        <is>
          <t>Преобразователь избыточного давления</t>
        </is>
      </c>
      <c r="C102" s="14" t="inlineStr">
        <is>
          <t>Метран 150 TG</t>
        </is>
      </c>
      <c r="D102" s="14" t="n">
        <v>6178289</v>
      </c>
      <c r="E102" s="289" t="n"/>
      <c r="F102" s="70" t="inlineStr">
        <is>
          <t>0…1 МПа</t>
        </is>
      </c>
      <c r="G102" s="71" t="inlineStr">
        <is>
          <t>0.1</t>
        </is>
      </c>
      <c r="H102" s="14" t="inlineStr">
        <is>
          <t>Pм в линий откачки от СТ</t>
        </is>
      </c>
      <c r="I102" s="8" t="inlineStr">
        <is>
          <t>Масленая  консоль</t>
        </is>
      </c>
      <c r="J102" s="15" t="inlineStr">
        <is>
          <t>АСУ,А и ТМ (КЦ № 7)</t>
        </is>
      </c>
      <c r="K102" s="15" t="n"/>
      <c r="L102" s="15" t="n"/>
      <c r="M102" s="3" t="n"/>
      <c r="N102" s="70" t="n"/>
      <c r="O102" s="270" t="n"/>
    </row>
    <row r="103" ht="22.5" customHeight="1" s="151">
      <c r="A103" s="15">
        <f>IF(B103&lt;&gt;"", COUNTA($B$2:B103), "")</f>
        <v/>
      </c>
      <c r="B103" s="73" t="inlineStr">
        <is>
          <t>Преобразователь избыточного давления</t>
        </is>
      </c>
      <c r="C103" s="14" t="inlineStr">
        <is>
          <t>Метран 150 CD</t>
        </is>
      </c>
      <c r="D103" s="14" t="n">
        <v>6178329</v>
      </c>
      <c r="E103" s="15" t="n"/>
      <c r="F103" s="70" t="inlineStr">
        <is>
          <t>0…250 кПа</t>
        </is>
      </c>
      <c r="G103" s="71" t="inlineStr">
        <is>
          <t>0.1</t>
        </is>
      </c>
      <c r="H103" s="14" t="inlineStr">
        <is>
          <t>∆Рм  на фтльтрах БМФ1</t>
        </is>
      </c>
      <c r="I103" s="8" t="inlineStr">
        <is>
          <t>Масленая  консоль</t>
        </is>
      </c>
      <c r="J103" s="15" t="inlineStr">
        <is>
          <t>АСУ,А и ТМ (КЦ № 7)</t>
        </is>
      </c>
      <c r="K103" s="15" t="n"/>
      <c r="L103" s="15" t="n"/>
      <c r="M103" s="3" t="n"/>
      <c r="N103" s="70" t="n"/>
      <c r="O103" s="270" t="n"/>
    </row>
    <row r="104" ht="22.5" customHeight="1" s="151">
      <c r="A104" s="15">
        <f>IF(B104&lt;&gt;"", COUNTA($B$2:B104), "")</f>
        <v/>
      </c>
      <c r="B104" s="73" t="inlineStr">
        <is>
          <t>Преобразователь избыточного давления</t>
        </is>
      </c>
      <c r="C104" s="14" t="inlineStr">
        <is>
          <t>Метран 150 CD</t>
        </is>
      </c>
      <c r="D104" s="14" t="n">
        <v>6178303</v>
      </c>
      <c r="E104" s="14" t="n"/>
      <c r="F104" s="70" t="inlineStr">
        <is>
          <t>0…250 кПа</t>
        </is>
      </c>
      <c r="G104" s="71" t="inlineStr">
        <is>
          <t>0.1</t>
        </is>
      </c>
      <c r="H104" s="14" t="inlineStr">
        <is>
          <t>∆Рм  на фтльтрах БМФ2</t>
        </is>
      </c>
      <c r="I104" s="8" t="inlineStr">
        <is>
          <t>Масленая  консоль</t>
        </is>
      </c>
      <c r="J104" s="15" t="inlineStr">
        <is>
          <t>АСУ,А и ТМ (КЦ № 7)</t>
        </is>
      </c>
      <c r="K104" s="15" t="n"/>
      <c r="L104" s="15" t="n"/>
      <c r="M104" s="3" t="n"/>
      <c r="N104" s="70" t="n"/>
      <c r="O104" s="270" t="n"/>
    </row>
    <row r="105" ht="22.5" customHeight="1" s="151">
      <c r="A105" s="15">
        <f>IF(B105&lt;&gt;"", COUNTA($B$2:B105), "")</f>
        <v/>
      </c>
      <c r="B105" s="73" t="inlineStr">
        <is>
          <t>Преобразователь избыточного давления</t>
        </is>
      </c>
      <c r="C105" s="14" t="inlineStr">
        <is>
          <t>Метран 150 CD</t>
        </is>
      </c>
      <c r="D105" s="14" t="n">
        <v>6178371</v>
      </c>
      <c r="E105" s="15" t="n"/>
      <c r="F105" s="70" t="inlineStr">
        <is>
          <t>0…250 кПа</t>
        </is>
      </c>
      <c r="G105" s="71" t="inlineStr">
        <is>
          <t>0.1</t>
        </is>
      </c>
      <c r="H105" s="14" t="inlineStr">
        <is>
          <t>∆Рм  на фтльтрах ГМТ</t>
        </is>
      </c>
      <c r="I105" s="8" t="inlineStr">
        <is>
          <t>Масленая  консоль</t>
        </is>
      </c>
      <c r="J105" s="15" t="inlineStr">
        <is>
          <t>АСУ,А и ТМ (КЦ № 7)</t>
        </is>
      </c>
      <c r="K105" s="15" t="n"/>
      <c r="L105" s="15" t="n"/>
      <c r="M105" s="3" t="n"/>
      <c r="N105" s="70" t="n"/>
      <c r="O105" s="270" t="n"/>
    </row>
    <row r="106" ht="22.5" customHeight="1" s="151">
      <c r="A106" s="15">
        <f>IF(B106&lt;&gt;"", COUNTA($B$2:B106), "")</f>
        <v/>
      </c>
      <c r="B106" s="73" t="inlineStr">
        <is>
          <t>Преобразователь избыточного давления</t>
        </is>
      </c>
      <c r="C106" s="14" t="inlineStr">
        <is>
          <t>Метран 150 CG</t>
        </is>
      </c>
      <c r="D106" s="14" t="n">
        <v>6178275</v>
      </c>
      <c r="E106" s="15" t="n"/>
      <c r="F106" s="70" t="inlineStr">
        <is>
          <t>0…63 кПа</t>
        </is>
      </c>
      <c r="G106" s="71" t="inlineStr">
        <is>
          <t>0.1</t>
        </is>
      </c>
      <c r="H106" s="14" t="inlineStr">
        <is>
          <t>Р воздушно-масляной смеси в маслобаке двигателя</t>
        </is>
      </c>
      <c r="I106" s="8" t="inlineStr">
        <is>
          <t>Масленая  консоль</t>
        </is>
      </c>
      <c r="J106" s="15" t="inlineStr">
        <is>
          <t>АСУ,А и ТМ (КЦ № 7)</t>
        </is>
      </c>
      <c r="K106" s="15" t="n"/>
      <c r="L106" s="15" t="n"/>
      <c r="M106" s="3" t="n"/>
      <c r="N106" s="70" t="n"/>
      <c r="O106" s="270" t="n"/>
    </row>
    <row r="107" ht="22.5" customHeight="1" s="151">
      <c r="A107" s="15">
        <f>IF(B107&lt;&gt;"", COUNTA($B$2:B107), "")</f>
        <v/>
      </c>
      <c r="B107" s="73" t="inlineStr">
        <is>
          <t>Преобразователь избыточного давления</t>
        </is>
      </c>
      <c r="C107" s="14" t="inlineStr">
        <is>
          <t>Метран 150 CD</t>
        </is>
      </c>
      <c r="D107" s="14" t="n">
        <v>6095173</v>
      </c>
      <c r="E107" s="14" t="n"/>
      <c r="F107" s="70" t="inlineStr">
        <is>
          <t>0…6,3 кПа</t>
        </is>
      </c>
      <c r="G107" s="71" t="inlineStr">
        <is>
          <t>0.1</t>
        </is>
      </c>
      <c r="H107" s="14" t="inlineStr">
        <is>
          <t>Избыточное давление воздуха в блоке силовом</t>
        </is>
      </c>
      <c r="I107" s="8" t="inlineStr">
        <is>
          <t>Укрытие</t>
        </is>
      </c>
      <c r="J107" s="15" t="inlineStr">
        <is>
          <t>АСУ,А и ТМ (КЦ № 7)</t>
        </is>
      </c>
      <c r="K107" s="15" t="n"/>
      <c r="L107" s="15" t="n"/>
      <c r="M107" s="3" t="n"/>
      <c r="N107" s="70" t="n"/>
      <c r="O107" s="270" t="n"/>
    </row>
    <row r="108" ht="22.5" customHeight="1" s="151">
      <c r="A108" s="15">
        <f>IF(B108&lt;&gt;"", COUNTA($B$2:B108), "")</f>
        <v/>
      </c>
      <c r="B108" s="73" t="inlineStr">
        <is>
          <t>Преобразователь избыточного давления</t>
        </is>
      </c>
      <c r="C108" s="14" t="inlineStr">
        <is>
          <t>Метран 150 CG</t>
        </is>
      </c>
      <c r="D108" s="14" t="n">
        <v>6104418</v>
      </c>
      <c r="E108" s="15" t="n"/>
      <c r="F108" s="70" t="inlineStr">
        <is>
          <t>0…6,3 кПа</t>
        </is>
      </c>
      <c r="G108" s="71" t="inlineStr">
        <is>
          <t>0.1</t>
        </is>
      </c>
      <c r="H108" s="14" t="inlineStr">
        <is>
          <t>Рв охлаждения кожуха муфты</t>
        </is>
      </c>
      <c r="I108" s="8" t="inlineStr">
        <is>
          <t>Укрытие</t>
        </is>
      </c>
      <c r="J108" s="15" t="inlineStr">
        <is>
          <t>АСУ,А и ТМ (КЦ № 7)</t>
        </is>
      </c>
      <c r="K108" s="15" t="n"/>
      <c r="L108" s="15" t="n"/>
      <c r="M108" s="3" t="n"/>
      <c r="N108" s="70" t="n"/>
      <c r="O108" s="270" t="n"/>
    </row>
    <row r="109" ht="22.5" customHeight="1" s="151">
      <c r="A109" s="15">
        <f>IF(B109&lt;&gt;"", COUNTA($B$2:B109), "")</f>
        <v/>
      </c>
      <c r="B109" s="73" t="inlineStr">
        <is>
          <t>Преобразователь избыточного давления</t>
        </is>
      </c>
      <c r="C109" s="14" t="inlineStr">
        <is>
          <t>Метран 150 TG</t>
        </is>
      </c>
      <c r="D109" s="79" t="n">
        <v>6072973</v>
      </c>
      <c r="E109" s="41" t="n"/>
      <c r="F109" s="39" t="inlineStr">
        <is>
          <t>0…25 МПа</t>
        </is>
      </c>
      <c r="G109" s="71" t="inlineStr">
        <is>
          <t>0.1</t>
        </is>
      </c>
      <c r="H109" s="48" t="inlineStr">
        <is>
          <t>Ртг на входе ГПА</t>
        </is>
      </c>
      <c r="I109" s="96" t="inlineStr">
        <is>
          <t>Укрытие</t>
        </is>
      </c>
      <c r="J109" s="41" t="inlineStr">
        <is>
          <t>АСУ,А и ТМ (КЦ № 7)</t>
        </is>
      </c>
      <c r="K109" s="15" t="n"/>
      <c r="L109" s="15" t="n"/>
      <c r="M109" s="3" t="n"/>
      <c r="N109" s="70" t="n"/>
      <c r="O109" s="270" t="n"/>
    </row>
    <row r="110" ht="22.5" customHeight="1" s="151">
      <c r="A110" s="15">
        <f>IF(B110&lt;&gt;"", COUNTA($B$2:B110), "")</f>
        <v/>
      </c>
      <c r="B110" s="73" t="inlineStr">
        <is>
          <t>Преобразователь избыточного давления</t>
        </is>
      </c>
      <c r="C110" s="14" t="inlineStr">
        <is>
          <t>Метран 150 TG</t>
        </is>
      </c>
      <c r="D110" s="70" t="n">
        <v>6072979</v>
      </c>
      <c r="E110" s="93" t="n"/>
      <c r="F110" s="39" t="inlineStr">
        <is>
          <t>0…6 МПа</t>
        </is>
      </c>
      <c r="G110" s="71" t="inlineStr">
        <is>
          <t>0.1</t>
        </is>
      </c>
      <c r="H110" s="14" t="inlineStr">
        <is>
          <t>Ртг на выходе из блока фильтров</t>
        </is>
      </c>
      <c r="I110" s="8" t="inlineStr">
        <is>
          <t>Укрытие</t>
        </is>
      </c>
      <c r="J110" s="41" t="inlineStr">
        <is>
          <t>АСУ,А и ТМ (КЦ № 7)</t>
        </is>
      </c>
      <c r="K110" s="15" t="n"/>
      <c r="L110" s="15" t="n"/>
      <c r="M110" s="3" t="n"/>
      <c r="N110" s="70" t="n"/>
      <c r="O110" s="270" t="n"/>
    </row>
    <row r="111" ht="22.5" customHeight="1" s="151">
      <c r="A111" s="15">
        <f>IF(B111&lt;&gt;"", COUNTA($B$2:B111), "")</f>
        <v/>
      </c>
      <c r="B111" s="73" t="inlineStr">
        <is>
          <t>Преобразователь избыточного давления</t>
        </is>
      </c>
      <c r="C111" s="14" t="inlineStr">
        <is>
          <t>Метран 150 TG</t>
        </is>
      </c>
      <c r="D111" s="70" t="n">
        <v>6072983</v>
      </c>
      <c r="E111" s="93" t="n"/>
      <c r="F111" s="39" t="inlineStr">
        <is>
          <t>0…6 МПа</t>
        </is>
      </c>
      <c r="G111" s="71" t="inlineStr">
        <is>
          <t>0.1</t>
        </is>
      </c>
      <c r="H111" s="14" t="inlineStr">
        <is>
          <t xml:space="preserve">Ртг на входе турбоблок </t>
        </is>
      </c>
      <c r="I111" s="93" t="n"/>
      <c r="J111" s="41" t="inlineStr">
        <is>
          <t>АСУ,А и ТМ (КЦ № 7)</t>
        </is>
      </c>
      <c r="K111" s="15" t="n"/>
      <c r="L111" s="15" t="n"/>
      <c r="M111" s="3" t="n"/>
      <c r="N111" s="70" t="n"/>
      <c r="O111" s="270" t="n"/>
    </row>
    <row r="112" ht="22.5" customHeight="1" s="151">
      <c r="A112" s="15">
        <f>IF(B112&lt;&gt;"", COUNTA($B$2:B112), "")</f>
        <v/>
      </c>
      <c r="B112" s="73" t="inlineStr">
        <is>
          <t>Преобразователь избыточного давления</t>
        </is>
      </c>
      <c r="C112" s="14" t="inlineStr">
        <is>
          <t>Метран 150 TG</t>
        </is>
      </c>
      <c r="D112" s="70" t="n">
        <v>6072996</v>
      </c>
      <c r="E112" s="93" t="n"/>
      <c r="F112" s="39" t="inlineStr">
        <is>
          <t>0…1 МПа</t>
        </is>
      </c>
      <c r="G112" s="71" t="inlineStr">
        <is>
          <t>0.1</t>
        </is>
      </c>
      <c r="H112" s="70" t="inlineStr">
        <is>
          <t>Ртг в буферной полоскости ГМТ</t>
        </is>
      </c>
      <c r="I112" s="93" t="n"/>
      <c r="J112" s="41" t="inlineStr">
        <is>
          <t>АСУ,А и ТМ (КЦ № 7)</t>
        </is>
      </c>
      <c r="K112" s="15" t="n"/>
      <c r="L112" s="15" t="n"/>
      <c r="M112" s="3" t="n"/>
      <c r="N112" s="70" t="n"/>
      <c r="O112" s="270" t="n"/>
    </row>
    <row r="113" ht="22.5" customHeight="1" s="151">
      <c r="A113" s="15">
        <f>IF(B113&lt;&gt;"", COUNTA($B$2:B113), "")</f>
        <v/>
      </c>
      <c r="B113" s="73" t="inlineStr">
        <is>
          <t>Преобразователь избыточного давления</t>
        </is>
      </c>
      <c r="C113" s="14" t="inlineStr">
        <is>
          <t>Метран 150 CD</t>
        </is>
      </c>
      <c r="D113" s="70" t="n">
        <v>6090618</v>
      </c>
      <c r="E113" s="93" t="n"/>
      <c r="F113" s="70" t="inlineStr">
        <is>
          <t>0…250 кПа</t>
        </is>
      </c>
      <c r="G113" s="71" t="inlineStr">
        <is>
          <t>0.1</t>
        </is>
      </c>
      <c r="H113" s="14" t="inlineStr">
        <is>
          <t xml:space="preserve">∆Рм  на фильтрах </t>
        </is>
      </c>
      <c r="I113" s="93" t="n"/>
      <c r="J113" s="41" t="inlineStr">
        <is>
          <t>АСУ,А и ТМ (КЦ № 7)</t>
        </is>
      </c>
      <c r="K113" s="15" t="n"/>
      <c r="L113" s="15" t="n"/>
      <c r="M113" s="3" t="n"/>
      <c r="N113" s="70" t="n"/>
      <c r="O113" s="270" t="n"/>
    </row>
    <row r="114" ht="22.5" customHeight="1" s="151">
      <c r="A114" s="15">
        <f>IF(B114&lt;&gt;"", COUNTA($B$2:B114), "")</f>
        <v/>
      </c>
      <c r="B114" s="74" t="inlineStr">
        <is>
          <t>Преобразователь избыточного давления</t>
        </is>
      </c>
      <c r="C114" s="14" t="inlineStr">
        <is>
          <t>Метран 150 CD</t>
        </is>
      </c>
      <c r="D114" s="71" t="n">
        <v>6067669</v>
      </c>
      <c r="E114" s="83" t="n">
        <v>2018</v>
      </c>
      <c r="F114" s="70" t="inlineStr">
        <is>
          <t>0…6,3 кПа</t>
        </is>
      </c>
      <c r="G114" s="71" t="inlineStr">
        <is>
          <t>0.1</t>
        </is>
      </c>
      <c r="H114" s="71" t="inlineStr">
        <is>
          <t>Разрежение воздуха на фильтрах ВОУ</t>
        </is>
      </c>
      <c r="I114" s="83" t="n"/>
      <c r="J114" s="41" t="inlineStr">
        <is>
          <t>АСУ,А и ТМ (КЦ № 7)</t>
        </is>
      </c>
      <c r="K114" s="15" t="n"/>
      <c r="L114" s="15" t="n"/>
      <c r="M114" s="3" t="n"/>
      <c r="N114" s="70" t="n"/>
      <c r="O114" s="272" t="n"/>
    </row>
    <row r="115" ht="22.5" customHeight="1" s="151">
      <c r="A115" s="15">
        <f>IF(B115&lt;&gt;"", COUNTA($B$2:B115), "")</f>
        <v/>
      </c>
      <c r="B115" s="73" t="inlineStr">
        <is>
          <t>Преобразователь избыточного давления</t>
        </is>
      </c>
      <c r="C115" s="14" t="inlineStr">
        <is>
          <t>Метран 150 CD</t>
        </is>
      </c>
      <c r="D115" s="70" t="n">
        <v>6067672</v>
      </c>
      <c r="E115" s="93" t="n"/>
      <c r="F115" s="70" t="inlineStr">
        <is>
          <t>0…6,3 кПа</t>
        </is>
      </c>
      <c r="G115" s="71" t="inlineStr">
        <is>
          <t>0.1</t>
        </is>
      </c>
      <c r="H115" s="175" t="inlineStr">
        <is>
          <t>Разрежение воздуха в камере всасывания</t>
        </is>
      </c>
      <c r="I115" s="93" t="n"/>
      <c r="J115" s="41" t="inlineStr">
        <is>
          <t>АСУ,А и ТМ (КЦ № 7)</t>
        </is>
      </c>
      <c r="K115" s="15" t="n"/>
      <c r="L115" s="15" t="n"/>
      <c r="M115" s="3" t="n"/>
      <c r="N115" s="70" t="n"/>
      <c r="O115" s="270" t="n"/>
    </row>
    <row r="116" ht="22.5" customHeight="1" s="151">
      <c r="A116" s="15">
        <f>IF(B116&lt;&gt;"", COUNTA($B$2:B116), "")</f>
        <v/>
      </c>
      <c r="B116" s="73" t="inlineStr">
        <is>
          <t>Преобразователь избыточного давления</t>
        </is>
      </c>
      <c r="C116" s="14" t="inlineStr">
        <is>
          <t>Метран 150 CD</t>
        </is>
      </c>
      <c r="D116" s="70" t="n">
        <v>6129351</v>
      </c>
      <c r="E116" s="93" t="n"/>
      <c r="F116" s="70" t="inlineStr">
        <is>
          <t>0…6,3 кПа</t>
        </is>
      </c>
      <c r="G116" s="71" t="inlineStr">
        <is>
          <t>0.1</t>
        </is>
      </c>
      <c r="H116" s="14" t="inlineStr">
        <is>
          <t>∆Р между давлением на выходе из улитки и атмосферой</t>
        </is>
      </c>
      <c r="I116" s="93" t="n"/>
      <c r="J116" s="41" t="inlineStr">
        <is>
          <t>АСУ,А и ТМ (КЦ № 7)</t>
        </is>
      </c>
      <c r="K116" s="15" t="n"/>
      <c r="L116" s="15" t="n"/>
      <c r="M116" s="3" t="n"/>
      <c r="N116" s="70" t="n"/>
      <c r="O116" s="270" t="n"/>
    </row>
    <row r="117" ht="22.5" customHeight="1" s="151">
      <c r="A117" s="15">
        <f>IF(B117&lt;&gt;"", COUNTA($B$2:B117), "")</f>
        <v/>
      </c>
      <c r="B117" s="73" t="inlineStr">
        <is>
          <t>Преобразователь избыточного давления</t>
        </is>
      </c>
      <c r="C117" s="14" t="inlineStr">
        <is>
          <t>Метран 150 ТА</t>
        </is>
      </c>
      <c r="D117" s="70" t="n">
        <v>6080901</v>
      </c>
      <c r="E117" s="93" t="n"/>
      <c r="F117" s="70" t="inlineStr">
        <is>
          <t>0…160 кПа</t>
        </is>
      </c>
      <c r="G117" s="71" t="inlineStr">
        <is>
          <t>0.1</t>
        </is>
      </c>
      <c r="H117" s="70" t="inlineStr">
        <is>
          <t>барометрическое давление</t>
        </is>
      </c>
      <c r="I117" s="70" t="inlineStr">
        <is>
          <t>САУ</t>
        </is>
      </c>
      <c r="J117" s="41" t="inlineStr">
        <is>
          <t>АСУ,А и ТМ (КЦ № 7)</t>
        </is>
      </c>
      <c r="K117" s="15" t="n"/>
      <c r="L117" s="15" t="n"/>
      <c r="M117" s="3" t="n"/>
      <c r="N117" s="70" t="n"/>
      <c r="O117" s="270" t="n"/>
    </row>
    <row r="118" ht="22.5" customHeight="1" s="151">
      <c r="A118" s="15">
        <f>IF(B118&lt;&gt;"", COUNTA($B$2:B118), "")</f>
        <v/>
      </c>
      <c r="B118" s="73" t="inlineStr">
        <is>
          <t>Преобразователь избыточного давления</t>
        </is>
      </c>
      <c r="C118" s="14" t="inlineStr">
        <is>
          <t>Метран 150 TG</t>
        </is>
      </c>
      <c r="D118" s="129" t="n">
        <v>6071972</v>
      </c>
      <c r="E118" s="130" t="n"/>
      <c r="F118" s="70" t="inlineStr">
        <is>
          <t>0…1 МПа</t>
        </is>
      </c>
      <c r="G118" s="71" t="inlineStr">
        <is>
          <t>0.1</t>
        </is>
      </c>
      <c r="H118" s="122" t="inlineStr">
        <is>
          <t xml:space="preserve">Р защитного воздуха из блока подготовки воздуха </t>
        </is>
      </c>
      <c r="I118" s="8" t="inlineStr">
        <is>
          <t>Укрытие</t>
        </is>
      </c>
      <c r="J118" s="41" t="inlineStr">
        <is>
          <t>АСУ,А и ТМ (КЦ № 7)</t>
        </is>
      </c>
      <c r="K118" s="15" t="n"/>
      <c r="L118" s="15" t="n"/>
      <c r="M118" s="3" t="n"/>
      <c r="N118" s="70" t="n"/>
      <c r="O118" s="270" t="n"/>
    </row>
    <row r="119" ht="22.5" customHeight="1" s="151">
      <c r="A119" s="15">
        <f>IF(B119&lt;&gt;"", COUNTA($B$2:B119), "")</f>
        <v/>
      </c>
      <c r="B119" s="73" t="inlineStr">
        <is>
          <t>Преобразователь избыточного давления</t>
        </is>
      </c>
      <c r="C119" s="14" t="inlineStr">
        <is>
          <t>Метран 150 TG</t>
        </is>
      </c>
      <c r="D119" s="70" t="n">
        <v>6071981</v>
      </c>
      <c r="E119" s="93" t="n"/>
      <c r="F119" s="70" t="inlineStr">
        <is>
          <t>0…160 кПа</t>
        </is>
      </c>
      <c r="G119" s="71" t="inlineStr">
        <is>
          <t>0.1</t>
        </is>
      </c>
      <c r="H119" s="70" t="inlineStr">
        <is>
          <t>Р воздуха на выходе из ГТД</t>
        </is>
      </c>
      <c r="I119" s="8" t="inlineStr">
        <is>
          <t>Укрытие</t>
        </is>
      </c>
      <c r="J119" s="41" t="inlineStr">
        <is>
          <t>АСУ,А и ТМ (КЦ № 7)</t>
        </is>
      </c>
      <c r="K119" s="15" t="n"/>
      <c r="L119" s="15" t="n"/>
      <c r="M119" s="3" t="n"/>
      <c r="N119" s="70" t="n"/>
      <c r="O119" s="270" t="n"/>
    </row>
    <row r="120" ht="22.5" customHeight="1" s="151">
      <c r="A120" s="15">
        <f>IF(B120&lt;&gt;"", COUNTA($B$2:B120), "")</f>
        <v/>
      </c>
      <c r="B120" s="73" t="inlineStr">
        <is>
          <t>Преобразователь избыточного давления</t>
        </is>
      </c>
      <c r="C120" s="14" t="inlineStr">
        <is>
          <t>Метран 150 CD</t>
        </is>
      </c>
      <c r="D120" s="70" t="n">
        <v>6071982</v>
      </c>
      <c r="E120" s="93" t="n"/>
      <c r="F120" s="70" t="inlineStr">
        <is>
          <t>0…25 МПа</t>
        </is>
      </c>
      <c r="G120" s="71" t="inlineStr">
        <is>
          <t>0.1</t>
        </is>
      </c>
      <c r="H120" s="14" t="inlineStr">
        <is>
          <t>∆Р воздуха на фильтре в линии подвода на охлаждение опор ГТД</t>
        </is>
      </c>
      <c r="I120" s="8" t="inlineStr">
        <is>
          <t>Укрытие</t>
        </is>
      </c>
      <c r="J120" s="41" t="inlineStr">
        <is>
          <t>АСУ,А и ТМ (КЦ № 7)</t>
        </is>
      </c>
      <c r="K120" s="15" t="n"/>
      <c r="L120" s="15" t="n"/>
      <c r="M120" s="3" t="n"/>
      <c r="N120" s="70" t="n"/>
      <c r="O120" s="270" t="n"/>
    </row>
    <row r="121" ht="22.5" customHeight="1" s="151">
      <c r="A121" s="15">
        <f>IF(B121&lt;&gt;"", COUNTA($B$2:B121), "")</f>
        <v/>
      </c>
      <c r="B121" s="73" t="inlineStr">
        <is>
          <t>Преобразователь избыточного давления</t>
        </is>
      </c>
      <c r="C121" s="14" t="inlineStr">
        <is>
          <t>Метран 150 TG</t>
        </is>
      </c>
      <c r="D121" s="70" t="n">
        <v>6077554</v>
      </c>
      <c r="E121" s="93" t="n"/>
      <c r="F121" s="70" t="inlineStr">
        <is>
          <t>0…160 кПа</t>
        </is>
      </c>
      <c r="G121" s="71" t="inlineStr">
        <is>
          <t>0.1</t>
        </is>
      </c>
      <c r="H121" s="175" t="inlineStr">
        <is>
          <t>Р воздуха на выходе из оболочки радиального подшипника (ПКВ)</t>
        </is>
      </c>
      <c r="I121" s="8" t="inlineStr">
        <is>
          <t>Укрытие</t>
        </is>
      </c>
      <c r="J121" s="41" t="inlineStr">
        <is>
          <t>АСУ,А и ТМ (КЦ № 7)</t>
        </is>
      </c>
      <c r="K121" s="15" t="n"/>
      <c r="L121" s="15" t="n"/>
      <c r="M121" s="3" t="n"/>
      <c r="N121" s="70" t="n"/>
      <c r="O121" s="270" t="n"/>
    </row>
    <row r="122" ht="22.5" customHeight="1" s="151">
      <c r="A122" s="15">
        <f>IF(B122&lt;&gt;"", COUNTA($B$2:B122), "")</f>
        <v/>
      </c>
      <c r="B122" s="73" t="inlineStr">
        <is>
          <t>Преобразователь избыточного давления</t>
        </is>
      </c>
      <c r="C122" s="14" t="inlineStr">
        <is>
          <t>Метран 150 TG</t>
        </is>
      </c>
      <c r="D122" s="70" t="n">
        <v>607755</v>
      </c>
      <c r="E122" s="93" t="n"/>
      <c r="F122" s="70" t="inlineStr">
        <is>
          <t>0…160 кПа</t>
        </is>
      </c>
      <c r="G122" s="71" t="inlineStr">
        <is>
          <t>0.1</t>
        </is>
      </c>
      <c r="H122" s="175" t="inlineStr">
        <is>
          <t>Р воздуха на выходе из оболочки радиального подшипника (ЗКВ)</t>
        </is>
      </c>
      <c r="I122" s="8" t="inlineStr">
        <is>
          <t>Укрытие</t>
        </is>
      </c>
      <c r="J122" s="41" t="inlineStr">
        <is>
          <t>АСУ,А и ТМ (КЦ № 7)</t>
        </is>
      </c>
      <c r="K122" s="15" t="n"/>
      <c r="L122" s="15" t="n"/>
      <c r="M122" s="3" t="n"/>
      <c r="N122" s="70" t="n"/>
      <c r="O122" s="270" t="n"/>
    </row>
    <row r="123" ht="33.75" customHeight="1" s="151">
      <c r="A123" s="15">
        <f>IF(B123&lt;&gt;"", COUNTA($B$2:B123), "")</f>
        <v/>
      </c>
      <c r="B123" s="73" t="inlineStr">
        <is>
          <t>Преобразователь избыточного давления</t>
        </is>
      </c>
      <c r="C123" s="14" t="inlineStr">
        <is>
          <t>Метран 150 CD</t>
        </is>
      </c>
      <c r="D123" s="70" t="n">
        <v>6077535</v>
      </c>
      <c r="E123" s="93" t="n"/>
      <c r="F123" s="70" t="inlineStr">
        <is>
          <t>0…250 кПа</t>
        </is>
      </c>
      <c r="G123" s="71" t="inlineStr">
        <is>
          <t>0.1</t>
        </is>
      </c>
      <c r="H123" s="14" t="inlineStr">
        <is>
          <t>∆Р между оболочкой радиального подшипника и второй ступенью ГДУ ( ПКВ)</t>
        </is>
      </c>
      <c r="I123" s="8" t="inlineStr">
        <is>
          <t>Укрытие</t>
        </is>
      </c>
      <c r="J123" s="41" t="inlineStr">
        <is>
          <t>АСУ,А и ТМ (КЦ № 7)</t>
        </is>
      </c>
      <c r="K123" s="15" t="n"/>
      <c r="L123" s="15" t="n"/>
      <c r="M123" s="3" t="n"/>
      <c r="N123" s="70" t="n"/>
      <c r="O123" s="270" t="n"/>
    </row>
    <row r="124" ht="33.75" customHeight="1" s="151">
      <c r="A124" s="15">
        <f>IF(B124&lt;&gt;"", COUNTA($B$2:B124), "")</f>
        <v/>
      </c>
      <c r="B124" s="73" t="inlineStr">
        <is>
          <t>Преобразователь избыточного давления</t>
        </is>
      </c>
      <c r="C124" s="14" t="inlineStr">
        <is>
          <t>Метран 150 CD</t>
        </is>
      </c>
      <c r="D124" s="70" t="n">
        <v>6077541</v>
      </c>
      <c r="E124" s="93" t="n"/>
      <c r="F124" s="70" t="inlineStr">
        <is>
          <t>0…250 кПа</t>
        </is>
      </c>
      <c r="G124" s="71" t="inlineStr">
        <is>
          <t>0.1</t>
        </is>
      </c>
      <c r="H124" s="14" t="inlineStr">
        <is>
          <t>∆Р между оболочкой радиального подшипника и второй ступенью ГДУ ( ЗКВ)</t>
        </is>
      </c>
      <c r="I124" s="8" t="inlineStr">
        <is>
          <t>Укрытие</t>
        </is>
      </c>
      <c r="J124" s="41" t="inlineStr">
        <is>
          <t>АСУ,А и ТМ (КЦ № 7)</t>
        </is>
      </c>
      <c r="K124" s="15" t="n"/>
      <c r="L124" s="15" t="n"/>
      <c r="M124" s="3" t="n"/>
      <c r="N124" s="70" t="n"/>
      <c r="O124" s="270" t="n"/>
    </row>
    <row r="125" ht="22.5" customHeight="1" s="151">
      <c r="A125" s="15">
        <f>IF(B125&lt;&gt;"", COUNTA($B$2:B125), "")</f>
        <v/>
      </c>
      <c r="B125" s="73" t="inlineStr">
        <is>
          <t>Преобразователь избыточного давления</t>
        </is>
      </c>
      <c r="C125" s="14" t="inlineStr">
        <is>
          <t>Метран 150 CD</t>
        </is>
      </c>
      <c r="D125" s="70" t="n">
        <v>6071986</v>
      </c>
      <c r="E125" s="93" t="n"/>
      <c r="F125" s="70" t="inlineStr">
        <is>
          <t>0…250 кПа</t>
        </is>
      </c>
      <c r="G125" s="71" t="inlineStr">
        <is>
          <t>0.1</t>
        </is>
      </c>
      <c r="H125" s="14" t="inlineStr">
        <is>
          <t>∆Р воздуха на фильтре в линии подвода к МП</t>
        </is>
      </c>
      <c r="I125" s="93" t="n"/>
      <c r="J125" s="41" t="inlineStr">
        <is>
          <t>АСУ,А и ТМ (КЦ № 7)</t>
        </is>
      </c>
      <c r="K125" s="15" t="n"/>
      <c r="L125" s="15" t="n"/>
      <c r="M125" s="3" t="n"/>
      <c r="N125" s="70" t="n"/>
      <c r="O125" s="270" t="n"/>
    </row>
    <row r="126" ht="22.5" customHeight="1" s="151">
      <c r="A126" s="15">
        <f>IF(B126&lt;&gt;"", COUNTA($B$2:B126), "")</f>
        <v/>
      </c>
      <c r="B126" s="73" t="inlineStr">
        <is>
          <t>Преобразователь избыточного давления</t>
        </is>
      </c>
      <c r="C126" s="14" t="inlineStr">
        <is>
          <t>Метран 150 CD</t>
        </is>
      </c>
      <c r="D126" s="70" t="n">
        <v>6072439</v>
      </c>
      <c r="E126" s="93" t="n"/>
      <c r="F126" s="70" t="inlineStr">
        <is>
          <t>0…250 кПа</t>
        </is>
      </c>
      <c r="G126" s="71" t="inlineStr">
        <is>
          <t>0.1</t>
        </is>
      </c>
      <c r="H126" s="14" t="inlineStr">
        <is>
          <t>∆Р буферного газа на фильтре грубой очистки</t>
        </is>
      </c>
      <c r="I126" s="93" t="n"/>
      <c r="J126" s="41" t="inlineStr">
        <is>
          <t>АСУ,А и ТМ (КЦ № 7)</t>
        </is>
      </c>
      <c r="K126" s="15" t="n"/>
      <c r="L126" s="15" t="n"/>
      <c r="M126" s="3" t="n"/>
      <c r="N126" s="70" t="n"/>
      <c r="O126" s="270" t="n"/>
    </row>
    <row r="127" ht="22.5" customHeight="1" s="151">
      <c r="A127" s="15">
        <f>IF(B127&lt;&gt;"", COUNTA($B$2:B127), "")</f>
        <v/>
      </c>
      <c r="B127" s="73" t="inlineStr">
        <is>
          <t>Преобразователь избыточного давления</t>
        </is>
      </c>
      <c r="C127" s="14" t="inlineStr">
        <is>
          <t>Метран 150 CD</t>
        </is>
      </c>
      <c r="D127" s="70" t="n">
        <v>6074032</v>
      </c>
      <c r="E127" s="93" t="n"/>
      <c r="F127" s="70" t="inlineStr">
        <is>
          <t>0…250 кПа</t>
        </is>
      </c>
      <c r="G127" s="71" t="inlineStr">
        <is>
          <t>0.1</t>
        </is>
      </c>
      <c r="H127" s="14" t="inlineStr">
        <is>
          <t>∆Рбг  на фильтре тонкой очистки</t>
        </is>
      </c>
      <c r="I127" s="93" t="n"/>
      <c r="J127" s="41" t="inlineStr">
        <is>
          <t>АСУ,А и ТМ (КЦ № 7)</t>
        </is>
      </c>
      <c r="K127" s="15" t="n"/>
      <c r="L127" s="15" t="n"/>
      <c r="M127" s="3" t="n"/>
      <c r="N127" s="70" t="n"/>
      <c r="O127" s="270" t="n"/>
    </row>
    <row r="128" ht="22.5" customHeight="1" s="151">
      <c r="A128" s="15">
        <f>IF(B128&lt;&gt;"", COUNTA($B$2:B128), "")</f>
        <v/>
      </c>
      <c r="B128" s="73" t="inlineStr">
        <is>
          <t>Преобразователь избыточного давления</t>
        </is>
      </c>
      <c r="C128" s="14" t="inlineStr">
        <is>
          <t>Метран 150 CD</t>
        </is>
      </c>
      <c r="D128" s="70" t="n">
        <v>6074028</v>
      </c>
      <c r="E128" s="93" t="n"/>
      <c r="F128" s="70" t="inlineStr">
        <is>
          <t>0…250 кПа</t>
        </is>
      </c>
      <c r="G128" s="71" t="inlineStr">
        <is>
          <t>0.1</t>
        </is>
      </c>
      <c r="H128" s="14" t="inlineStr">
        <is>
          <t>∆Р газ-газ в линии ПКВ</t>
        </is>
      </c>
      <c r="I128" s="8" t="inlineStr">
        <is>
          <t>Укрытие</t>
        </is>
      </c>
      <c r="J128" s="41" t="inlineStr">
        <is>
          <t>АСУ,А и ТМ (КЦ № 7)</t>
        </is>
      </c>
      <c r="K128" s="15" t="n"/>
      <c r="L128" s="15" t="n"/>
      <c r="M128" s="3" t="n"/>
      <c r="N128" s="70" t="n"/>
      <c r="O128" s="270" t="n"/>
    </row>
    <row r="129" ht="22.5" customHeight="1" s="151">
      <c r="A129" s="15">
        <f>IF(B129&lt;&gt;"", COUNTA($B$2:B129), "")</f>
        <v/>
      </c>
      <c r="B129" s="73" t="inlineStr">
        <is>
          <t>Преобразователь избыточного давления</t>
        </is>
      </c>
      <c r="C129" s="14" t="inlineStr">
        <is>
          <t>Метран 150 CD</t>
        </is>
      </c>
      <c r="D129" s="70" t="n">
        <v>6074026</v>
      </c>
      <c r="E129" s="93" t="n"/>
      <c r="F129" s="70" t="inlineStr">
        <is>
          <t>0…250 кПа</t>
        </is>
      </c>
      <c r="G129" s="71" t="inlineStr">
        <is>
          <t>0.1</t>
        </is>
      </c>
      <c r="H129" s="14" t="inlineStr">
        <is>
          <t>∆Р газ-газ в линии ЗКВ</t>
        </is>
      </c>
      <c r="I129" s="8" t="inlineStr">
        <is>
          <t>Укрытие</t>
        </is>
      </c>
      <c r="J129" s="41" t="inlineStr">
        <is>
          <t>АСУ,А и ТМ (КЦ № 7)</t>
        </is>
      </c>
      <c r="K129" s="15" t="n"/>
      <c r="L129" s="15" t="n"/>
      <c r="M129" s="3" t="n"/>
      <c r="N129" s="70" t="n"/>
      <c r="O129" s="270" t="n"/>
    </row>
    <row r="130" ht="22.5" customHeight="1" s="151">
      <c r="A130" s="15">
        <f>IF(B130&lt;&gt;"", COUNTA($B$2:B130), "")</f>
        <v/>
      </c>
      <c r="B130" s="73" t="inlineStr">
        <is>
          <t>Преобразователь избыточного давления</t>
        </is>
      </c>
      <c r="C130" s="14" t="inlineStr">
        <is>
          <t>Метран 150 TG</t>
        </is>
      </c>
      <c r="D130" s="70" t="n">
        <v>6072454</v>
      </c>
      <c r="E130" s="93" t="n"/>
      <c r="F130" s="70" t="inlineStr">
        <is>
          <t>0…1 МПа</t>
        </is>
      </c>
      <c r="G130" s="71" t="inlineStr">
        <is>
          <t>0.1</t>
        </is>
      </c>
      <c r="H130" s="70" t="inlineStr">
        <is>
          <t>Р в линии утечек 1-ой ступени ГДУ ПКВ</t>
        </is>
      </c>
      <c r="I130" s="8" t="inlineStr">
        <is>
          <t>Укрытие</t>
        </is>
      </c>
      <c r="J130" s="41" t="inlineStr">
        <is>
          <t>АСУ,А и ТМ (КЦ № 7)</t>
        </is>
      </c>
      <c r="K130" s="15" t="n"/>
      <c r="L130" s="15" t="n"/>
      <c r="M130" s="3" t="n"/>
      <c r="N130" s="70" t="n"/>
      <c r="O130" s="270" t="n"/>
    </row>
    <row r="131" ht="22.5" customHeight="1" s="151">
      <c r="A131" s="15">
        <f>IF(B131&lt;&gt;"", COUNTA($B$2:B131), "")</f>
        <v/>
      </c>
      <c r="B131" s="73" t="inlineStr">
        <is>
          <t>Преобразователь избыточного давления</t>
        </is>
      </c>
      <c r="C131" s="14" t="inlineStr">
        <is>
          <t>Метран 150 TG</t>
        </is>
      </c>
      <c r="D131" s="70" t="n">
        <v>6071590</v>
      </c>
      <c r="E131" s="93" t="n"/>
      <c r="F131" s="70" t="inlineStr">
        <is>
          <t>0…1 МПа</t>
        </is>
      </c>
      <c r="G131" s="71" t="inlineStr">
        <is>
          <t>0.1</t>
        </is>
      </c>
      <c r="H131" s="70" t="inlineStr">
        <is>
          <t>Р в линии утечек 1-ой ступени ГДУ ЗКВ</t>
        </is>
      </c>
      <c r="I131" s="8" t="inlineStr">
        <is>
          <t>Укрытие</t>
        </is>
      </c>
      <c r="J131" s="41" t="inlineStr">
        <is>
          <t>АСУ,А и ТМ (КЦ № 7)</t>
        </is>
      </c>
      <c r="K131" s="15" t="n"/>
      <c r="L131" s="15" t="n"/>
      <c r="M131" s="3" t="n"/>
      <c r="N131" s="70" t="n"/>
      <c r="O131" s="270" t="n"/>
    </row>
    <row r="132" ht="22.5" customHeight="1" s="151">
      <c r="A132" s="15">
        <f>IF(B132&lt;&gt;"", COUNTA($B$2:B132), "")</f>
        <v/>
      </c>
      <c r="B132" s="73" t="inlineStr">
        <is>
          <t>Преобразователь избыточного давления</t>
        </is>
      </c>
      <c r="C132" s="14" t="inlineStr">
        <is>
          <t>Метран 150 TG</t>
        </is>
      </c>
      <c r="D132" s="70" t="n">
        <v>6129374</v>
      </c>
      <c r="E132" s="93" t="n"/>
      <c r="F132" s="70" t="inlineStr">
        <is>
          <t>0…25 МПа</t>
        </is>
      </c>
      <c r="G132" s="71" t="inlineStr">
        <is>
          <t>0.1</t>
        </is>
      </c>
      <c r="H132" s="70" t="inlineStr">
        <is>
          <t xml:space="preserve">Рг перед конфузором </t>
        </is>
      </c>
      <c r="I132" s="8" t="inlineStr">
        <is>
          <t>Укрытие</t>
        </is>
      </c>
      <c r="J132" s="41" t="inlineStr">
        <is>
          <t>АСУ,А и ТМ (КЦ № 7)</t>
        </is>
      </c>
      <c r="K132" s="15" t="n"/>
      <c r="L132" s="15" t="n"/>
      <c r="M132" s="3" t="n"/>
      <c r="N132" s="70" t="n"/>
      <c r="O132" s="270" t="n"/>
    </row>
    <row r="133" ht="22.5" customHeight="1" s="151">
      <c r="A133" s="15">
        <f>IF(B133&lt;&gt;"", COUNTA($B$2:B133), "")</f>
        <v/>
      </c>
      <c r="B133" s="73" t="inlineStr">
        <is>
          <t>Преобразователь избыточного давления</t>
        </is>
      </c>
      <c r="C133" s="14" t="inlineStr">
        <is>
          <t>Метран 150 TG</t>
        </is>
      </c>
      <c r="D133" s="70" t="n">
        <v>6129378</v>
      </c>
      <c r="E133" s="93" t="n"/>
      <c r="F133" s="70" t="inlineStr">
        <is>
          <t>0…25 МПа</t>
        </is>
      </c>
      <c r="G133" s="71" t="inlineStr">
        <is>
          <t>0.1</t>
        </is>
      </c>
      <c r="H133" s="175" t="inlineStr">
        <is>
          <t>Рг на входе в компрессор                                              ( после конфузора)</t>
        </is>
      </c>
      <c r="I133" s="8" t="inlineStr">
        <is>
          <t>Укрытие</t>
        </is>
      </c>
      <c r="J133" s="41" t="inlineStr">
        <is>
          <t>АСУ,А и ТМ (КЦ № 7)</t>
        </is>
      </c>
      <c r="K133" s="15" t="n"/>
      <c r="L133" s="15" t="n"/>
      <c r="M133" s="3" t="n"/>
      <c r="N133" s="70" t="n"/>
      <c r="O133" s="270" t="n"/>
    </row>
    <row r="134" ht="22.5" customHeight="1" s="151">
      <c r="A134" s="15">
        <f>IF(B134&lt;&gt;"", COUNTA($B$2:B134), "")</f>
        <v/>
      </c>
      <c r="B134" s="73" t="inlineStr">
        <is>
          <t>Преобразователь избыточного давления</t>
        </is>
      </c>
      <c r="C134" s="14" t="inlineStr">
        <is>
          <t>Метран 150 TG</t>
        </is>
      </c>
      <c r="D134" s="70" t="n">
        <v>6129372</v>
      </c>
      <c r="E134" s="93" t="n"/>
      <c r="F134" s="70" t="inlineStr">
        <is>
          <t>0…25 МПа</t>
        </is>
      </c>
      <c r="G134" s="71" t="inlineStr">
        <is>
          <t>0.1</t>
        </is>
      </c>
      <c r="H134" s="70" t="inlineStr">
        <is>
          <t>Рг на выходе из компрессора</t>
        </is>
      </c>
      <c r="I134" s="8" t="inlineStr">
        <is>
          <t>Укрытие</t>
        </is>
      </c>
      <c r="J134" s="41" t="inlineStr">
        <is>
          <t>АСУ,А и ТМ (КЦ № 7)</t>
        </is>
      </c>
      <c r="K134" s="15" t="n"/>
      <c r="L134" s="15" t="n"/>
      <c r="M134" s="3" t="n"/>
      <c r="N134" s="70" t="n"/>
      <c r="O134" s="270" t="n"/>
    </row>
    <row r="135" ht="22.5" customHeight="1" s="151">
      <c r="A135" s="15">
        <f>IF(B135&lt;&gt;"", COUNTA($B$2:B135), "")</f>
        <v/>
      </c>
      <c r="B135" s="73" t="inlineStr">
        <is>
          <t>Преобразователь избыточного давления</t>
        </is>
      </c>
      <c r="C135" s="70" t="inlineStr">
        <is>
          <t>YOKOGAWA EJA110E</t>
        </is>
      </c>
      <c r="D135" s="70" t="inlineStr">
        <is>
          <t>91V907131</t>
        </is>
      </c>
      <c r="E135" s="93" t="n"/>
      <c r="F135" s="70" t="inlineStr">
        <is>
          <t>0…16 МПа</t>
        </is>
      </c>
      <c r="G135" s="71" t="inlineStr">
        <is>
          <t>0.1</t>
        </is>
      </c>
      <c r="H135" s="14" t="inlineStr">
        <is>
          <t>∆Рг на конфузоре</t>
        </is>
      </c>
      <c r="I135" s="8" t="inlineStr">
        <is>
          <t>Укрытие</t>
        </is>
      </c>
      <c r="J135" s="41" t="inlineStr">
        <is>
          <t>АСУ,А и ТМ (КЦ № 7)</t>
        </is>
      </c>
      <c r="K135" s="15" t="n"/>
      <c r="L135" s="15" t="n"/>
      <c r="M135" s="3" t="n"/>
      <c r="N135" s="70" t="n"/>
      <c r="O135" s="272" t="n"/>
    </row>
    <row r="136" ht="22.5" customHeight="1" s="151">
      <c r="A136" s="15">
        <f>IF(B136&lt;&gt;"", COUNTA($B$2:B136), "")</f>
        <v/>
      </c>
      <c r="B136" s="74" t="inlineStr">
        <is>
          <t>Преобразователь избыточного давления</t>
        </is>
      </c>
      <c r="C136" s="71" t="inlineStr">
        <is>
          <t>YOKOGAWA EJA530E</t>
        </is>
      </c>
      <c r="D136" s="71" t="inlineStr">
        <is>
          <t>91TC20783</t>
        </is>
      </c>
      <c r="E136" s="83" t="n">
        <v>2018</v>
      </c>
      <c r="F136" s="17" t="inlineStr">
        <is>
          <t>0…2 МПа</t>
        </is>
      </c>
      <c r="G136" s="71" t="n">
        <v>0.1</v>
      </c>
      <c r="H136" s="14" t="inlineStr">
        <is>
          <t>Давление воздуха после ВВТ1 агрегата БВВТ25</t>
        </is>
      </c>
      <c r="I136" s="71" t="inlineStr">
        <is>
          <t>Укрытие</t>
        </is>
      </c>
      <c r="J136" s="41" t="inlineStr">
        <is>
          <t>АСУ,А и ТМ (КЦ № 7)</t>
        </is>
      </c>
      <c r="K136" s="15" t="n"/>
      <c r="L136" s="15" t="n"/>
      <c r="M136" s="3" t="n"/>
      <c r="N136" s="70" t="n"/>
      <c r="O136" s="272" t="n"/>
    </row>
    <row r="137" ht="22.5" customHeight="1" s="151">
      <c r="A137" s="15">
        <f>IF(B137&lt;&gt;"", COUNTA($B$2:B137), "")</f>
        <v/>
      </c>
      <c r="B137" s="73" t="inlineStr">
        <is>
          <t>Преобразователь избыточного давления</t>
        </is>
      </c>
      <c r="C137" s="14" t="inlineStr">
        <is>
          <t>Метран 150 TG</t>
        </is>
      </c>
      <c r="D137" s="70" t="n">
        <v>1635006</v>
      </c>
      <c r="E137" s="93" t="n"/>
      <c r="F137" s="70" t="inlineStr">
        <is>
          <t>0…16 МПа</t>
        </is>
      </c>
      <c r="G137" s="71" t="inlineStr">
        <is>
          <t>0.1</t>
        </is>
      </c>
      <c r="H137" s="70" t="inlineStr">
        <is>
          <t>Рг на выходе АВО газа</t>
        </is>
      </c>
      <c r="I137" s="8" t="inlineStr">
        <is>
          <t>КЦ</t>
        </is>
      </c>
      <c r="J137" s="41" t="inlineStr">
        <is>
          <t>АСУ,А и ТМ (КЦ № 7)</t>
        </is>
      </c>
      <c r="K137" s="15" t="n"/>
      <c r="L137" s="15" t="n"/>
      <c r="M137" s="3" t="n"/>
      <c r="N137" s="70" t="n"/>
      <c r="O137" s="270" t="n"/>
    </row>
    <row r="138" ht="22.5" customHeight="1" s="151">
      <c r="A138" s="15">
        <f>IF(B138&lt;&gt;"", COUNTA($B$2:B138), "")</f>
        <v/>
      </c>
      <c r="B138" s="73" t="inlineStr">
        <is>
          <t>Преобразователь избыточного давления</t>
        </is>
      </c>
      <c r="C138" s="14" t="inlineStr">
        <is>
          <t>Метран 150 TG</t>
        </is>
      </c>
      <c r="D138" s="70" t="n">
        <v>1635009</v>
      </c>
      <c r="E138" s="93" t="n"/>
      <c r="F138" s="70" t="inlineStr">
        <is>
          <t>0…16 МПа</t>
        </is>
      </c>
      <c r="G138" s="71" t="inlineStr">
        <is>
          <t>0.1</t>
        </is>
      </c>
      <c r="H138" s="70" t="inlineStr">
        <is>
          <t>Рг после крана 2-1</t>
        </is>
      </c>
      <c r="I138" s="8" t="inlineStr">
        <is>
          <t>КЦ</t>
        </is>
      </c>
      <c r="J138" s="41" t="inlineStr">
        <is>
          <t>АСУ,А и ТМ (КЦ № 7)</t>
        </is>
      </c>
      <c r="K138" s="15" t="n"/>
      <c r="L138" s="15" t="n"/>
      <c r="M138" s="3" t="n"/>
      <c r="N138" s="70" t="n"/>
      <c r="O138" s="270" t="n"/>
    </row>
    <row r="139" ht="22.5" customHeight="1" s="151">
      <c r="A139" s="15">
        <f>IF(B139&lt;&gt;"", COUNTA($B$2:B139), "")</f>
        <v/>
      </c>
      <c r="B139" s="73" t="inlineStr">
        <is>
          <t>Преобразователь избыточного давления</t>
        </is>
      </c>
      <c r="C139" s="14" t="inlineStr">
        <is>
          <t>Метран 150 TG</t>
        </is>
      </c>
      <c r="D139" s="70" t="n">
        <v>1635003</v>
      </c>
      <c r="E139" s="93" t="n"/>
      <c r="F139" s="70" t="inlineStr">
        <is>
          <t>0…16 МПа</t>
        </is>
      </c>
      <c r="G139" s="71" t="inlineStr">
        <is>
          <t>0.1</t>
        </is>
      </c>
      <c r="H139" s="70" t="inlineStr">
        <is>
          <t>Рг перед краном 2-1</t>
        </is>
      </c>
      <c r="I139" s="8" t="inlineStr">
        <is>
          <t>КЦ</t>
        </is>
      </c>
      <c r="J139" s="41" t="inlineStr">
        <is>
          <t>АСУ,А и ТМ (КЦ № 7)</t>
        </is>
      </c>
      <c r="K139" s="15" t="n"/>
      <c r="L139" s="15" t="n"/>
      <c r="M139" s="3" t="n"/>
      <c r="N139" s="70" t="n"/>
      <c r="O139" s="270" t="n"/>
    </row>
    <row r="140" ht="22.5" customHeight="1" s="151">
      <c r="A140" s="15">
        <f>IF(B140&lt;&gt;"", COUNTA($B$2:B140), "")</f>
        <v/>
      </c>
      <c r="B140" s="73" t="inlineStr">
        <is>
          <t>Преобразователь избыточного давления</t>
        </is>
      </c>
      <c r="C140" s="14" t="inlineStr">
        <is>
          <t>Метран 150 CD</t>
        </is>
      </c>
      <c r="D140" s="70" t="n">
        <v>1634472</v>
      </c>
      <c r="E140" s="93" t="n"/>
      <c r="F140" s="70" t="inlineStr">
        <is>
          <t>0…10 МПа</t>
        </is>
      </c>
      <c r="G140" s="71" t="inlineStr">
        <is>
          <t>0.1</t>
        </is>
      </c>
      <c r="H140" s="14" t="inlineStr">
        <is>
          <t>∆Рг на кране 1-1</t>
        </is>
      </c>
      <c r="I140" s="8" t="inlineStr">
        <is>
          <t>КЦ</t>
        </is>
      </c>
      <c r="J140" s="41" t="inlineStr">
        <is>
          <t>АСУ,А и ТМ (КЦ № 7)</t>
        </is>
      </c>
      <c r="K140" s="15" t="n"/>
      <c r="L140" s="15" t="n"/>
      <c r="M140" s="3" t="n"/>
      <c r="N140" s="70" t="n"/>
      <c r="O140" s="270" t="n"/>
    </row>
    <row r="141" ht="22.5" customHeight="1" s="151">
      <c r="A141" s="15">
        <f>IF(B141&lt;&gt;"", COUNTA($B$2:B141), "")</f>
        <v/>
      </c>
      <c r="B141" s="73" t="inlineStr">
        <is>
          <t>Преобразователь избыточного давления</t>
        </is>
      </c>
      <c r="C141" s="14" t="inlineStr">
        <is>
          <t>Метран 150 CD</t>
        </is>
      </c>
      <c r="D141" s="70" t="n">
        <v>1634471</v>
      </c>
      <c r="E141" s="93" t="n"/>
      <c r="F141" s="70" t="inlineStr">
        <is>
          <t>0…10 МПа</t>
        </is>
      </c>
      <c r="G141" s="71" t="inlineStr">
        <is>
          <t>0.1</t>
        </is>
      </c>
      <c r="H141" s="14" t="inlineStr">
        <is>
          <t>∆Рг на кране 1</t>
        </is>
      </c>
      <c r="I141" s="8" t="inlineStr">
        <is>
          <t>КЦ</t>
        </is>
      </c>
      <c r="J141" s="41" t="inlineStr">
        <is>
          <t>АСУ,А и ТМ (КЦ № 7)</t>
        </is>
      </c>
      <c r="K141" s="15" t="n"/>
      <c r="L141" s="15" t="n"/>
      <c r="M141" s="3" t="n"/>
      <c r="N141" s="70" t="n"/>
      <c r="O141" s="270" t="n"/>
    </row>
    <row r="142" ht="22.5" customHeight="1" s="151">
      <c r="A142" s="15">
        <f>IF(B142&lt;&gt;"", COUNTA($B$2:B142), "")</f>
        <v/>
      </c>
      <c r="B142" s="73" t="inlineStr">
        <is>
          <t>Преобразователь избыточного давления</t>
        </is>
      </c>
      <c r="C142" s="14" t="inlineStr">
        <is>
          <t>Метран 150 CD</t>
        </is>
      </c>
      <c r="D142" s="70" t="n">
        <v>1634571</v>
      </c>
      <c r="E142" s="93" t="n"/>
      <c r="F142" s="70" t="inlineStr">
        <is>
          <t>0…160 кПа</t>
        </is>
      </c>
      <c r="G142" s="71" t="inlineStr">
        <is>
          <t>0.1</t>
        </is>
      </c>
      <c r="H142" s="14" t="inlineStr">
        <is>
          <t>∆Рг на защитной решетке перед компрессором</t>
        </is>
      </c>
      <c r="I142" s="8" t="inlineStr">
        <is>
          <t>КЦ</t>
        </is>
      </c>
      <c r="J142" s="41" t="inlineStr">
        <is>
          <t>АСУ,А и ТМ (КЦ № 7)</t>
        </is>
      </c>
      <c r="K142" s="15" t="n"/>
      <c r="L142" s="15" t="n"/>
      <c r="M142" s="3" t="n"/>
      <c r="N142" s="70" t="n"/>
      <c r="O142" s="270" t="n"/>
    </row>
    <row r="143" ht="22.5" customHeight="1" s="151">
      <c r="A143" s="15">
        <f>IF(B143&lt;&gt;"", COUNTA($B$2:B143), "")</f>
        <v/>
      </c>
      <c r="B143" s="73" t="inlineStr">
        <is>
          <t>Преобразователь избыточного давления</t>
        </is>
      </c>
      <c r="C143" s="14" t="inlineStr">
        <is>
          <t>Метран 150 CD</t>
        </is>
      </c>
      <c r="D143" s="70" t="n">
        <v>1634574</v>
      </c>
      <c r="E143" s="93" t="n"/>
      <c r="F143" s="70" t="inlineStr">
        <is>
          <t>0…160 кПа</t>
        </is>
      </c>
      <c r="G143" s="71" t="inlineStr">
        <is>
          <t>0.1</t>
        </is>
      </c>
      <c r="H143" s="14" t="inlineStr">
        <is>
          <t>∆Рг на АВО газа</t>
        </is>
      </c>
      <c r="I143" s="8" t="inlineStr">
        <is>
          <t>КЦ</t>
        </is>
      </c>
      <c r="J143" s="41" t="inlineStr">
        <is>
          <t>АСУ,А и ТМ (КЦ № 7)</t>
        </is>
      </c>
      <c r="K143" s="15" t="n"/>
      <c r="L143" s="15" t="n"/>
      <c r="M143" s="3" t="n"/>
      <c r="N143" s="70" t="n"/>
      <c r="O143" s="270" t="n"/>
    </row>
    <row r="144" ht="22.5" customHeight="1" s="151">
      <c r="A144" s="15">
        <f>IF(B144&lt;&gt;"", COUNTA($B$2:B144), "")</f>
        <v/>
      </c>
      <c r="B144" s="73" t="inlineStr">
        <is>
          <t>Преобразователь давления корабельный</t>
        </is>
      </c>
      <c r="C144" s="14" t="inlineStr">
        <is>
          <t>ВАЛКОМ ПДК-ВО-Д-250К-А-2-Б04-Н-01-Д20</t>
        </is>
      </c>
      <c r="D144" s="70" t="inlineStr">
        <is>
          <t>8К10994</t>
        </is>
      </c>
      <c r="E144" s="93" t="n"/>
      <c r="F144" s="70" t="inlineStr">
        <is>
          <t>0…250 кПа</t>
        </is>
      </c>
      <c r="G144" s="82" t="n">
        <v>0.25</v>
      </c>
      <c r="H144" s="14" t="inlineStr">
        <is>
          <t>∆Р на фильтре №1 БФТГ</t>
        </is>
      </c>
      <c r="I144" s="8" t="inlineStr">
        <is>
          <t>КЦ</t>
        </is>
      </c>
      <c r="J144" s="41" t="inlineStr">
        <is>
          <t>АСУ,А и ТМ (КЦ № 7)</t>
        </is>
      </c>
      <c r="K144" s="15" t="n"/>
      <c r="L144" s="15" t="n"/>
      <c r="M144" s="3" t="n"/>
      <c r="N144" s="70" t="n"/>
      <c r="O144" s="270" t="n"/>
    </row>
    <row r="145" ht="22.5" customHeight="1" s="151">
      <c r="A145" s="15">
        <f>IF(B145&lt;&gt;"", COUNTA($B$2:B145), "")</f>
        <v/>
      </c>
      <c r="B145" s="73" t="inlineStr">
        <is>
          <t>Преобразователь давления корабельный</t>
        </is>
      </c>
      <c r="C145" s="14" t="inlineStr">
        <is>
          <t>ВАЛКОМ ПДК-ВО-Д-250К-А-2-Б04-Н-01-Д20</t>
        </is>
      </c>
      <c r="D145" s="70" t="inlineStr">
        <is>
          <t>8К11000</t>
        </is>
      </c>
      <c r="E145" s="93" t="n"/>
      <c r="F145" s="70" t="inlineStr">
        <is>
          <t>0…250 кПа</t>
        </is>
      </c>
      <c r="G145" s="82" t="n">
        <v>0.25</v>
      </c>
      <c r="H145" s="14" t="inlineStr">
        <is>
          <t>∆Р на фильтре №2 БФТГ</t>
        </is>
      </c>
      <c r="I145" s="8" t="inlineStr">
        <is>
          <t>КЦ</t>
        </is>
      </c>
      <c r="J145" s="41" t="inlineStr">
        <is>
          <t>АСУ,А и ТМ (КЦ № 7)</t>
        </is>
      </c>
      <c r="K145" s="15" t="n"/>
      <c r="L145" s="15" t="n"/>
      <c r="M145" s="3" t="n"/>
      <c r="N145" s="70" t="n"/>
      <c r="O145" s="270" t="n"/>
    </row>
    <row r="146" ht="22.5" customHeight="1" s="151">
      <c r="A146" s="15">
        <f>IF(B146&lt;&gt;"", COUNTA($B$2:B146), "")</f>
        <v/>
      </c>
      <c r="B146" s="73" t="inlineStr">
        <is>
          <t>Преобразователь давления корабельный</t>
        </is>
      </c>
      <c r="C146" s="14" t="inlineStr">
        <is>
          <t>ВАЛКОМ ПДК-ВО-Д-250К-А-2-Б04-Н-01-Д20</t>
        </is>
      </c>
      <c r="D146" s="70" t="inlineStr">
        <is>
          <t>8К10987</t>
        </is>
      </c>
      <c r="E146" s="93" t="n"/>
      <c r="F146" s="70" t="inlineStr">
        <is>
          <t>0…250 кПа</t>
        </is>
      </c>
      <c r="G146" s="82" t="n">
        <v>0.25</v>
      </c>
      <c r="H146" s="14" t="inlineStr">
        <is>
          <t>∆Р на фильтре №1 БФБГ</t>
        </is>
      </c>
      <c r="I146" s="8" t="inlineStr">
        <is>
          <t>КЦ</t>
        </is>
      </c>
      <c r="J146" s="41" t="inlineStr">
        <is>
          <t>АСУ,А и ТМ (КЦ № 7)</t>
        </is>
      </c>
      <c r="K146" s="15" t="n"/>
      <c r="L146" s="15" t="n"/>
      <c r="M146" s="3" t="n"/>
      <c r="N146" s="70" t="n"/>
      <c r="O146" s="270" t="n"/>
    </row>
    <row r="147" ht="22.5" customHeight="1" s="151">
      <c r="A147" s="15">
        <f>IF(B147&lt;&gt;"", COUNTA($B$2:B147), "")</f>
        <v/>
      </c>
      <c r="B147" s="73" t="inlineStr">
        <is>
          <t>Преобразователь давления корабельный</t>
        </is>
      </c>
      <c r="C147" s="14" t="inlineStr">
        <is>
          <t>ВАЛКОМ ПДК-ВО-Д-250К-А-2-Б04-Н-01-Д20</t>
        </is>
      </c>
      <c r="D147" s="70" t="inlineStr">
        <is>
          <t>8К10979</t>
        </is>
      </c>
      <c r="E147" s="93" t="n"/>
      <c r="F147" s="70" t="inlineStr">
        <is>
          <t>0…250 кПа</t>
        </is>
      </c>
      <c r="G147" s="82" t="n">
        <v>0.25</v>
      </c>
      <c r="H147" s="14" t="inlineStr">
        <is>
          <t>∆Р на фильтре №2 БФБГ</t>
        </is>
      </c>
      <c r="I147" s="8" t="inlineStr">
        <is>
          <t>КЦ</t>
        </is>
      </c>
      <c r="J147" s="41" t="inlineStr">
        <is>
          <t>АСУ,А и ТМ (КЦ № 7)</t>
        </is>
      </c>
      <c r="K147" s="15" t="n"/>
      <c r="L147" s="15" t="n"/>
      <c r="M147" s="3" t="n"/>
      <c r="N147" s="70" t="n"/>
      <c r="O147" s="270" t="n"/>
    </row>
    <row r="148" ht="22.5" customHeight="1" s="151">
      <c r="A148" s="15">
        <f>IF(B148&lt;&gt;"", COUNTA($B$2:B148), "")</f>
        <v/>
      </c>
      <c r="B148" s="73" t="inlineStr">
        <is>
          <t>Преобразователь избыточного давления</t>
        </is>
      </c>
      <c r="C148" s="14" t="inlineStr">
        <is>
          <t>Метран 150 CD</t>
        </is>
      </c>
      <c r="D148" s="70" t="n">
        <v>6064458</v>
      </c>
      <c r="E148" s="93" t="n"/>
      <c r="F148" s="70" t="inlineStr">
        <is>
          <t>0…250 кПа</t>
        </is>
      </c>
      <c r="G148" s="71" t="inlineStr">
        <is>
          <t>0.1</t>
        </is>
      </c>
      <c r="H148" s="14" t="inlineStr">
        <is>
          <t>∆Рбг на сепараторе СГУ</t>
        </is>
      </c>
      <c r="I148" s="93" t="n"/>
      <c r="J148" s="41" t="inlineStr">
        <is>
          <t>АСУ,А и ТМ (КЦ № 7)</t>
        </is>
      </c>
      <c r="K148" s="15" t="n"/>
      <c r="L148" s="15" t="n"/>
      <c r="M148" s="3" t="n"/>
      <c r="N148" s="70" t="n"/>
      <c r="O148" s="270" t="n"/>
    </row>
    <row r="149" ht="22.5" customHeight="1" s="151">
      <c r="A149" s="15">
        <f>IF(B149&lt;&gt;"", COUNTA($B$2:B149), "")</f>
        <v/>
      </c>
      <c r="B149" s="73" t="inlineStr">
        <is>
          <t>Преобразователь избыточного давления</t>
        </is>
      </c>
      <c r="C149" s="14" t="inlineStr">
        <is>
          <t>Метран 150 CD</t>
        </is>
      </c>
      <c r="D149" s="70" t="n">
        <v>6074033</v>
      </c>
      <c r="E149" s="93" t="n"/>
      <c r="F149" s="70" t="inlineStr">
        <is>
          <t>0…250 кПа</t>
        </is>
      </c>
      <c r="G149" s="71" t="inlineStr">
        <is>
          <t>0.1</t>
        </is>
      </c>
      <c r="H149" s="14" t="inlineStr">
        <is>
          <t>∆Рбг на фильтре-сепараторе</t>
        </is>
      </c>
      <c r="I149" s="93" t="n"/>
      <c r="J149" s="41" t="inlineStr">
        <is>
          <t>АСУ,А и ТМ (КЦ № 7)</t>
        </is>
      </c>
      <c r="K149" s="15" t="n"/>
      <c r="L149" s="15" t="n"/>
      <c r="M149" s="3" t="n"/>
      <c r="N149" s="70" t="n"/>
      <c r="O149" s="270" t="n"/>
    </row>
    <row r="150" ht="22.5" customHeight="1" s="151">
      <c r="A150" s="15">
        <f>IF(B150&lt;&gt;"", COUNTA($B$2:B150), "")</f>
        <v/>
      </c>
      <c r="B150" s="74" t="inlineStr">
        <is>
          <t>Преобразователь избыточного давления</t>
        </is>
      </c>
      <c r="C150" s="14" t="inlineStr">
        <is>
          <t>Метран 150 TG</t>
        </is>
      </c>
      <c r="D150" s="71" t="n">
        <v>6077575</v>
      </c>
      <c r="E150" s="97" t="n"/>
      <c r="F150" s="70" t="inlineStr">
        <is>
          <t>0…160 кПа</t>
        </is>
      </c>
      <c r="G150" s="71" t="inlineStr">
        <is>
          <t>0.1</t>
        </is>
      </c>
      <c r="H150" s="14" t="inlineStr">
        <is>
          <t>Рв  в установке воздухонагнетателя №1</t>
        </is>
      </c>
      <c r="I150" s="71" t="inlineStr">
        <is>
          <t>БКВ</t>
        </is>
      </c>
      <c r="J150" s="48" t="inlineStr">
        <is>
          <t>АСУ,А и ТМ (КЦ № 7)</t>
        </is>
      </c>
      <c r="K150" s="14" t="n"/>
      <c r="L150" s="14" t="n"/>
      <c r="M150" s="17" t="n"/>
      <c r="N150" s="71" t="n"/>
      <c r="O150" s="273" t="n"/>
    </row>
    <row r="151" ht="22.5" customHeight="1" s="151">
      <c r="A151" s="15">
        <f>IF(B151&lt;&gt;"", COUNTA($B$2:B151), "")</f>
        <v/>
      </c>
      <c r="B151" s="74" t="inlineStr">
        <is>
          <t>Преобразователь избыточного давления</t>
        </is>
      </c>
      <c r="C151" s="14" t="inlineStr">
        <is>
          <t>Метран 150 TG</t>
        </is>
      </c>
      <c r="D151" s="71" t="n">
        <v>6085983</v>
      </c>
      <c r="E151" s="83" t="n"/>
      <c r="F151" s="70" t="inlineStr">
        <is>
          <t>0…6 МПа</t>
        </is>
      </c>
      <c r="G151" s="71" t="inlineStr">
        <is>
          <t>0.1</t>
        </is>
      </c>
      <c r="H151" s="14" t="inlineStr">
        <is>
          <t>Давление воздуха на линии подвода к ресиверу</t>
        </is>
      </c>
      <c r="I151" s="71" t="inlineStr">
        <is>
          <t>БКВ</t>
        </is>
      </c>
      <c r="J151" s="48" t="inlineStr">
        <is>
          <t>АСУ,А и ТМ (КЦ № 7)</t>
        </is>
      </c>
      <c r="K151" s="15" t="n"/>
      <c r="L151" s="15" t="n"/>
      <c r="M151" s="3" t="n"/>
      <c r="N151" s="70" t="n"/>
      <c r="O151" s="270" t="n"/>
    </row>
    <row r="152" ht="22.5" customHeight="1" s="151">
      <c r="A152" s="15">
        <f>IF(B152&lt;&gt;"", COUNTA($B$2:B152), "")</f>
        <v/>
      </c>
      <c r="B152" s="74" t="inlineStr">
        <is>
          <t>Преобразователь избыточного давления</t>
        </is>
      </c>
      <c r="C152" s="14" t="inlineStr">
        <is>
          <t>Метран 150 TG</t>
        </is>
      </c>
      <c r="D152" s="71" t="n">
        <v>6081378</v>
      </c>
      <c r="E152" s="98" t="n"/>
      <c r="F152" s="70" t="inlineStr">
        <is>
          <t>0…160 кПа</t>
        </is>
      </c>
      <c r="G152" s="71" t="inlineStr">
        <is>
          <t>0.1</t>
        </is>
      </c>
      <c r="H152" s="14" t="inlineStr">
        <is>
          <t>Рв  в установке воздухонагнетателя №2</t>
        </is>
      </c>
      <c r="I152" s="71" t="inlineStr">
        <is>
          <t>БКВ</t>
        </is>
      </c>
      <c r="J152" s="41" t="inlineStr">
        <is>
          <t>АСУ,А и ТМ (КЦ № 7)</t>
        </is>
      </c>
      <c r="K152" s="15" t="n"/>
      <c r="L152" s="15" t="n"/>
      <c r="M152" s="3" t="n"/>
      <c r="N152" s="70" t="n"/>
      <c r="O152" s="270" t="n"/>
    </row>
    <row r="153" ht="22.5" customHeight="1" s="151">
      <c r="A153" s="15">
        <f>IF(B153&lt;&gt;"", COUNTA($B$2:B153), "")</f>
        <v/>
      </c>
      <c r="B153" s="74" t="inlineStr">
        <is>
          <t>Преобразователь избыточного давления</t>
        </is>
      </c>
      <c r="C153" s="14" t="inlineStr">
        <is>
          <t>Метран 150 TG</t>
        </is>
      </c>
      <c r="D153" s="71" t="n">
        <v>6085990</v>
      </c>
      <c r="E153" s="99" t="n"/>
      <c r="F153" s="70" t="inlineStr">
        <is>
          <t>0…160 кПа</t>
        </is>
      </c>
      <c r="G153" s="71" t="inlineStr">
        <is>
          <t>0.1</t>
        </is>
      </c>
      <c r="H153" s="14" t="inlineStr">
        <is>
          <t>Рв на выходе из БКВ к укрытию ГПА</t>
        </is>
      </c>
      <c r="I153" s="71" t="inlineStr">
        <is>
          <t>БКВ</t>
        </is>
      </c>
      <c r="J153" s="48" t="inlineStr">
        <is>
          <t>АСУ,А и ТМ (КЦ № 7)</t>
        </is>
      </c>
      <c r="K153" s="14" t="n"/>
      <c r="L153" s="15" t="n"/>
      <c r="M153" s="3" t="n"/>
      <c r="N153" s="70" t="n"/>
      <c r="O153" s="270" t="n"/>
    </row>
    <row r="154" ht="22.5" customHeight="1" s="151">
      <c r="A154" s="15">
        <f>IF(B154&lt;&gt;"", COUNTA($B$2:B154), "")</f>
        <v/>
      </c>
      <c r="B154" s="73" t="inlineStr">
        <is>
          <t>Преобразователь избыточного давления</t>
        </is>
      </c>
      <c r="C154" s="14" t="inlineStr">
        <is>
          <t>Метран 150 CD</t>
        </is>
      </c>
      <c r="D154" s="70" t="n">
        <v>61060411</v>
      </c>
      <c r="E154" s="70" t="n"/>
      <c r="F154" s="70" t="inlineStr">
        <is>
          <t>0…6,3 кПа</t>
        </is>
      </c>
      <c r="G154" s="71" t="inlineStr">
        <is>
          <t>0.1</t>
        </is>
      </c>
      <c r="H154" s="14" t="inlineStr">
        <is>
          <t>∆Р воздуха в выходном воздуховоде БС</t>
        </is>
      </c>
      <c r="I154" s="8" t="n"/>
      <c r="J154" s="41" t="inlineStr">
        <is>
          <t>АСУ,А и ТМ (КЦ № 7)</t>
        </is>
      </c>
      <c r="K154" s="15" t="n"/>
      <c r="L154" s="15" t="n"/>
      <c r="M154" s="3" t="n"/>
      <c r="N154" s="70" t="n"/>
      <c r="O154" s="270" t="n"/>
    </row>
    <row r="155" ht="22.5" customHeight="1" s="151">
      <c r="A155" s="15">
        <f>IF(B155&lt;&gt;"", COUNTA($B$2:B155), "")</f>
        <v/>
      </c>
      <c r="B155" s="74" t="inlineStr">
        <is>
          <t>Термометр сопротивления</t>
        </is>
      </c>
      <c r="C155" s="14" t="inlineStr">
        <is>
          <t>ИПТВ-206</t>
        </is>
      </c>
      <c r="D155" s="29" t="inlineStr">
        <is>
          <t>09-5142</t>
        </is>
      </c>
      <c r="E155" s="71" t="n">
        <v>2015</v>
      </c>
      <c r="F155" s="17" t="inlineStr">
        <is>
          <t>-60…110 °С
0…100%</t>
        </is>
      </c>
      <c r="G155" s="88" t="inlineStr">
        <is>
          <t>± 2%</t>
        </is>
      </c>
      <c r="H155" s="14" t="inlineStr">
        <is>
          <t>Температура и влажность наружного воздуха (МТ2051)</t>
        </is>
      </c>
      <c r="I155" s="8" t="inlineStr">
        <is>
          <t>КЦ</t>
        </is>
      </c>
      <c r="J155" s="41" t="inlineStr">
        <is>
          <t>АСУ,А и ТМ (КЦ № 7)</t>
        </is>
      </c>
      <c r="K155" s="15" t="n"/>
      <c r="L155" s="15" t="n"/>
      <c r="M155" s="3" t="n"/>
      <c r="N155" s="70" t="n"/>
      <c r="O155" s="270" t="n"/>
    </row>
    <row r="156" ht="22.5" customHeight="1" s="151">
      <c r="A156" s="15">
        <f>IF(B156&lt;&gt;"", COUNTA($B$2:B156), "")</f>
        <v/>
      </c>
      <c r="B156" s="73" t="inlineStr">
        <is>
          <t>Термометр сопротивления</t>
        </is>
      </c>
      <c r="C156" s="14" t="inlineStr">
        <is>
          <t>ТСП 012.60</t>
        </is>
      </c>
      <c r="D156" s="70" t="n">
        <v>1117</v>
      </c>
      <c r="E156" s="70" t="n"/>
      <c r="F156" s="17" t="inlineStr">
        <is>
          <t>-60…200 °С
120 мм</t>
        </is>
      </c>
      <c r="G156" s="70" t="n"/>
      <c r="H156" s="175" t="inlineStr">
        <is>
          <t>Температура масла на входе в ГМТ (ТЕ6003)</t>
        </is>
      </c>
      <c r="I156" s="8" t="inlineStr">
        <is>
          <t>Масленая  консоль</t>
        </is>
      </c>
      <c r="J156" s="41" t="inlineStr">
        <is>
          <t>АСУ,А и ТМ (КЦ № 7)</t>
        </is>
      </c>
      <c r="K156" s="15" t="n"/>
      <c r="L156" s="15" t="n"/>
      <c r="M156" s="3" t="n"/>
      <c r="N156" s="70" t="n"/>
      <c r="O156" s="270" t="n"/>
    </row>
    <row r="157" ht="22.5" customHeight="1" s="151">
      <c r="A157" s="15">
        <f>IF(B157&lt;&gt;"", COUNTA($B$2:B157), "")</f>
        <v/>
      </c>
      <c r="B157" s="73" t="inlineStr">
        <is>
          <t>Термометр сопротивления</t>
        </is>
      </c>
      <c r="C157" s="14" t="inlineStr">
        <is>
          <t>ТСП 012.60</t>
        </is>
      </c>
      <c r="D157" s="70" t="n">
        <v>1118</v>
      </c>
      <c r="E157" s="70" t="n"/>
      <c r="F157" s="17" t="inlineStr">
        <is>
          <t>-60…200 °С
120 мм</t>
        </is>
      </c>
      <c r="G157" s="70" t="n"/>
      <c r="H157" s="14" t="inlineStr">
        <is>
          <t>Тм после ГМТ (ТЕ6004)</t>
        </is>
      </c>
      <c r="I157" s="8" t="inlineStr">
        <is>
          <t>Масленая  консоль</t>
        </is>
      </c>
      <c r="J157" s="41" t="inlineStr">
        <is>
          <t>АСУ,А и ТМ (КЦ № 7)</t>
        </is>
      </c>
      <c r="K157" s="15" t="n"/>
      <c r="L157" s="15" t="n"/>
      <c r="M157" s="3" t="n"/>
      <c r="N157" s="70" t="n"/>
      <c r="O157" s="270" t="n"/>
    </row>
    <row r="158" ht="22.5" customHeight="1" s="151">
      <c r="A158" s="15">
        <f>IF(B158&lt;&gt;"", COUNTA($B$2:B158), "")</f>
        <v/>
      </c>
      <c r="B158" s="73" t="inlineStr">
        <is>
          <t>Термометр сопротивления</t>
        </is>
      </c>
      <c r="C158" s="14" t="inlineStr">
        <is>
          <t>ТСП 012.60</t>
        </is>
      </c>
      <c r="D158" s="70" t="n">
        <v>1115</v>
      </c>
      <c r="E158" s="70" t="n"/>
      <c r="F158" s="17" t="inlineStr">
        <is>
          <t>-60…200 °С
120 мм</t>
        </is>
      </c>
      <c r="G158" s="70" t="n"/>
      <c r="H158" s="14" t="inlineStr">
        <is>
          <t>Тм в баке двигателя (ТЕ6005)</t>
        </is>
      </c>
      <c r="I158" s="8" t="inlineStr">
        <is>
          <t>Масленая  консоль</t>
        </is>
      </c>
      <c r="J158" s="41" t="inlineStr">
        <is>
          <t>АСУ,А и ТМ (КЦ № 7)</t>
        </is>
      </c>
      <c r="K158" s="15" t="n"/>
      <c r="L158" s="15" t="n"/>
      <c r="M158" s="3" t="n"/>
      <c r="N158" s="70" t="n"/>
      <c r="O158" s="270" t="n"/>
    </row>
    <row r="159" ht="22.5" customHeight="1" s="151">
      <c r="A159" s="15">
        <f>IF(B159&lt;&gt;"", COUNTA($B$2:B159), "")</f>
        <v/>
      </c>
      <c r="B159" s="73" t="inlineStr">
        <is>
          <t>Термометр сопротивления</t>
        </is>
      </c>
      <c r="C159" s="14" t="inlineStr">
        <is>
          <t>ТСП 012.60</t>
        </is>
      </c>
      <c r="D159" s="70" t="n">
        <v>34</v>
      </c>
      <c r="E159" s="70" t="n"/>
      <c r="F159" s="17" t="inlineStr">
        <is>
          <t>-60…200 °С
320 мм</t>
        </is>
      </c>
      <c r="G159" s="70" t="n"/>
      <c r="H159" s="175" t="inlineStr">
        <is>
          <t>Т воздуха в выходном воздуховоде блока силового (ТЕ4001)</t>
        </is>
      </c>
      <c r="I159" s="8" t="n"/>
      <c r="J159" s="41" t="inlineStr">
        <is>
          <t>АСУ,А и ТМ (КЦ № 7)</t>
        </is>
      </c>
      <c r="K159" s="30" t="n"/>
      <c r="L159" s="15" t="n"/>
      <c r="M159" s="3" t="n"/>
      <c r="N159" s="70" t="n"/>
      <c r="O159" s="272" t="n"/>
    </row>
    <row r="160" ht="22.5" customHeight="1" s="151">
      <c r="A160" s="15">
        <f>IF(B160&lt;&gt;"", COUNTA($B$2:B160), "")</f>
        <v/>
      </c>
      <c r="B160" s="74" t="inlineStr">
        <is>
          <t>Термометр сопротивления</t>
        </is>
      </c>
      <c r="C160" s="14" t="inlineStr">
        <is>
          <t>ТСП 012.60</t>
        </is>
      </c>
      <c r="D160" s="71" t="n">
        <v>803</v>
      </c>
      <c r="E160" s="71" t="n"/>
      <c r="F160" s="17" t="inlineStr">
        <is>
          <t>-60…200 °С
100 мм</t>
        </is>
      </c>
      <c r="G160" s="71" t="n"/>
      <c r="H160" s="175" t="inlineStr">
        <is>
          <t>Тг на входе в ГПА (ТЕ5101)</t>
        </is>
      </c>
      <c r="I160" s="71" t="n"/>
      <c r="J160" s="41" t="inlineStr">
        <is>
          <t>АСУ,А и ТМ (КЦ № 7)</t>
        </is>
      </c>
      <c r="K160" s="15" t="n"/>
      <c r="L160" s="15" t="n"/>
      <c r="M160" s="3" t="n"/>
      <c r="N160" s="70" t="n"/>
      <c r="O160" s="270" t="n"/>
    </row>
    <row r="161" ht="22.5" customHeight="1" s="151">
      <c r="A161" s="15">
        <f>IF(B161&lt;&gt;"", COUNTA($B$2:B161), "")</f>
        <v/>
      </c>
      <c r="B161" s="74" t="inlineStr">
        <is>
          <t>Термометр сопротивления</t>
        </is>
      </c>
      <c r="C161" s="14" t="inlineStr">
        <is>
          <t>ТСП 012.60</t>
        </is>
      </c>
      <c r="D161" s="71" t="n">
        <v>802</v>
      </c>
      <c r="E161" s="71" t="n"/>
      <c r="F161" s="17" t="inlineStr">
        <is>
          <t>-60…200 °С
100 мм</t>
        </is>
      </c>
      <c r="G161" s="71" t="n"/>
      <c r="H161" s="175" t="inlineStr">
        <is>
          <t>Тг на входе в турбоблок (ТЕ5102)</t>
        </is>
      </c>
      <c r="I161" s="131" t="n"/>
      <c r="J161" s="41" t="inlineStr">
        <is>
          <t>АСУ,А и ТМ (КЦ № 7)</t>
        </is>
      </c>
      <c r="K161" s="15" t="n"/>
      <c r="L161" s="15" t="n"/>
      <c r="M161" s="3" t="n"/>
      <c r="N161" s="70" t="n"/>
      <c r="O161" s="270" t="n"/>
    </row>
    <row r="162" ht="22.5" customHeight="1" s="151">
      <c r="A162" s="15">
        <f>IF(B162&lt;&gt;"", COUNTA($B$2:B162), "")</f>
        <v/>
      </c>
      <c r="B162" s="73" t="inlineStr">
        <is>
          <t>Термометр сопротивления</t>
        </is>
      </c>
      <c r="C162" s="14" t="inlineStr">
        <is>
          <t>ТСП 012.60</t>
        </is>
      </c>
      <c r="D162" s="70" t="n">
        <v>808</v>
      </c>
      <c r="E162" s="70" t="n"/>
      <c r="F162" s="17" t="inlineStr">
        <is>
          <t>-60…200 °С
100 мм</t>
        </is>
      </c>
      <c r="G162" s="70" t="n"/>
      <c r="H162" s="175" t="inlineStr">
        <is>
          <t>Тг на выходе подогревателя (ТЕ5103)</t>
        </is>
      </c>
      <c r="I162" s="8" t="n"/>
      <c r="J162" s="41" t="inlineStr">
        <is>
          <t>АСУ,А и ТМ (КЦ № 7)</t>
        </is>
      </c>
      <c r="K162" s="15" t="n"/>
      <c r="L162" s="15" t="n"/>
      <c r="M162" s="3" t="n"/>
      <c r="N162" s="70" t="n"/>
      <c r="O162" s="270" t="n"/>
    </row>
    <row r="163" ht="22.5" customHeight="1" s="151">
      <c r="A163" s="15">
        <f>IF(B163&lt;&gt;"", COUNTA($B$2:B163), "")</f>
        <v/>
      </c>
      <c r="B163" s="73" t="inlineStr">
        <is>
          <t>Термометр сопротивления</t>
        </is>
      </c>
      <c r="C163" s="14" t="inlineStr">
        <is>
          <t>ТСП 012.60</t>
        </is>
      </c>
      <c r="D163" s="70" t="n">
        <v>730</v>
      </c>
      <c r="E163" s="290" t="n">
        <v>43191</v>
      </c>
      <c r="F163" s="17" t="inlineStr">
        <is>
          <t>-60…200 °С
400 мм</t>
        </is>
      </c>
      <c r="G163" s="70" t="n"/>
      <c r="H163" s="175" t="inlineStr">
        <is>
          <t>Тв во всасывающей камере (ТЕ2031)</t>
        </is>
      </c>
      <c r="I163" s="8" t="n"/>
      <c r="J163" s="41" t="inlineStr">
        <is>
          <t>АСУ,А и ТМ (КЦ № 7)</t>
        </is>
      </c>
      <c r="K163" s="15" t="n"/>
      <c r="L163" s="15" t="n"/>
      <c r="M163" s="3" t="n"/>
      <c r="N163" s="70" t="n"/>
      <c r="O163" s="270" t="n"/>
    </row>
    <row r="164" ht="22.5" customHeight="1" s="151">
      <c r="A164" s="15">
        <f>IF(B164&lt;&gt;"", COUNTA($B$2:B164), "")</f>
        <v/>
      </c>
      <c r="B164" s="73" t="inlineStr">
        <is>
          <t>Термометр сопротивления</t>
        </is>
      </c>
      <c r="C164" s="14" t="inlineStr">
        <is>
          <t>ТСП 012.08</t>
        </is>
      </c>
      <c r="D164" s="70" t="n">
        <v>597</v>
      </c>
      <c r="E164" s="70" t="n"/>
      <c r="F164" s="17" t="inlineStr">
        <is>
          <t>-60…200 °С
80 мм</t>
        </is>
      </c>
      <c r="G164" s="70" t="n"/>
      <c r="H164" s="175" t="inlineStr">
        <is>
          <t>Тв на выходе из БКВ к укрытию ГПА (ТЕ5302)</t>
        </is>
      </c>
      <c r="I164" s="8" t="n"/>
      <c r="J164" s="41" t="inlineStr">
        <is>
          <t>АСУ,А и ТМ (КЦ № 7)</t>
        </is>
      </c>
      <c r="K164" s="15" t="n"/>
      <c r="L164" s="15" t="n"/>
      <c r="M164" s="3" t="n"/>
      <c r="N164" s="70" t="n"/>
      <c r="O164" s="270" t="n"/>
    </row>
    <row r="165" ht="22.5" customHeight="1" s="151">
      <c r="A165" s="15">
        <f>IF(B165&lt;&gt;"", COUNTA($B$2:B165), "")</f>
        <v/>
      </c>
      <c r="B165" s="74" t="inlineStr">
        <is>
          <t>Термометр сопротивления</t>
        </is>
      </c>
      <c r="C165" s="14" t="inlineStr">
        <is>
          <t>ТСП 012.60</t>
        </is>
      </c>
      <c r="D165" s="71" t="n">
        <v>814</v>
      </c>
      <c r="E165" s="71" t="n"/>
      <c r="F165" s="17" t="inlineStr">
        <is>
          <t>-60…200 °С
60 мм</t>
        </is>
      </c>
      <c r="G165" s="71" t="n"/>
      <c r="H165" s="175" t="inlineStr">
        <is>
          <t>Тв из блока подоготовки на входе в оболчки МП (ТЕ5304)</t>
        </is>
      </c>
      <c r="I165" s="71" t="n"/>
      <c r="J165" s="48" t="inlineStr">
        <is>
          <t>АСУ,А и ТМ (КЦ № 7)</t>
        </is>
      </c>
      <c r="K165" s="14" t="n"/>
      <c r="L165" s="14" t="n"/>
      <c r="M165" s="17" t="n"/>
      <c r="N165" s="71" t="n"/>
      <c r="O165" s="273" t="n"/>
    </row>
    <row r="166" ht="22.5" customHeight="1" s="151">
      <c r="A166" s="15">
        <f>IF(B166&lt;&gt;"", COUNTA($B$2:B166), "")</f>
        <v/>
      </c>
      <c r="B166" s="73" t="inlineStr">
        <is>
          <t>Термометр сопротивления</t>
        </is>
      </c>
      <c r="C166" s="14" t="inlineStr">
        <is>
          <t>ТСП 012.60</t>
        </is>
      </c>
      <c r="D166" s="70" t="n">
        <v>364</v>
      </c>
      <c r="E166" s="70" t="n"/>
      <c r="F166" s="17" t="inlineStr">
        <is>
          <t>-60…200 °С
80 мм</t>
        </is>
      </c>
      <c r="G166" s="70" t="n"/>
      <c r="H166" s="175" t="inlineStr">
        <is>
          <t>Тв на выходе из узла отбора (ТЕ5303)</t>
        </is>
      </c>
      <c r="I166" s="8" t="n"/>
      <c r="J166" s="41" t="inlineStr">
        <is>
          <t>АСУ,А и ТМ (КЦ № 7)</t>
        </is>
      </c>
      <c r="K166" s="15" t="n"/>
      <c r="L166" s="15" t="n"/>
      <c r="M166" s="3" t="n"/>
      <c r="N166" s="70" t="n"/>
      <c r="O166" s="270" t="n"/>
    </row>
    <row r="167" ht="22.5" customHeight="1" s="151">
      <c r="A167" s="15">
        <f>IF(B167&lt;&gt;"", COUNTA($B$2:B167), "")</f>
        <v/>
      </c>
      <c r="B167" s="74" t="inlineStr">
        <is>
          <t>Термометр сопротивления</t>
        </is>
      </c>
      <c r="C167" s="14" t="inlineStr">
        <is>
          <t>ТСП 012.60</t>
        </is>
      </c>
      <c r="D167" s="71" t="n">
        <v>914</v>
      </c>
      <c r="E167" s="71" t="n"/>
      <c r="F167" s="17" t="inlineStr">
        <is>
          <t>-60…200 °С
60 мм</t>
        </is>
      </c>
      <c r="G167" s="71" t="n"/>
      <c r="H167" s="175" t="inlineStr">
        <is>
          <t>Тбг на входе в ГДУ ПКВ (ТЕ5203)</t>
        </is>
      </c>
      <c r="I167" s="71" t="n"/>
      <c r="J167" s="48" t="inlineStr">
        <is>
          <t>АСУ,А и ТМ (КЦ № 7)</t>
        </is>
      </c>
      <c r="K167" s="14" t="n"/>
      <c r="L167" s="14" t="n"/>
      <c r="M167" s="29" t="n"/>
      <c r="N167" s="71" t="n"/>
      <c r="O167" s="273" t="n"/>
    </row>
    <row r="168" ht="22.5" customHeight="1" s="151">
      <c r="A168" s="15">
        <f>IF(B168&lt;&gt;"", COUNTA($B$2:B168), "")</f>
        <v/>
      </c>
      <c r="B168" s="73" t="inlineStr">
        <is>
          <t>Термометр сопротивления</t>
        </is>
      </c>
      <c r="C168" s="14" t="inlineStr">
        <is>
          <t>ТСП 012.60</t>
        </is>
      </c>
      <c r="D168" s="70" t="n">
        <v>913</v>
      </c>
      <c r="E168" s="70" t="n"/>
      <c r="F168" s="17" t="inlineStr">
        <is>
          <t>-60…200 °С
60 мм</t>
        </is>
      </c>
      <c r="G168" s="70" t="n"/>
      <c r="H168" s="14" t="inlineStr">
        <is>
          <t>Тбг на входе в ГДУ ЗКВ (ТЕ5204)</t>
        </is>
      </c>
      <c r="I168" s="8" t="n"/>
      <c r="J168" s="41" t="inlineStr">
        <is>
          <t>АСУ,А и ТМ (КЦ № 7)</t>
        </is>
      </c>
      <c r="K168" s="15" t="n"/>
      <c r="L168" s="15" t="n"/>
      <c r="M168" s="3" t="n"/>
      <c r="N168" s="70" t="n"/>
      <c r="O168" s="270" t="n"/>
    </row>
    <row r="169" ht="22.5" customHeight="1" s="151">
      <c r="A169" s="15">
        <f>IF(B169&lt;&gt;"", COUNTA($B$2:B169), "")</f>
        <v/>
      </c>
      <c r="B169" s="74" t="inlineStr">
        <is>
          <t>Термометр сопротивления</t>
        </is>
      </c>
      <c r="C169" s="14" t="inlineStr">
        <is>
          <t>ДТС 214</t>
        </is>
      </c>
      <c r="D169" s="87" t="inlineStr">
        <is>
          <t>61216180507116380</t>
        </is>
      </c>
      <c r="E169" s="87" t="n">
        <v>2018</v>
      </c>
      <c r="F169" s="17" t="inlineStr">
        <is>
          <t>-60…250 °С</t>
        </is>
      </c>
      <c r="G169" s="71" t="n"/>
      <c r="H169" s="14" t="inlineStr">
        <is>
          <t>Т алюминиевого блока подогревателя топливного газа (ТЕ5104)</t>
        </is>
      </c>
      <c r="I169" s="71" t="n"/>
      <c r="J169" s="41" t="inlineStr">
        <is>
          <t>АСУ,А и ТМ (КЦ № 7)</t>
        </is>
      </c>
      <c r="K169" s="15" t="n"/>
      <c r="L169" s="15" t="n"/>
      <c r="M169" s="3" t="n"/>
      <c r="N169" s="70" t="n"/>
      <c r="O169" s="273" t="n"/>
    </row>
    <row r="170" ht="22.5" customHeight="1" s="151">
      <c r="A170" s="15">
        <f>IF(B170&lt;&gt;"", COUNTA($B$2:B170), "")</f>
        <v/>
      </c>
      <c r="B170" s="73" t="inlineStr">
        <is>
          <t>Термометр сопротивления</t>
        </is>
      </c>
      <c r="C170" s="14" t="inlineStr">
        <is>
          <t>ТСП 012.60</t>
        </is>
      </c>
      <c r="D170" s="70" t="n">
        <v>1071</v>
      </c>
      <c r="E170" s="70" t="n"/>
      <c r="F170" s="17" t="inlineStr">
        <is>
          <t>-60…200 °С
100 мм</t>
        </is>
      </c>
      <c r="G170" s="70" t="n"/>
      <c r="H170" s="14" t="inlineStr">
        <is>
          <t>Тв на выходе из оболочки радиального подшипника (ПКВ)  (ТЕ5205)</t>
        </is>
      </c>
      <c r="I170" s="8" t="n"/>
      <c r="J170" s="41" t="inlineStr">
        <is>
          <t>АСУ,А и ТМ (КЦ № 7)</t>
        </is>
      </c>
      <c r="K170" s="15" t="n"/>
      <c r="L170" s="15" t="n"/>
      <c r="M170" s="3" t="n"/>
      <c r="N170" s="70" t="n"/>
      <c r="O170" s="270" t="n"/>
    </row>
    <row r="171" ht="22.5" customHeight="1" s="151">
      <c r="A171" s="15">
        <f>IF(B171&lt;&gt;"", COUNTA($B$2:B171), "")</f>
        <v/>
      </c>
      <c r="B171" s="73" t="inlineStr">
        <is>
          <t>Термометр сопротивления</t>
        </is>
      </c>
      <c r="C171" s="14" t="inlineStr">
        <is>
          <t>ТСП 012.52В</t>
        </is>
      </c>
      <c r="D171" s="70" t="n">
        <v>46</v>
      </c>
      <c r="E171" s="70" t="n"/>
      <c r="F171" s="17" t="inlineStr">
        <is>
          <t>-60…200 °С
160 мм</t>
        </is>
      </c>
      <c r="G171" s="70" t="n"/>
      <c r="H171" s="175" t="inlineStr">
        <is>
          <t>Тв на выходе из оболочки радиального подшипника ЗКВ (ТЕ5206)</t>
        </is>
      </c>
      <c r="I171" s="8" t="n"/>
      <c r="J171" s="41" t="inlineStr">
        <is>
          <t>АСУ,А и ТМ (КЦ № 7)</t>
        </is>
      </c>
      <c r="K171" s="15" t="n"/>
      <c r="L171" s="15" t="n"/>
      <c r="M171" s="3" t="n"/>
      <c r="N171" s="70" t="n"/>
      <c r="O171" s="270" t="n"/>
    </row>
    <row r="172" ht="22.5" customHeight="1" s="151">
      <c r="A172" s="15">
        <f>IF(B172&lt;&gt;"", COUNTA($B$2:B172), "")</f>
        <v/>
      </c>
      <c r="B172" s="73" t="inlineStr">
        <is>
          <t>Термометр сопротивления</t>
        </is>
      </c>
      <c r="C172" s="14" t="inlineStr">
        <is>
          <t>ТСП 012.60</t>
        </is>
      </c>
      <c r="D172" s="70" t="n">
        <v>1576</v>
      </c>
      <c r="E172" s="70" t="n"/>
      <c r="F172" s="17" t="inlineStr">
        <is>
          <t>-60…200 °С
400 мм</t>
        </is>
      </c>
      <c r="G172" s="70" t="n"/>
      <c r="H172" s="175" t="inlineStr">
        <is>
          <t>Тг на входе в компрессор (ТЕ8001)</t>
        </is>
      </c>
      <c r="I172" s="8" t="n"/>
      <c r="J172" s="41" t="inlineStr">
        <is>
          <t>АСУ,А и ТМ (КЦ № 7)</t>
        </is>
      </c>
      <c r="K172" s="15" t="n"/>
      <c r="L172" s="15" t="n"/>
      <c r="M172" s="3" t="n"/>
      <c r="N172" s="70" t="n"/>
      <c r="O172" s="270" t="n"/>
    </row>
    <row r="173" ht="22.5" customHeight="1" s="151">
      <c r="A173" s="15">
        <f>IF(B173&lt;&gt;"", COUNTA($B$2:B173), "")</f>
        <v/>
      </c>
      <c r="B173" s="73" t="inlineStr">
        <is>
          <t>Термометр сопротивления</t>
        </is>
      </c>
      <c r="C173" s="14" t="inlineStr">
        <is>
          <t>ТСП 012.60</t>
        </is>
      </c>
      <c r="D173" s="70" t="n">
        <v>1583</v>
      </c>
      <c r="E173" s="70" t="n"/>
      <c r="F173" s="17" t="inlineStr">
        <is>
          <t>-60…200 °С
100 мм</t>
        </is>
      </c>
      <c r="G173" s="70" t="n"/>
      <c r="H173" s="175" t="inlineStr">
        <is>
          <t>Тг на выходе из компрессор (ТЕ8002)</t>
        </is>
      </c>
      <c r="I173" s="8" t="n"/>
      <c r="J173" s="41" t="inlineStr">
        <is>
          <t>АСУ,А и ТМ (КЦ № 7)</t>
        </is>
      </c>
      <c r="K173" s="15" t="n"/>
      <c r="L173" s="15" t="n"/>
      <c r="M173" s="3" t="n"/>
      <c r="N173" s="70" t="n"/>
      <c r="O173" s="270" t="n"/>
    </row>
    <row r="174" ht="22.5" customHeight="1" s="151">
      <c r="A174" s="15">
        <f>IF(B174&lt;&gt;"", COUNTA($B$2:B174), "")</f>
        <v/>
      </c>
      <c r="B174" s="73" t="inlineStr">
        <is>
          <t>Термометр сопротивления</t>
        </is>
      </c>
      <c r="C174" s="14" t="inlineStr">
        <is>
          <t>ТСП 012.СП</t>
        </is>
      </c>
      <c r="D174" s="70" t="n">
        <v>601</v>
      </c>
      <c r="E174" s="70" t="n"/>
      <c r="F174" s="17" t="inlineStr">
        <is>
          <t>-60…200 °С
80 мм</t>
        </is>
      </c>
      <c r="G174" s="70" t="n"/>
      <c r="H174" s="175" t="inlineStr">
        <is>
          <t>Тв в БКВ (ТЕ5301)</t>
        </is>
      </c>
      <c r="I174" s="8" t="n"/>
      <c r="J174" s="41" t="inlineStr">
        <is>
          <t>АСУ,А и ТМ (КЦ № 7)</t>
        </is>
      </c>
      <c r="K174" s="15" t="n"/>
      <c r="L174" s="15" t="n"/>
      <c r="M174" s="3" t="n"/>
      <c r="N174" s="70" t="n"/>
      <c r="O174" s="272" t="n"/>
    </row>
    <row r="175" ht="22.5" customHeight="1" s="151">
      <c r="A175" s="15">
        <f>IF(B175&lt;&gt;"", COUNTA($B$2:B175), "")</f>
        <v/>
      </c>
      <c r="B175" s="73" t="inlineStr">
        <is>
          <t>Термометр сопротивления</t>
        </is>
      </c>
      <c r="C175" s="14" t="inlineStr">
        <is>
          <t>ТСП 012.02</t>
        </is>
      </c>
      <c r="D175" s="70" t="n">
        <v>633</v>
      </c>
      <c r="E175" s="70" t="n"/>
      <c r="F175" s="17" t="inlineStr">
        <is>
          <t>-60…200 °С
60 мм</t>
        </is>
      </c>
      <c r="G175" s="70" t="n"/>
      <c r="H175" s="175" t="inlineStr">
        <is>
          <t>Тв в отсеке САУ (ТЕ8101)</t>
        </is>
      </c>
      <c r="I175" s="8" t="n"/>
      <c r="J175" s="41" t="inlineStr">
        <is>
          <t>АСУ,А и ТМ (КЦ № 7)</t>
        </is>
      </c>
      <c r="K175" s="294" t="n"/>
      <c r="L175" s="15" t="n"/>
      <c r="M175" s="3" t="n"/>
      <c r="N175" s="70" t="n"/>
      <c r="O175" s="270" t="n"/>
    </row>
    <row r="176" ht="22.5" customHeight="1" s="151">
      <c r="A176" s="15">
        <f>IF(B176&lt;&gt;"", COUNTA($B$2:B176), "")</f>
        <v/>
      </c>
      <c r="B176" s="73" t="inlineStr">
        <is>
          <t>Термометр сопротивления</t>
        </is>
      </c>
      <c r="C176" s="14" t="inlineStr">
        <is>
          <t>ТСП 012.60</t>
        </is>
      </c>
      <c r="D176" s="70" t="n">
        <v>632</v>
      </c>
      <c r="E176" s="70" t="n"/>
      <c r="F176" s="17" t="inlineStr">
        <is>
          <t>-60…200 °С
60 мм</t>
        </is>
      </c>
      <c r="G176" s="70" t="n"/>
      <c r="H176" s="175" t="inlineStr">
        <is>
          <t>Тв в БЭТ (ТЕ8102)</t>
        </is>
      </c>
      <c r="I176" s="8" t="n"/>
      <c r="J176" s="41" t="inlineStr">
        <is>
          <t>АСУ,А и ТМ (КЦ № 7)</t>
        </is>
      </c>
      <c r="K176" s="15" t="n"/>
      <c r="L176" s="15" t="n"/>
      <c r="M176" s="93" t="n"/>
      <c r="N176" s="70" t="n"/>
      <c r="O176" s="270" t="n"/>
    </row>
    <row r="177" ht="22.5" customHeight="1" s="151">
      <c r="A177" s="15">
        <f>IF(B177&lt;&gt;"", COUNTA($B$2:B177), "")</f>
        <v/>
      </c>
      <c r="B177" s="73" t="inlineStr">
        <is>
          <t>Термометр сопротивления</t>
        </is>
      </c>
      <c r="C177" s="14" t="inlineStr">
        <is>
          <t>ТСП 012.60</t>
        </is>
      </c>
      <c r="D177" s="70" t="n">
        <v>1116</v>
      </c>
      <c r="E177" s="70" t="n"/>
      <c r="F177" s="17" t="inlineStr">
        <is>
          <t>-60…200 °С
400 мм</t>
        </is>
      </c>
      <c r="G177" s="70" t="n"/>
      <c r="H177" s="175" t="inlineStr">
        <is>
          <t>Тм на выходе из двигателя (ТЕ6002)</t>
        </is>
      </c>
      <c r="I177" s="8" t="n"/>
      <c r="J177" s="41" t="inlineStr">
        <is>
          <t>АСУ,А и ТМ (КЦ № 7)</t>
        </is>
      </c>
      <c r="K177" s="15" t="n"/>
      <c r="L177" s="15" t="n"/>
      <c r="M177" s="93" t="n"/>
      <c r="N177" s="70" t="n"/>
      <c r="O177" s="270" t="n"/>
    </row>
    <row r="178" ht="22.5" customHeight="1" s="151">
      <c r="A178" s="15">
        <f>IF(B178&lt;&gt;"", COUNTA($B$2:B178), "")</f>
        <v/>
      </c>
      <c r="B178" s="74" t="inlineStr">
        <is>
          <t>Термометр сопротивления</t>
        </is>
      </c>
      <c r="C178" s="14" t="inlineStr">
        <is>
          <t>ТСП 012.60</t>
        </is>
      </c>
      <c r="D178" s="71" t="n">
        <v>74</v>
      </c>
      <c r="E178" s="71" t="n"/>
      <c r="F178" s="17" t="inlineStr">
        <is>
          <t>-50…150 °С
250 мм</t>
        </is>
      </c>
      <c r="G178" s="101" t="n">
        <v>0.005</v>
      </c>
      <c r="H178" s="14" t="inlineStr">
        <is>
          <t>Тбг после подогревателя в стойке СГУ (ТТ5202)</t>
        </is>
      </c>
      <c r="I178" s="71" t="n"/>
      <c r="J178" s="41" t="inlineStr">
        <is>
          <t>АСУ,А и ТМ (КЦ № 7)</t>
        </is>
      </c>
      <c r="K178" s="15" t="n"/>
      <c r="L178" s="15" t="n"/>
      <c r="M178" s="93" t="n"/>
      <c r="N178" s="70" t="n"/>
      <c r="O178" s="272" t="n"/>
    </row>
    <row r="179" ht="33.75" customHeight="1" s="151">
      <c r="A179" s="15">
        <f>IF(B179&lt;&gt;"", COUNTA($B$2:B179), "")</f>
        <v/>
      </c>
      <c r="B179" s="74" t="inlineStr">
        <is>
          <t>Термометр сопротивления</t>
        </is>
      </c>
      <c r="C179" s="14" t="inlineStr">
        <is>
          <t>ДТС 214</t>
        </is>
      </c>
      <c r="D179" s="87" t="inlineStr">
        <is>
          <t>58861200244052276</t>
        </is>
      </c>
      <c r="E179" s="291" t="n">
        <v>43405</v>
      </c>
      <c r="F179" s="17" t="inlineStr">
        <is>
          <t>-60…250 °С</t>
        </is>
      </c>
      <c r="G179" s="71" t="n"/>
      <c r="H179" s="14" t="inlineStr">
        <is>
          <t>Т алюминиевого блока подогревателя предпусковой подготовки буферного газа (ТТ5206)</t>
        </is>
      </c>
      <c r="I179" s="71" t="n"/>
      <c r="J179" s="41" t="inlineStr">
        <is>
          <t>АСУ,А и ТМ (КЦ № 7)</t>
        </is>
      </c>
      <c r="K179" s="15" t="n"/>
      <c r="L179" s="15" t="n"/>
      <c r="M179" s="93" t="n"/>
      <c r="N179" s="70" t="n"/>
      <c r="O179" s="273" t="n"/>
    </row>
    <row r="180" ht="22.5" customHeight="1" s="151">
      <c r="A180" s="15">
        <f>IF(B180&lt;&gt;"", COUNTA($B$2:B180), "")</f>
        <v/>
      </c>
      <c r="B180" s="73" t="inlineStr">
        <is>
          <t>Термометр сопротивления</t>
        </is>
      </c>
      <c r="C180" s="14" t="inlineStr">
        <is>
          <t>ТСП 012.60</t>
        </is>
      </c>
      <c r="D180" s="70" t="n">
        <v>1804</v>
      </c>
      <c r="E180" s="70" t="n">
        <v>2018</v>
      </c>
      <c r="F180" s="17" t="inlineStr">
        <is>
          <t>-60…200 °С
120 мм</t>
        </is>
      </c>
      <c r="G180" s="70" t="n"/>
      <c r="H180" s="175" t="inlineStr">
        <is>
          <t>Тв в блоке маслоочистителя (ТЕ6006)</t>
        </is>
      </c>
      <c r="I180" s="8" t="n"/>
      <c r="J180" s="41" t="inlineStr">
        <is>
          <t>АСУ,А и ТМ (КЦ № 7)</t>
        </is>
      </c>
      <c r="K180" s="15" t="n"/>
      <c r="L180" s="15" t="n"/>
      <c r="M180" s="93" t="n"/>
      <c r="N180" s="70" t="n"/>
      <c r="O180" s="270" t="n"/>
    </row>
    <row r="181" ht="22.5" customHeight="1" s="151">
      <c r="A181" s="15">
        <f>IF(B181&lt;&gt;"", COUNTA($B$2:B181), "")</f>
        <v/>
      </c>
      <c r="B181" s="74" t="inlineStr">
        <is>
          <t>Термометр сопротивления</t>
        </is>
      </c>
      <c r="C181" s="14" t="inlineStr">
        <is>
          <t>ТСП 012.02</t>
        </is>
      </c>
      <c r="D181" s="71" t="n">
        <v>645</v>
      </c>
      <c r="E181" s="71" t="n">
        <v>2018</v>
      </c>
      <c r="F181" s="17" t="inlineStr">
        <is>
          <t>-60…200 °С
60 мм</t>
        </is>
      </c>
      <c r="G181" s="71" t="n"/>
      <c r="H181" s="14" t="inlineStr">
        <is>
          <t>Тв в БЭТ АВОГ (ТЕ8201)</t>
        </is>
      </c>
      <c r="I181" s="8" t="n"/>
      <c r="J181" s="41" t="inlineStr">
        <is>
          <t>АСУ,А и ТМ (КЦ № 7)</t>
        </is>
      </c>
      <c r="K181" s="15" t="n"/>
      <c r="L181" s="15" t="n"/>
      <c r="M181" s="93" t="n"/>
      <c r="N181" s="70" t="n"/>
      <c r="O181" s="272" t="n"/>
    </row>
    <row r="182" ht="22.5" customHeight="1" s="151">
      <c r="A182" s="15">
        <f>IF(B182&lt;&gt;"", COUNTA($B$2:B182), "")</f>
        <v/>
      </c>
      <c r="B182" s="74" t="inlineStr">
        <is>
          <t>Термометр сопротивления</t>
        </is>
      </c>
      <c r="C182" s="14" t="inlineStr">
        <is>
          <t>ТСП 012.60</t>
        </is>
      </c>
      <c r="D182" s="71" t="n">
        <v>1864</v>
      </c>
      <c r="E182" s="71" t="n">
        <v>2018</v>
      </c>
      <c r="F182" s="17" t="inlineStr">
        <is>
          <t>-60…200 °С
60 мм</t>
        </is>
      </c>
      <c r="G182" s="71" t="inlineStr">
        <is>
          <t>В</t>
        </is>
      </c>
      <c r="H182" s="175" t="inlineStr">
        <is>
          <t>Ттг перед ДГ</t>
        </is>
      </c>
      <c r="I182" s="8" t="n"/>
      <c r="J182" s="41" t="n"/>
      <c r="K182" s="15" t="n"/>
      <c r="L182" s="15" t="n"/>
      <c r="M182" s="93" t="n"/>
      <c r="N182" s="70" t="n"/>
      <c r="O182" s="272" t="n"/>
    </row>
    <row r="183" ht="22.5" customHeight="1" s="151">
      <c r="A183" s="15">
        <f>IF(B183&lt;&gt;"", COUNTA($B$2:B183), "")</f>
        <v/>
      </c>
      <c r="B183" s="74" t="inlineStr">
        <is>
          <t>Термометр сопротивления</t>
        </is>
      </c>
      <c r="C183" s="71" t="inlineStr">
        <is>
          <t>Метран-2700</t>
        </is>
      </c>
      <c r="D183" s="71" t="n">
        <v>2433631</v>
      </c>
      <c r="E183" s="293" t="n">
        <v>43191</v>
      </c>
      <c r="F183" s="17" t="inlineStr">
        <is>
          <t>-50…300 °С
60 мм</t>
        </is>
      </c>
      <c r="G183" s="102" t="n">
        <v>0.0025</v>
      </c>
      <c r="H183" s="14" t="inlineStr">
        <is>
          <t>Тбг на подогревателе СГУ</t>
        </is>
      </c>
      <c r="I183" s="71" t="n"/>
      <c r="J183" s="48" t="inlineStr">
        <is>
          <t>АСУ,А и ТМ (КЦ № 7)</t>
        </is>
      </c>
      <c r="K183" s="15" t="n"/>
      <c r="L183" s="15" t="n"/>
      <c r="M183" s="3" t="n"/>
      <c r="N183" s="70" t="n"/>
      <c r="O183" s="270" t="n"/>
    </row>
    <row r="184" ht="22.5" customHeight="1" s="151">
      <c r="A184" s="15">
        <f>IF(B184&lt;&gt;"", COUNTA($B$2:B184), "")</f>
        <v/>
      </c>
      <c r="B184" s="73" t="inlineStr">
        <is>
          <t>Термометр сопротивления</t>
        </is>
      </c>
      <c r="C184" s="14" t="inlineStr">
        <is>
          <t>ТСП 012.60</t>
        </is>
      </c>
      <c r="D184" s="70" t="n">
        <v>795</v>
      </c>
      <c r="E184" s="70" t="n"/>
      <c r="F184" s="17" t="inlineStr">
        <is>
          <t>-60…200 °С
100 мм</t>
        </is>
      </c>
      <c r="G184" s="70" t="n"/>
      <c r="H184" s="14" t="inlineStr">
        <is>
          <t>Тбг после подогревателя предпусковой подготовки (ТЕ5208)</t>
        </is>
      </c>
      <c r="I184" s="8" t="n"/>
      <c r="J184" s="41" t="inlineStr">
        <is>
          <t>АСУ,А и ТМ (КЦ № 7)</t>
        </is>
      </c>
      <c r="K184" s="15" t="n"/>
      <c r="L184" s="15" t="n"/>
      <c r="M184" s="93" t="n"/>
      <c r="N184" s="70" t="n"/>
      <c r="O184" s="270" t="n"/>
    </row>
    <row r="185" ht="22.5" customHeight="1" s="151">
      <c r="A185" s="15">
        <f>IF(B185&lt;&gt;"", COUNTA($B$2:B185), "")</f>
        <v/>
      </c>
      <c r="B185" s="73" t="inlineStr">
        <is>
          <t>Термометр сопротивления</t>
        </is>
      </c>
      <c r="C185" s="14" t="inlineStr">
        <is>
          <t>ТСП 012.08</t>
        </is>
      </c>
      <c r="D185" s="70" t="n">
        <v>590</v>
      </c>
      <c r="E185" s="32" t="n"/>
      <c r="F185" s="17" t="inlineStr">
        <is>
          <t>-60…200 °С
80 мм</t>
        </is>
      </c>
      <c r="G185" s="70" t="n"/>
      <c r="H185" s="175" t="inlineStr">
        <is>
          <t>Тв подоваемого в воздуходовки (ТЕ5306)</t>
        </is>
      </c>
      <c r="I185" s="8" t="n"/>
      <c r="J185" s="41" t="inlineStr">
        <is>
          <t>АСУ,А и ТМ (КЦ № 7)</t>
        </is>
      </c>
      <c r="K185" s="15" t="n"/>
      <c r="L185" s="15" t="n"/>
      <c r="M185" s="93" t="n"/>
      <c r="N185" s="70" t="n"/>
      <c r="O185" s="270" t="n"/>
    </row>
    <row r="186" ht="22.5" customHeight="1" s="151">
      <c r="A186" s="15">
        <f>IF(B186&lt;&gt;"", COUNTA($B$2:B186), "")</f>
        <v/>
      </c>
      <c r="B186" s="73" t="inlineStr">
        <is>
          <t>Термометр сопротивления</t>
        </is>
      </c>
      <c r="C186" s="14" t="inlineStr">
        <is>
          <t>ТСПУ 031 СК</t>
        </is>
      </c>
      <c r="D186" s="70" t="n">
        <v>105</v>
      </c>
      <c r="E186" s="32" t="inlineStr">
        <is>
          <t>2018</t>
        </is>
      </c>
      <c r="F186" s="17" t="inlineStr">
        <is>
          <t>-50…200 °С
250 мм</t>
        </is>
      </c>
      <c r="G186" s="70" t="n"/>
      <c r="H186" s="175" t="inlineStr">
        <is>
          <t>Тг на выходе АВО перед клапаном 6к (ТТ2)</t>
        </is>
      </c>
      <c r="I186" s="8" t="n"/>
      <c r="J186" s="41" t="n"/>
      <c r="K186" s="15" t="n"/>
      <c r="L186" s="15" t="n"/>
      <c r="M186" s="93" t="n"/>
      <c r="N186" s="70" t="n"/>
      <c r="O186" s="270" t="n"/>
    </row>
    <row r="187" ht="22.5" customHeight="1" s="151">
      <c r="A187" s="15">
        <f>IF(B187&lt;&gt;"", COUNTA($B$2:B187), "")</f>
        <v/>
      </c>
      <c r="B187" s="74" t="inlineStr">
        <is>
          <t>Термометр сопротивления</t>
        </is>
      </c>
      <c r="C187" s="14" t="inlineStr">
        <is>
          <t>ТСПУ 031 СК</t>
        </is>
      </c>
      <c r="D187" s="71" t="n">
        <v>100</v>
      </c>
      <c r="E187" s="29" t="inlineStr">
        <is>
          <t>2018</t>
        </is>
      </c>
      <c r="F187" s="17" t="inlineStr">
        <is>
          <t>-50…200 °С
250 мм</t>
        </is>
      </c>
      <c r="G187" s="71" t="n">
        <v>0.3</v>
      </c>
      <c r="H187" s="175" t="inlineStr">
        <is>
          <t>Тг на выходе АВО перед клапаном 2 (ТТ1)</t>
        </is>
      </c>
      <c r="I187" s="8" t="n"/>
      <c r="J187" s="41" t="n"/>
      <c r="K187" s="15" t="n"/>
      <c r="L187" s="15" t="n"/>
      <c r="M187" s="93" t="n"/>
      <c r="N187" s="70" t="n"/>
      <c r="O187" s="270" t="n"/>
    </row>
    <row r="188" ht="22.5" customHeight="1" s="151">
      <c r="A188" s="15">
        <f>IF(B188&lt;&gt;"", COUNTA($B$2:B188), "")</f>
        <v/>
      </c>
      <c r="B188" s="74" t="inlineStr">
        <is>
          <t>Термометр сопротивления</t>
        </is>
      </c>
      <c r="C188" s="14" t="inlineStr">
        <is>
          <t>ТСП 012.08</t>
        </is>
      </c>
      <c r="D188" s="71" t="n">
        <v>590</v>
      </c>
      <c r="E188" s="29" t="inlineStr">
        <is>
          <t>2018</t>
        </is>
      </c>
      <c r="F188" s="17" t="inlineStr">
        <is>
          <t>-50…150 °С
80 мм</t>
        </is>
      </c>
      <c r="G188" s="102" t="n">
        <v>0.0025</v>
      </c>
      <c r="H188" s="71" t="inlineStr">
        <is>
          <t>Тв в общем колекторе</t>
        </is>
      </c>
      <c r="I188" s="70" t="n"/>
      <c r="J188" s="41" t="inlineStr">
        <is>
          <t>АСУ,А и ТМ (КЦ № 7)</t>
        </is>
      </c>
      <c r="K188" s="15" t="n"/>
      <c r="L188" s="15" t="n"/>
      <c r="M188" s="93" t="n"/>
      <c r="N188" s="70" t="n"/>
      <c r="O188" s="270" t="n"/>
    </row>
    <row r="189" ht="22.5" customHeight="1" s="151">
      <c r="A189" s="15">
        <f>IF(B189&lt;&gt;"", COUNTA($B$2:B189), "")</f>
        <v/>
      </c>
      <c r="B189" s="74" t="inlineStr">
        <is>
          <t>Термометр сопротивления</t>
        </is>
      </c>
      <c r="C189" s="14" t="inlineStr">
        <is>
          <t>ТСПУ014.12</t>
        </is>
      </c>
      <c r="D189" s="71" t="n">
        <v>365</v>
      </c>
      <c r="E189" s="29" t="inlineStr">
        <is>
          <t>2018</t>
        </is>
      </c>
      <c r="F189" s="17" t="inlineStr">
        <is>
          <t>-60…200 °С
80 мм</t>
        </is>
      </c>
      <c r="G189" s="83" t="inlineStr">
        <is>
          <t>В</t>
        </is>
      </c>
      <c r="H189" s="71" t="inlineStr">
        <is>
          <t>Тв в общем колекторе</t>
        </is>
      </c>
      <c r="I189" s="70" t="n"/>
      <c r="J189" s="41" t="inlineStr">
        <is>
          <t>АСУ,А и ТМ (КЦ № 7)</t>
        </is>
      </c>
      <c r="K189" s="15" t="n"/>
      <c r="L189" s="15" t="n"/>
      <c r="M189" s="93" t="n"/>
      <c r="N189" s="70" t="n"/>
      <c r="O189" s="270" t="n"/>
    </row>
    <row r="190" ht="22.5" customHeight="1" s="151">
      <c r="A190" s="15">
        <f>IF(B190&lt;&gt;"", COUNTA($B$2:B190), "")</f>
        <v/>
      </c>
      <c r="B190" s="74" t="inlineStr">
        <is>
          <t>Термометр сопротивления</t>
        </is>
      </c>
      <c r="C190" s="14" t="inlineStr">
        <is>
          <t>Метран-2000 А02 НСХ</t>
        </is>
      </c>
      <c r="D190" s="71" t="n">
        <v>2444273</v>
      </c>
      <c r="E190" s="32" t="inlineStr">
        <is>
          <t>2018</t>
        </is>
      </c>
      <c r="F190" s="17" t="inlineStr">
        <is>
          <t>-50…200 °С
60 мм</t>
        </is>
      </c>
      <c r="G190" s="83" t="n"/>
      <c r="H190" s="71" t="inlineStr">
        <is>
          <t>Тв на выходе ресивера ГШ5301</t>
        </is>
      </c>
      <c r="I190" s="70" t="n"/>
      <c r="J190" s="41" t="inlineStr">
        <is>
          <t>АСУ,А и ТМ (КЦ № 7)</t>
        </is>
      </c>
      <c r="K190" s="15" t="n"/>
      <c r="L190" s="15" t="n"/>
      <c r="M190" s="3" t="n"/>
      <c r="N190" s="70" t="n"/>
      <c r="O190" s="270" t="n"/>
    </row>
    <row r="191" ht="22.5" customHeight="1" s="151">
      <c r="A191" s="15">
        <f>IF(B191&lt;&gt;"", COUNTA($B$2:B191), "")</f>
        <v/>
      </c>
      <c r="B191" s="74" t="inlineStr">
        <is>
          <t>Термометр сопротивления</t>
        </is>
      </c>
      <c r="C191" s="14" t="inlineStr">
        <is>
          <t>Метран-2000 А02 НСХ</t>
        </is>
      </c>
      <c r="D191" s="71" t="n">
        <v>2444562</v>
      </c>
      <c r="E191" s="32" t="inlineStr">
        <is>
          <t>2018</t>
        </is>
      </c>
      <c r="F191" s="17" t="inlineStr">
        <is>
          <t>-50…200 °С
60 мм</t>
        </is>
      </c>
      <c r="G191" s="83" t="n"/>
      <c r="H191" s="71" t="inlineStr">
        <is>
          <t>Тм подшипника ВК2 В5301</t>
        </is>
      </c>
      <c r="I191" s="70" t="n"/>
      <c r="J191" s="41" t="inlineStr">
        <is>
          <t>АСУ,А и ТМ (КЦ № 7)</t>
        </is>
      </c>
      <c r="K191" s="15" t="n"/>
      <c r="L191" s="15" t="n"/>
      <c r="M191" s="3" t="n"/>
      <c r="N191" s="70" t="n"/>
      <c r="O191" s="270" t="n"/>
    </row>
    <row r="192" ht="22.5" customHeight="1" s="151">
      <c r="A192" s="15">
        <f>IF(B192&lt;&gt;"", COUNTA($B$2:B192), "")</f>
        <v/>
      </c>
      <c r="B192" s="74" t="inlineStr">
        <is>
          <t>Термометр сопротивления</t>
        </is>
      </c>
      <c r="C192" s="14" t="inlineStr">
        <is>
          <t>Метран-2000 А02 НСХ</t>
        </is>
      </c>
      <c r="D192" s="71" t="n">
        <v>2421627</v>
      </c>
      <c r="E192" s="293" t="n">
        <v>43282</v>
      </c>
      <c r="F192" s="17" t="inlineStr">
        <is>
          <t>-50…200 °С
60 мм</t>
        </is>
      </c>
      <c r="G192" s="83" t="n"/>
      <c r="H192" s="71" t="inlineStr">
        <is>
          <t>Тмподшипника ВК3 В5301</t>
        </is>
      </c>
      <c r="I192" s="70" t="n"/>
      <c r="J192" s="41" t="inlineStr">
        <is>
          <t>АСУ,А и ТМ (КЦ № 7)</t>
        </is>
      </c>
      <c r="K192" s="15" t="n"/>
      <c r="L192" s="15" t="n"/>
      <c r="M192" s="3" t="n"/>
      <c r="N192" s="70" t="n"/>
      <c r="O192" s="270" t="n"/>
    </row>
    <row r="193" ht="22.5" customHeight="1" s="151">
      <c r="A193" s="15">
        <f>IF(B193&lt;&gt;"", COUNTA($B$2:B193), "")</f>
        <v/>
      </c>
      <c r="B193" s="74" t="inlineStr">
        <is>
          <t>Термометр сопротивления</t>
        </is>
      </c>
      <c r="C193" s="14" t="inlineStr">
        <is>
          <t>Метран-2000 А02 НСХ</t>
        </is>
      </c>
      <c r="D193" s="71" t="n">
        <v>2444270</v>
      </c>
      <c r="E193" s="293" t="n">
        <v>43282</v>
      </c>
      <c r="F193" s="17" t="inlineStr">
        <is>
          <t>-50…200 °С
60 мм</t>
        </is>
      </c>
      <c r="G193" s="83" t="n"/>
      <c r="H193" s="71" t="inlineStr">
        <is>
          <t>Тв на выходе ресивера ГШ5302</t>
        </is>
      </c>
      <c r="I193" s="70" t="n"/>
      <c r="J193" s="41" t="inlineStr">
        <is>
          <t>АСУ,А и ТМ (КЦ № 7)</t>
        </is>
      </c>
      <c r="K193" s="15" t="n"/>
      <c r="L193" s="15" t="n"/>
      <c r="M193" s="3" t="n"/>
      <c r="N193" s="70" t="n"/>
      <c r="O193" s="270" t="n"/>
    </row>
    <row r="194" ht="22.5" customHeight="1" s="151">
      <c r="A194" s="15">
        <f>IF(B194&lt;&gt;"", COUNTA($B$2:B194), "")</f>
        <v/>
      </c>
      <c r="B194" s="74" t="inlineStr">
        <is>
          <t>Термометр сопротивления</t>
        </is>
      </c>
      <c r="C194" s="14" t="inlineStr">
        <is>
          <t>Метран-2000 А02 НСХ</t>
        </is>
      </c>
      <c r="D194" s="71" t="n">
        <v>2428406</v>
      </c>
      <c r="E194" s="293" t="n">
        <v>43282</v>
      </c>
      <c r="F194" s="17" t="inlineStr">
        <is>
          <t>-50…200 °С
60 мм</t>
        </is>
      </c>
      <c r="G194" s="83" t="n"/>
      <c r="H194" s="71" t="inlineStr">
        <is>
          <t>Тм подшипника ВК2 В5302</t>
        </is>
      </c>
      <c r="I194" s="70" t="n"/>
      <c r="J194" s="41" t="inlineStr">
        <is>
          <t>АСУ,А и ТМ (КЦ № 7)</t>
        </is>
      </c>
      <c r="K194" s="15" t="n"/>
      <c r="L194" s="15" t="n"/>
      <c r="M194" s="3" t="n"/>
      <c r="N194" s="70" t="n"/>
      <c r="O194" s="270" t="n"/>
    </row>
    <row r="195" ht="22.5" customHeight="1" s="151">
      <c r="A195" s="15">
        <f>IF(B195&lt;&gt;"", COUNTA($B$2:B195), "")</f>
        <v/>
      </c>
      <c r="B195" s="74" t="inlineStr">
        <is>
          <t>Термометр сопротивления</t>
        </is>
      </c>
      <c r="C195" s="14" t="inlineStr">
        <is>
          <t>Метран-2000 А02 НСХ</t>
        </is>
      </c>
      <c r="D195" s="71" t="n">
        <v>2428412</v>
      </c>
      <c r="E195" s="293" t="n">
        <v>43282</v>
      </c>
      <c r="F195" s="17" t="inlineStr">
        <is>
          <t>-50…200 °С
60 мм</t>
        </is>
      </c>
      <c r="G195" s="83" t="n"/>
      <c r="H195" s="71" t="inlineStr">
        <is>
          <t>Тм подшипника ВК3 В5302</t>
        </is>
      </c>
      <c r="I195" s="70" t="n"/>
      <c r="J195" s="41" t="inlineStr">
        <is>
          <t>АСУ,А и ТМ (КЦ № 7)</t>
        </is>
      </c>
      <c r="K195" s="15" t="n"/>
      <c r="L195" s="15" t="n"/>
      <c r="M195" s="3" t="n"/>
      <c r="N195" s="70" t="n"/>
      <c r="O195" s="270" t="n"/>
    </row>
    <row r="196" ht="22.5" customHeight="1" s="151">
      <c r="A196" s="15">
        <f>IF(B196&lt;&gt;"", COUNTA($B$2:B196), "")</f>
        <v/>
      </c>
      <c r="B196" s="70" t="inlineStr">
        <is>
          <t xml:space="preserve"> Расходомер</t>
        </is>
      </c>
      <c r="C196" s="71" t="inlineStr">
        <is>
          <t>Эмис-Вихрь 200 ЭВ-200</t>
        </is>
      </c>
      <c r="D196" s="70" t="n">
        <v>22321</v>
      </c>
      <c r="E196" s="290" t="n">
        <v>43282</v>
      </c>
      <c r="F196" s="70" t="inlineStr">
        <is>
          <t>18…480 м³/ч</t>
        </is>
      </c>
      <c r="G196" s="93" t="n"/>
      <c r="H196" s="175" t="inlineStr">
        <is>
          <t>Qв на выходе из оболочки радиального подшипника ( ПКВ)</t>
        </is>
      </c>
      <c r="I196" s="8" t="inlineStr">
        <is>
          <t>Укрытие</t>
        </is>
      </c>
      <c r="J196" s="41" t="inlineStr">
        <is>
          <t>АСУ,А и ТМ (КЦ № 7)</t>
        </is>
      </c>
      <c r="K196" s="15" t="n"/>
      <c r="L196" s="15" t="n"/>
      <c r="M196" s="3" t="n"/>
      <c r="N196" s="70" t="n"/>
      <c r="O196" s="272" t="n"/>
    </row>
    <row r="197" ht="22.5" customHeight="1" s="151">
      <c r="A197" s="15">
        <f>IF(B197&lt;&gt;"", COUNTA($B$2:B197), "")</f>
        <v/>
      </c>
      <c r="B197" s="70" t="inlineStr">
        <is>
          <t xml:space="preserve"> Расходомер</t>
        </is>
      </c>
      <c r="C197" s="71" t="inlineStr">
        <is>
          <t>Эмис-Вихрь 200 ЭВ-200</t>
        </is>
      </c>
      <c r="D197" s="70" t="n">
        <v>22333</v>
      </c>
      <c r="E197" s="290" t="n">
        <v>43282</v>
      </c>
      <c r="F197" s="70" t="inlineStr">
        <is>
          <t>18…480 м³/ч</t>
        </is>
      </c>
      <c r="G197" s="93" t="n"/>
      <c r="H197" s="175" t="inlineStr">
        <is>
          <t>Qв на выходе из оболочки радиального подшипника ( ЗКВ)</t>
        </is>
      </c>
      <c r="I197" s="8" t="inlineStr">
        <is>
          <t>Укрытие</t>
        </is>
      </c>
      <c r="J197" s="41" t="inlineStr">
        <is>
          <t>АСУ,А и ТМ (КЦ № 7)</t>
        </is>
      </c>
      <c r="K197" s="15" t="n"/>
      <c r="L197" s="15" t="n"/>
      <c r="M197" s="3" t="n"/>
      <c r="N197" s="70" t="n"/>
      <c r="O197" s="272" t="n"/>
    </row>
    <row r="198" ht="22.5" customHeight="1" s="151">
      <c r="A198" s="15">
        <f>IF(B198&lt;&gt;"", COUNTA($B$2:B198), "")</f>
        <v/>
      </c>
      <c r="B198" s="74" t="inlineStr">
        <is>
          <t>Термометр сопротивления</t>
        </is>
      </c>
      <c r="C198" s="71" t="inlineStr">
        <is>
          <t>ТСП 012.08</t>
        </is>
      </c>
      <c r="D198" s="71" t="n">
        <v>597</v>
      </c>
      <c r="E198" s="29" t="inlineStr">
        <is>
          <t>2018</t>
        </is>
      </c>
      <c r="F198" s="17" t="inlineStr">
        <is>
          <t>-60…200 °С
80 мм</t>
        </is>
      </c>
      <c r="G198" s="83" t="inlineStr">
        <is>
          <t>В</t>
        </is>
      </c>
      <c r="H198" s="14" t="inlineStr">
        <is>
          <t xml:space="preserve">Тв подоваемого из воздуходовки </t>
        </is>
      </c>
      <c r="I198" s="70" t="n"/>
      <c r="J198" s="41" t="n"/>
      <c r="K198" s="15" t="n"/>
      <c r="L198" s="15" t="n"/>
      <c r="M198" s="3" t="n"/>
      <c r="N198" s="70" t="n"/>
      <c r="O198" s="270" t="n"/>
    </row>
    <row r="199" ht="22.5" customHeight="1" s="151">
      <c r="A199" s="15">
        <f>IF(B199&lt;&gt;"", COUNTA($B$2:B199), "")</f>
        <v/>
      </c>
      <c r="B199" s="70" t="inlineStr">
        <is>
          <t>Сигнализатор уровня</t>
        </is>
      </c>
      <c r="C199" s="14" t="inlineStr">
        <is>
          <t>Валком</t>
        </is>
      </c>
      <c r="D199" s="70" t="inlineStr">
        <is>
          <t>8A10710</t>
        </is>
      </c>
      <c r="E199" s="70" t="n">
        <v>2018</v>
      </c>
      <c r="F199" s="70" t="inlineStr">
        <is>
          <t>200 мм</t>
        </is>
      </c>
      <c r="G199" s="93" t="n"/>
      <c r="H199" s="70" t="inlineStr">
        <is>
          <t>БФБГ-1 (верхний)</t>
        </is>
      </c>
      <c r="I199" s="70" t="inlineStr">
        <is>
          <t>КЦ</t>
        </is>
      </c>
      <c r="J199" s="41" t="inlineStr">
        <is>
          <t>АСУ,А и ТМ (КЦ № 7)</t>
        </is>
      </c>
      <c r="K199" s="15" t="n"/>
      <c r="L199" s="15" t="n"/>
      <c r="M199" s="3" t="n"/>
      <c r="N199" s="70" t="n"/>
      <c r="O199" s="273" t="n"/>
      <c r="P199" s="276" t="inlineStr">
        <is>
          <t>не является СИ</t>
        </is>
      </c>
    </row>
    <row r="200" ht="22.5" customHeight="1" s="151">
      <c r="A200" s="15">
        <f>IF(B200&lt;&gt;"", COUNTA($B$2:B200), "")</f>
        <v/>
      </c>
      <c r="B200" s="70" t="inlineStr">
        <is>
          <t>Сигнализатор уровня</t>
        </is>
      </c>
      <c r="C200" s="14" t="inlineStr">
        <is>
          <t>Валком</t>
        </is>
      </c>
      <c r="D200" s="70" t="inlineStr">
        <is>
          <t>8A10721</t>
        </is>
      </c>
      <c r="E200" s="70" t="n">
        <v>2018</v>
      </c>
      <c r="F200" s="70" t="inlineStr">
        <is>
          <t>200 мм</t>
        </is>
      </c>
      <c r="G200" s="93" t="n"/>
      <c r="H200" s="70" t="inlineStr">
        <is>
          <t>БФБГ-1 (нижний)</t>
        </is>
      </c>
      <c r="I200" s="70" t="inlineStr">
        <is>
          <t>КЦ</t>
        </is>
      </c>
      <c r="J200" s="41" t="inlineStr">
        <is>
          <t>АСУ,А и ТМ (КЦ № 7)</t>
        </is>
      </c>
      <c r="K200" s="15" t="n"/>
      <c r="L200" s="15" t="n"/>
      <c r="M200" s="3" t="n"/>
      <c r="N200" s="70" t="n"/>
      <c r="O200" s="273" t="n"/>
      <c r="P200" s="276" t="inlineStr">
        <is>
          <t>не является СИ</t>
        </is>
      </c>
    </row>
    <row r="201" ht="22.5" customHeight="1" s="151">
      <c r="A201" s="15">
        <f>IF(B201&lt;&gt;"", COUNTA($B$2:B201), "")</f>
        <v/>
      </c>
      <c r="B201" s="70" t="inlineStr">
        <is>
          <t>Сигнализатор уровня</t>
        </is>
      </c>
      <c r="C201" s="14" t="inlineStr">
        <is>
          <t>Валком</t>
        </is>
      </c>
      <c r="D201" s="70" t="inlineStr">
        <is>
          <t>8A10728</t>
        </is>
      </c>
      <c r="E201" s="70" t="n">
        <v>2018</v>
      </c>
      <c r="F201" s="70" t="inlineStr">
        <is>
          <t>200 мм</t>
        </is>
      </c>
      <c r="G201" s="93" t="n"/>
      <c r="H201" s="70" t="inlineStr">
        <is>
          <t>БФБГ-2 (верхний)</t>
        </is>
      </c>
      <c r="I201" s="70" t="inlineStr">
        <is>
          <t>КЦ</t>
        </is>
      </c>
      <c r="J201" s="41" t="inlineStr">
        <is>
          <t>АСУ,А и ТМ (КЦ № 7)</t>
        </is>
      </c>
      <c r="K201" s="15" t="n"/>
      <c r="L201" s="15" t="n"/>
      <c r="M201" s="3" t="n"/>
      <c r="N201" s="70" t="n"/>
      <c r="O201" s="273" t="n"/>
      <c r="P201" s="276" t="inlineStr">
        <is>
          <t>не является СИ</t>
        </is>
      </c>
    </row>
    <row r="202" ht="22.5" customHeight="1" s="151">
      <c r="A202" s="15">
        <f>IF(B202&lt;&gt;"", COUNTA($B$2:B202), "")</f>
        <v/>
      </c>
      <c r="B202" s="70" t="inlineStr">
        <is>
          <t>Сигнализатор уровня</t>
        </is>
      </c>
      <c r="C202" s="14" t="inlineStr">
        <is>
          <t>Валком</t>
        </is>
      </c>
      <c r="D202" s="70" t="inlineStr">
        <is>
          <t>8A10729</t>
        </is>
      </c>
      <c r="E202" s="70" t="n">
        <v>2018</v>
      </c>
      <c r="F202" s="70" t="inlineStr">
        <is>
          <t>200 мм</t>
        </is>
      </c>
      <c r="G202" s="93" t="n"/>
      <c r="H202" s="70" t="inlineStr">
        <is>
          <t>БФБГ-2 (нижний)</t>
        </is>
      </c>
      <c r="I202" s="70" t="inlineStr">
        <is>
          <t>КЦ</t>
        </is>
      </c>
      <c r="J202" s="41" t="inlineStr">
        <is>
          <t>АСУ,А и ТМ (КЦ № 7)</t>
        </is>
      </c>
      <c r="K202" s="15" t="n"/>
      <c r="L202" s="15" t="n"/>
      <c r="M202" s="3" t="n"/>
      <c r="N202" s="70" t="n"/>
      <c r="O202" s="273" t="n"/>
      <c r="P202" s="276" t="inlineStr">
        <is>
          <t>не является СИ</t>
        </is>
      </c>
    </row>
    <row r="203" ht="22.5" customHeight="1" s="151">
      <c r="A203" s="15">
        <f>IF(B203&lt;&gt;"", COUNTA($B$2:B203), "")</f>
        <v/>
      </c>
      <c r="B203" s="70" t="inlineStr">
        <is>
          <t>Сигнализатор уровня</t>
        </is>
      </c>
      <c r="C203" s="14" t="inlineStr">
        <is>
          <t>Валком</t>
        </is>
      </c>
      <c r="D203" s="70" t="inlineStr">
        <is>
          <t>8A10742</t>
        </is>
      </c>
      <c r="E203" s="70" t="n">
        <v>2018</v>
      </c>
      <c r="F203" s="70" t="inlineStr">
        <is>
          <t>200 мм</t>
        </is>
      </c>
      <c r="G203" s="93" t="n"/>
      <c r="H203" s="70" t="inlineStr">
        <is>
          <t>БФТГ-1 (верхний)</t>
        </is>
      </c>
      <c r="I203" s="70" t="inlineStr">
        <is>
          <t>КЦ</t>
        </is>
      </c>
      <c r="J203" s="41" t="inlineStr">
        <is>
          <t>АСУ,А и ТМ (КЦ № 7)</t>
        </is>
      </c>
      <c r="K203" s="15" t="n"/>
      <c r="L203" s="15" t="n"/>
      <c r="M203" s="3" t="n"/>
      <c r="N203" s="70" t="n"/>
      <c r="O203" s="273" t="n"/>
      <c r="P203" s="276" t="inlineStr">
        <is>
          <t>не является СИ</t>
        </is>
      </c>
    </row>
    <row r="204" ht="22.5" customHeight="1" s="151">
      <c r="A204" s="15">
        <f>IF(B204&lt;&gt;"", COUNTA($B$2:B204), "")</f>
        <v/>
      </c>
      <c r="B204" s="70" t="inlineStr">
        <is>
          <t>Сигнализатор уровня</t>
        </is>
      </c>
      <c r="C204" s="14" t="inlineStr">
        <is>
          <t>Валком</t>
        </is>
      </c>
      <c r="D204" s="70" t="inlineStr">
        <is>
          <t>8A10751</t>
        </is>
      </c>
      <c r="E204" s="70" t="n">
        <v>2018</v>
      </c>
      <c r="F204" s="70" t="inlineStr">
        <is>
          <t>200 мм</t>
        </is>
      </c>
      <c r="G204" s="93" t="n"/>
      <c r="H204" s="70" t="inlineStr">
        <is>
          <t>БФТГ-1 (нижний)</t>
        </is>
      </c>
      <c r="I204" s="70" t="inlineStr">
        <is>
          <t>КЦ</t>
        </is>
      </c>
      <c r="J204" s="41" t="inlineStr">
        <is>
          <t>АСУ,А и ТМ (КЦ № 7)</t>
        </is>
      </c>
      <c r="K204" s="15" t="n"/>
      <c r="L204" s="15" t="n"/>
      <c r="M204" s="3" t="n"/>
      <c r="N204" s="70" t="n"/>
      <c r="O204" s="273" t="n"/>
      <c r="P204" s="276" t="inlineStr">
        <is>
          <t>не является СИ</t>
        </is>
      </c>
    </row>
    <row r="205" ht="22.5" customHeight="1" s="151">
      <c r="A205" s="15">
        <f>IF(B205&lt;&gt;"", COUNTA($B$2:B205), "")</f>
        <v/>
      </c>
      <c r="B205" s="70" t="inlineStr">
        <is>
          <t>Сигнализатор уровня</t>
        </is>
      </c>
      <c r="C205" s="14" t="inlineStr">
        <is>
          <t>Валком</t>
        </is>
      </c>
      <c r="D205" s="70" t="inlineStr">
        <is>
          <t>8К10996</t>
        </is>
      </c>
      <c r="E205" s="70" t="n">
        <v>2018</v>
      </c>
      <c r="F205" s="70" t="inlineStr">
        <is>
          <t>200 мм</t>
        </is>
      </c>
      <c r="G205" s="93" t="n"/>
      <c r="H205" s="70" t="inlineStr">
        <is>
          <t>БФТГ-2 (верхний)</t>
        </is>
      </c>
      <c r="I205" s="70" t="inlineStr">
        <is>
          <t>КЦ</t>
        </is>
      </c>
      <c r="J205" s="41" t="inlineStr">
        <is>
          <t>АСУ,А и ТМ (КЦ № 7)</t>
        </is>
      </c>
      <c r="K205" s="15" t="n"/>
      <c r="L205" s="15" t="n"/>
      <c r="M205" s="3" t="n"/>
      <c r="N205" s="70" t="n"/>
      <c r="O205" s="273" t="n"/>
      <c r="P205" s="276" t="inlineStr">
        <is>
          <t>не является СИ</t>
        </is>
      </c>
    </row>
    <row r="206" ht="22.5" customHeight="1" s="151">
      <c r="A206" s="15">
        <f>IF(B206&lt;&gt;"", COUNTA($B$2:B206), "")</f>
        <v/>
      </c>
      <c r="B206" s="70" t="inlineStr">
        <is>
          <t>Сигнализатор уровня</t>
        </is>
      </c>
      <c r="C206" s="14" t="inlineStr">
        <is>
          <t>Валком</t>
        </is>
      </c>
      <c r="D206" s="70" t="inlineStr">
        <is>
          <t>8A10750</t>
        </is>
      </c>
      <c r="E206" s="70" t="n">
        <v>2018</v>
      </c>
      <c r="F206" s="70" t="inlineStr">
        <is>
          <t>200 мм</t>
        </is>
      </c>
      <c r="G206" s="93" t="n"/>
      <c r="H206" s="70" t="inlineStr">
        <is>
          <t>БФТГ-2 (нижний)</t>
        </is>
      </c>
      <c r="I206" s="70" t="inlineStr">
        <is>
          <t>КЦ</t>
        </is>
      </c>
      <c r="J206" s="41" t="inlineStr">
        <is>
          <t>АСУ,А и ТМ (КЦ № 7)</t>
        </is>
      </c>
      <c r="K206" s="15" t="n"/>
      <c r="L206" s="15" t="n"/>
      <c r="M206" s="3" t="n"/>
      <c r="N206" s="70" t="n"/>
      <c r="O206" s="273" t="n"/>
      <c r="P206" s="276" t="inlineStr">
        <is>
          <t>не является СИ</t>
        </is>
      </c>
    </row>
    <row r="207" ht="22.5" customFormat="1" customHeight="1" s="63">
      <c r="A207" s="242">
        <f>IF(B207&lt;&gt;"", COUNTA($B$2:B207), "")</f>
        <v/>
      </c>
      <c r="B207" s="233" t="inlineStr">
        <is>
          <t>Сигнализатор давления</t>
        </is>
      </c>
      <c r="C207" s="146" t="inlineStr">
        <is>
          <t>Садко 107</t>
        </is>
      </c>
      <c r="D207" s="233" t="n"/>
      <c r="E207" s="233" t="n">
        <v>2018</v>
      </c>
      <c r="F207" s="233" t="inlineStr">
        <is>
          <t>0,09…0,5 МПа</t>
        </is>
      </c>
      <c r="G207" s="234" t="n"/>
      <c r="H207" s="233" t="inlineStr">
        <is>
          <t>PКПВ КВД (А61)</t>
        </is>
      </c>
      <c r="I207" s="51" t="inlineStr">
        <is>
          <t>КЦ</t>
        </is>
      </c>
      <c r="J207" s="235" t="inlineStr">
        <is>
          <t>АСУ,А и ТМ (КЦ № 7)</t>
        </is>
      </c>
      <c r="K207" s="242" t="n"/>
      <c r="L207" s="242" t="n"/>
      <c r="M207" s="22" t="n"/>
      <c r="N207" s="51" t="n"/>
      <c r="O207" s="274" t="n"/>
    </row>
    <row r="208" ht="22.5" customFormat="1" customHeight="1" s="63">
      <c r="A208" s="242">
        <f>IF(B208&lt;&gt;"", COUNTA($B$2:B208), "")</f>
        <v/>
      </c>
      <c r="B208" s="233" t="inlineStr">
        <is>
          <t>Сигнализатор давления</t>
        </is>
      </c>
      <c r="C208" s="146" t="inlineStr">
        <is>
          <t>Садко 107</t>
        </is>
      </c>
      <c r="D208" s="233" t="n"/>
      <c r="E208" s="233" t="n">
        <v>2019</v>
      </c>
      <c r="F208" s="233" t="inlineStr">
        <is>
          <t>0,04…0,1 МПа</t>
        </is>
      </c>
      <c r="G208" s="234" t="n"/>
      <c r="H208" s="233" t="inlineStr">
        <is>
          <t>Pкпвз (А31)</t>
        </is>
      </c>
      <c r="I208" s="51" t="inlineStr">
        <is>
          <t>КЦ</t>
        </is>
      </c>
      <c r="J208" s="235" t="inlineStr">
        <is>
          <t>АСУ,А и ТМ (КЦ № 7)</t>
        </is>
      </c>
      <c r="K208" s="242" t="n"/>
      <c r="L208" s="242" t="n"/>
      <c r="M208" s="22" t="n"/>
      <c r="N208" s="51" t="n"/>
      <c r="O208" s="274" t="n"/>
    </row>
    <row r="209" ht="22.5" customHeight="1" s="151">
      <c r="A209" s="15">
        <f>IF(B209&lt;&gt;"", COUNTA($B$2:B209), "")</f>
        <v/>
      </c>
      <c r="B209" s="175" t="inlineStr">
        <is>
          <t>Преобразователь давления</t>
        </is>
      </c>
      <c r="C209" s="14" t="inlineStr">
        <is>
          <t>Yokogawa EJA530E</t>
        </is>
      </c>
      <c r="D209" s="175" t="inlineStr">
        <is>
          <t>91UB38695</t>
        </is>
      </c>
      <c r="E209" s="175" t="n">
        <v>2018</v>
      </c>
      <c r="F209" s="175" t="inlineStr">
        <is>
          <t>0…0,6 МПа</t>
        </is>
      </c>
      <c r="G209" s="95" t="n"/>
      <c r="H209" s="175" t="inlineStr">
        <is>
          <t>Pквд (A71)</t>
        </is>
      </c>
      <c r="I209" s="70" t="inlineStr">
        <is>
          <t>КЦ</t>
        </is>
      </c>
      <c r="J209" s="41" t="inlineStr">
        <is>
          <t>АСУ,А и ТМ (КЦ № 7)</t>
        </is>
      </c>
      <c r="K209" s="15" t="n"/>
      <c r="L209" s="15" t="n"/>
      <c r="M209" s="3" t="n"/>
      <c r="N209" s="70" t="n"/>
      <c r="O209" s="270" t="n"/>
    </row>
    <row r="210" ht="22.5" customHeight="1" s="151">
      <c r="A210" s="15">
        <f>IF(B210&lt;&gt;"", COUNTA($B$2:B210), "")</f>
        <v/>
      </c>
      <c r="B210" s="175" t="inlineStr">
        <is>
          <t>Преобразователь давления</t>
        </is>
      </c>
      <c r="C210" s="14" t="inlineStr">
        <is>
          <t>Yokogawa EJA530E</t>
        </is>
      </c>
      <c r="D210" s="175" t="inlineStr">
        <is>
          <t>91UC19421</t>
        </is>
      </c>
      <c r="E210" s="175" t="n">
        <v>2018</v>
      </c>
      <c r="F210" s="175" t="inlineStr">
        <is>
          <t>0…0,2 МПа</t>
        </is>
      </c>
      <c r="G210" s="95" t="n"/>
      <c r="H210" s="175" t="inlineStr">
        <is>
          <t>Pрп квд (A33)</t>
        </is>
      </c>
      <c r="I210" s="70" t="inlineStr">
        <is>
          <t>КЦ</t>
        </is>
      </c>
      <c r="J210" s="41" t="inlineStr">
        <is>
          <t>АСУ,А и ТМ (КЦ № 7)</t>
        </is>
      </c>
      <c r="K210" s="15" t="n"/>
      <c r="L210" s="15" t="n"/>
      <c r="M210" s="3" t="n"/>
      <c r="N210" s="70" t="n"/>
      <c r="O210" s="270" t="n"/>
    </row>
    <row r="211" ht="22.5" customHeight="1" s="151">
      <c r="A211" s="15">
        <f>IF(B211&lt;&gt;"", COUNTA($B$2:B211), "")</f>
        <v/>
      </c>
      <c r="B211" s="175" t="inlineStr">
        <is>
          <t>Преобразователь давления</t>
        </is>
      </c>
      <c r="C211" s="14" t="inlineStr">
        <is>
          <t>Yokogawa EJA530E</t>
        </is>
      </c>
      <c r="D211" s="175" t="inlineStr">
        <is>
          <t>91UC19451</t>
        </is>
      </c>
      <c r="E211" s="175" t="n">
        <v>2018</v>
      </c>
      <c r="F211" s="175" t="inlineStr">
        <is>
          <t>0…2 МПа</t>
        </is>
      </c>
      <c r="G211" s="95" t="n"/>
      <c r="H211" s="175" t="inlineStr">
        <is>
          <t>P*тнд (A87)</t>
        </is>
      </c>
      <c r="I211" s="70" t="inlineStr">
        <is>
          <t>КЦ</t>
        </is>
      </c>
      <c r="J211" s="41" t="inlineStr">
        <is>
          <t>АСУ,А и ТМ (КЦ № 7)</t>
        </is>
      </c>
      <c r="K211" s="15" t="n"/>
      <c r="L211" s="15" t="n"/>
      <c r="M211" s="3" t="n"/>
      <c r="N211" s="70" t="n"/>
      <c r="O211" s="270" t="n"/>
    </row>
    <row r="212" ht="22.5" customHeight="1" s="151">
      <c r="A212" s="15">
        <f>IF(B212&lt;&gt;"", COUNTA($B$2:B212), "")</f>
        <v/>
      </c>
      <c r="B212" s="175" t="inlineStr">
        <is>
          <t>Преобразователь давления</t>
        </is>
      </c>
      <c r="C212" s="14" t="inlineStr">
        <is>
          <t>Yokogawa EJA530E</t>
        </is>
      </c>
      <c r="D212" s="175" t="inlineStr">
        <is>
          <t>91T812737</t>
        </is>
      </c>
      <c r="E212" s="175" t="n">
        <v>2018</v>
      </c>
      <c r="F212" s="175" t="inlineStr">
        <is>
          <t>0…0,2 МПа</t>
        </is>
      </c>
      <c r="G212" s="95" t="n"/>
      <c r="H212" s="175" t="inlineStr">
        <is>
          <t>P*охл. тнд (A88)</t>
        </is>
      </c>
      <c r="I212" s="70" t="inlineStr">
        <is>
          <t>КЦ</t>
        </is>
      </c>
      <c r="J212" s="41" t="inlineStr">
        <is>
          <t>АСУ,А и ТМ (КЦ № 7)</t>
        </is>
      </c>
      <c r="K212" s="15" t="n"/>
      <c r="L212" s="15" t="n"/>
      <c r="M212" s="3" t="n"/>
      <c r="N212" s="70" t="n"/>
      <c r="O212" s="270" t="n"/>
    </row>
    <row r="213" ht="22.5" customHeight="1" s="151">
      <c r="A213" s="15">
        <f>IF(B213&lt;&gt;"", COUNTA($B$2:B213), "")</f>
        <v/>
      </c>
      <c r="B213" s="175" t="inlineStr">
        <is>
          <t>Преобразователь давления</t>
        </is>
      </c>
      <c r="C213" s="14" t="inlineStr">
        <is>
          <t>Yokogawa EJA530E</t>
        </is>
      </c>
      <c r="D213" s="175" t="inlineStr">
        <is>
          <t>91UB37823</t>
        </is>
      </c>
      <c r="E213" s="175" t="n">
        <v>2018</v>
      </c>
      <c r="F213" s="175" t="inlineStr">
        <is>
          <t>0…2 МПа</t>
        </is>
      </c>
      <c r="G213" s="95" t="n"/>
      <c r="H213" s="175" t="inlineStr">
        <is>
          <t>P*твд (A39)</t>
        </is>
      </c>
      <c r="I213" s="70" t="inlineStr">
        <is>
          <t>КЦ</t>
        </is>
      </c>
      <c r="J213" s="41" t="inlineStr">
        <is>
          <t>АСУ,А и ТМ (КЦ № 7)</t>
        </is>
      </c>
      <c r="K213" s="15" t="n"/>
      <c r="L213" s="15" t="n"/>
      <c r="M213" s="3" t="n"/>
      <c r="N213" s="70" t="n"/>
      <c r="O213" s="270" t="n"/>
    </row>
    <row r="214" ht="22.5" customHeight="1" s="151">
      <c r="A214" s="15">
        <f>IF(B214&lt;&gt;"", COUNTA($B$2:B214), "")</f>
        <v/>
      </c>
      <c r="B214" s="175" t="inlineStr">
        <is>
          <t>Преобразователь давления</t>
        </is>
      </c>
      <c r="C214" s="14" t="inlineStr">
        <is>
          <t>Yokogawa EJA530E</t>
        </is>
      </c>
      <c r="D214" s="175" t="inlineStr">
        <is>
          <t>91UB38714</t>
        </is>
      </c>
      <c r="E214" s="175" t="n">
        <v>2018</v>
      </c>
      <c r="F214" s="175" t="inlineStr">
        <is>
          <t>0…2 МПа</t>
        </is>
      </c>
      <c r="G214" s="95" t="n"/>
      <c r="H214" s="175" t="inlineStr">
        <is>
          <t>Pрп ст (A30)</t>
        </is>
      </c>
      <c r="I214" s="70" t="inlineStr">
        <is>
          <t>КЦ</t>
        </is>
      </c>
      <c r="J214" s="41" t="inlineStr">
        <is>
          <t>АСУ,А и ТМ (КЦ № 7)</t>
        </is>
      </c>
      <c r="K214" s="15" t="n"/>
      <c r="L214" s="15" t="n"/>
      <c r="M214" s="3" t="n"/>
      <c r="N214" s="70" t="n"/>
      <c r="O214" s="270" t="n"/>
    </row>
    <row r="215" ht="22.5" customHeight="1" s="151">
      <c r="A215" s="15">
        <f>IF(B215&lt;&gt;"", COUNTA($B$2:B215), "")</f>
        <v/>
      </c>
      <c r="B215" s="175" t="inlineStr">
        <is>
          <t>Преобразователь давления</t>
        </is>
      </c>
      <c r="C215" s="14" t="inlineStr">
        <is>
          <t>Yokogawa EJA530E</t>
        </is>
      </c>
      <c r="D215" s="175" t="inlineStr">
        <is>
          <t>91UC19362</t>
        </is>
      </c>
      <c r="E215" s="175" t="n">
        <v>2018</v>
      </c>
      <c r="F215" s="175" t="inlineStr">
        <is>
          <t>0…16 кПа</t>
        </is>
      </c>
      <c r="G215" s="95" t="n"/>
      <c r="H215" s="175" t="inlineStr">
        <is>
          <t>P*ст (A81)</t>
        </is>
      </c>
      <c r="I215" s="70" t="inlineStr">
        <is>
          <t>КЦ</t>
        </is>
      </c>
      <c r="J215" s="41" t="inlineStr">
        <is>
          <t>АСУ,А и ТМ (КЦ № 7)</t>
        </is>
      </c>
      <c r="K215" s="15" t="n"/>
      <c r="L215" s="15" t="n"/>
      <c r="M215" s="3" t="n"/>
      <c r="N215" s="70" t="n"/>
      <c r="O215" s="270" t="n"/>
    </row>
    <row r="216" ht="22.5" customHeight="1" s="151">
      <c r="A216" s="15">
        <f>IF(B216&lt;&gt;"", COUNTA($B$2:B216), "")</f>
        <v/>
      </c>
      <c r="B216" s="175" t="inlineStr">
        <is>
          <t>Преобразователь давления</t>
        </is>
      </c>
      <c r="C216" s="14" t="inlineStr">
        <is>
          <t>Yokogawa EJA530E</t>
        </is>
      </c>
      <c r="D216" s="175" t="inlineStr">
        <is>
          <t>91UC16296</t>
        </is>
      </c>
      <c r="E216" s="175" t="n">
        <v>2018</v>
      </c>
      <c r="F216" s="175" t="inlineStr">
        <is>
          <t>0…16 МПа</t>
        </is>
      </c>
      <c r="G216" s="95" t="n"/>
      <c r="H216" s="175" t="inlineStr">
        <is>
          <t>Перепад между атмосферным давлением и полным давлением воздуха на входе КНД</t>
        </is>
      </c>
      <c r="I216" s="70" t="inlineStr">
        <is>
          <t>КЦ</t>
        </is>
      </c>
      <c r="J216" s="41" t="inlineStr">
        <is>
          <t>АСУ,А и ТМ (КЦ № 7)</t>
        </is>
      </c>
      <c r="K216" s="15" t="n"/>
      <c r="L216" s="15" t="n"/>
      <c r="M216" s="3" t="n"/>
      <c r="N216" s="70" t="n"/>
      <c r="O216" s="270" t="n"/>
    </row>
    <row r="217" ht="33.75" customHeight="1" s="151">
      <c r="A217" s="15">
        <f>IF(B217&lt;&gt;"", COUNTA($B$2:B217), "")</f>
        <v/>
      </c>
      <c r="B217" s="175" t="inlineStr">
        <is>
          <t>Преобразователь давления</t>
        </is>
      </c>
      <c r="C217" s="14" t="inlineStr">
        <is>
          <t>Yokogawa EJA530E</t>
        </is>
      </c>
      <c r="D217" s="175" t="inlineStr">
        <is>
          <t>91UC16306</t>
        </is>
      </c>
      <c r="E217" s="175" t="n">
        <v>2018</v>
      </c>
      <c r="F217" s="175" t="inlineStr">
        <is>
          <t>0…16 МПа</t>
        </is>
      </c>
      <c r="G217" s="95" t="n"/>
      <c r="H217" s="175" t="inlineStr">
        <is>
          <t>Перепад между атмосферным давлением и статистическим давлением воздуха на входе КНД</t>
        </is>
      </c>
      <c r="I217" s="70" t="inlineStr">
        <is>
          <t>КЦ</t>
        </is>
      </c>
      <c r="J217" s="41" t="inlineStr">
        <is>
          <t>АСУ,А и ТМ (КЦ № 7)</t>
        </is>
      </c>
      <c r="K217" s="15" t="n"/>
      <c r="L217" s="15" t="n"/>
      <c r="M217" s="3" t="n"/>
      <c r="N217" s="70" t="n"/>
      <c r="O217" s="270" t="n"/>
    </row>
    <row r="218" ht="22.5" customHeight="1" s="151">
      <c r="A218" s="15">
        <f>IF(B218&lt;&gt;"", COUNTA($B$2:B218), "")</f>
        <v/>
      </c>
      <c r="B218" s="175" t="inlineStr">
        <is>
          <t>Преобразователь давления</t>
        </is>
      </c>
      <c r="C218" s="14" t="inlineStr">
        <is>
          <t>Yokogawa EJA530E</t>
        </is>
      </c>
      <c r="D218" s="175" t="inlineStr">
        <is>
          <t>91UC18519</t>
        </is>
      </c>
      <c r="E218" s="175" t="n">
        <v>2018</v>
      </c>
      <c r="F218" s="175" t="inlineStr">
        <is>
          <t>0…10 МПа</t>
        </is>
      </c>
      <c r="G218" s="95" t="n"/>
      <c r="H218" s="175" t="inlineStr">
        <is>
          <t>Ртг передд ДГ (А72)</t>
        </is>
      </c>
      <c r="I218" s="70" t="inlineStr">
        <is>
          <t>КЦ</t>
        </is>
      </c>
      <c r="J218" s="41" t="inlineStr">
        <is>
          <t>АСУ,А и ТМ (КЦ № 7)</t>
        </is>
      </c>
      <c r="K218" s="15" t="n"/>
      <c r="L218" s="15" t="n"/>
      <c r="M218" s="3" t="n"/>
      <c r="N218" s="70" t="n"/>
      <c r="O218" s="270" t="n"/>
    </row>
    <row r="219" ht="22.5" customHeight="1" s="151">
      <c r="A219" s="15">
        <f>IF(B219&lt;&gt;"", COUNTA($B$2:B219), "")</f>
        <v/>
      </c>
      <c r="B219" s="175" t="inlineStr">
        <is>
          <t>Преобразователь давления</t>
        </is>
      </c>
      <c r="C219" s="14" t="inlineStr">
        <is>
          <t>Yokogawa EJA530E</t>
        </is>
      </c>
      <c r="D219" s="175" t="inlineStr">
        <is>
          <t>91UC18517</t>
        </is>
      </c>
      <c r="E219" s="175" t="n">
        <v>2018</v>
      </c>
      <c r="F219" s="175" t="inlineStr">
        <is>
          <t>0…10 МПа</t>
        </is>
      </c>
      <c r="G219" s="95" t="n"/>
      <c r="H219" s="175" t="inlineStr">
        <is>
          <t>Ртг передд СК (А73)</t>
        </is>
      </c>
      <c r="I219" s="70" t="inlineStr">
        <is>
          <t>КЦ</t>
        </is>
      </c>
      <c r="J219" s="41" t="inlineStr">
        <is>
          <t>АСУ,А и ТМ (КЦ № 7)</t>
        </is>
      </c>
      <c r="K219" s="15" t="n"/>
      <c r="L219" s="15" t="n"/>
      <c r="M219" s="3" t="n"/>
      <c r="N219" s="70" t="n"/>
      <c r="O219" s="270" t="n"/>
    </row>
    <row r="220" ht="22.5" customHeight="1" s="151">
      <c r="A220" s="15">
        <f>IF(B220&lt;&gt;"", COUNTA($B$2:B220), "")</f>
        <v/>
      </c>
      <c r="B220" s="175" t="inlineStr">
        <is>
          <t>Преобразователь давления</t>
        </is>
      </c>
      <c r="C220" s="14" t="inlineStr">
        <is>
          <t>Yokogawa EJA530E</t>
        </is>
      </c>
      <c r="D220" s="175" t="inlineStr">
        <is>
          <t>91UC19431</t>
        </is>
      </c>
      <c r="E220" s="175" t="n">
        <v>2018</v>
      </c>
      <c r="F220" s="175" t="inlineStr">
        <is>
          <t>0…0,2 МПа</t>
        </is>
      </c>
      <c r="G220" s="95" t="n"/>
      <c r="H220" s="175" t="inlineStr">
        <is>
          <t>Рв полное за КНД (А86)</t>
        </is>
      </c>
      <c r="I220" s="70" t="inlineStr">
        <is>
          <t>КЦ</t>
        </is>
      </c>
      <c r="J220" s="41" t="inlineStr">
        <is>
          <t>АСУ,А и ТМ (КЦ № 7)</t>
        </is>
      </c>
      <c r="K220" s="15" t="n"/>
      <c r="L220" s="15" t="n"/>
      <c r="M220" s="3" t="n"/>
      <c r="N220" s="70" t="n"/>
      <c r="O220" s="270" t="n"/>
    </row>
    <row r="221" ht="22.5" customHeight="1" s="151">
      <c r="A221" s="15">
        <f>IF(B221&lt;&gt;"", COUNTA($B$2:B221), "")</f>
        <v/>
      </c>
      <c r="B221" s="175" t="inlineStr">
        <is>
          <t>Преобразователь давления</t>
        </is>
      </c>
      <c r="C221" s="14" t="inlineStr">
        <is>
          <t>Yokogawa EJA530E</t>
        </is>
      </c>
      <c r="D221" s="175" t="inlineStr">
        <is>
          <t>91V114304</t>
        </is>
      </c>
      <c r="E221" s="175" t="n">
        <v>2018</v>
      </c>
      <c r="F221" s="175" t="inlineStr">
        <is>
          <t>0…2 МПа</t>
        </is>
      </c>
      <c r="G221" s="95" t="n"/>
      <c r="H221" s="175" t="inlineStr">
        <is>
          <t>Рм на входе в двигатель (А40)</t>
        </is>
      </c>
      <c r="I221" s="70" t="inlineStr">
        <is>
          <t>КЦ</t>
        </is>
      </c>
      <c r="J221" s="41" t="inlineStr">
        <is>
          <t>АСУ,А и ТМ (КЦ № 7)</t>
        </is>
      </c>
      <c r="K221" s="15" t="n"/>
      <c r="L221" s="15" t="n"/>
      <c r="M221" s="3" t="n"/>
      <c r="N221" s="70" t="n"/>
      <c r="O221" s="270" t="n"/>
    </row>
    <row r="222" ht="22.5" customHeight="1" s="151">
      <c r="A222" s="15">
        <f>IF(B222&lt;&gt;"", COUNTA($B$2:B222), "")</f>
        <v/>
      </c>
      <c r="B222" s="175" t="inlineStr">
        <is>
          <t>Преобразователь давления</t>
        </is>
      </c>
      <c r="C222" s="14" t="inlineStr">
        <is>
          <t>Yokogawa EJA530E</t>
        </is>
      </c>
      <c r="D222" s="175" t="inlineStr">
        <is>
          <t>91UC19516</t>
        </is>
      </c>
      <c r="E222" s="175" t="n">
        <v>2018</v>
      </c>
      <c r="F222" s="175" t="inlineStr">
        <is>
          <t>0…0,2 кПа</t>
        </is>
      </c>
      <c r="G222" s="95" t="n"/>
      <c r="H222" s="175" t="inlineStr">
        <is>
          <t>Давление суфлирования (А43)</t>
        </is>
      </c>
      <c r="I222" s="70" t="inlineStr">
        <is>
          <t>КЦ</t>
        </is>
      </c>
      <c r="J222" s="41" t="inlineStr">
        <is>
          <t>АСУ,А и ТМ (КЦ № 7)</t>
        </is>
      </c>
      <c r="K222" s="15" t="n"/>
      <c r="L222" s="15" t="n"/>
      <c r="M222" s="3" t="n"/>
      <c r="N222" s="70" t="n"/>
      <c r="O222" s="270" t="n"/>
    </row>
    <row r="223" ht="22.5" customHeight="1" s="151">
      <c r="A223" s="15">
        <f>IF(B223&lt;&gt;"", COUNTA($B$2:B223), "")</f>
        <v/>
      </c>
      <c r="B223" s="73" t="inlineStr">
        <is>
          <t>Термометр сопротивления</t>
        </is>
      </c>
      <c r="C223" s="14" t="inlineStr">
        <is>
          <t>ТСП 012.52В</t>
        </is>
      </c>
      <c r="D223" s="89" t="n">
        <v>24</v>
      </c>
      <c r="E223" s="291" t="n">
        <v>43222</v>
      </c>
      <c r="F223" s="17" t="inlineStr">
        <is>
          <t>-60…200 °С
100 мм</t>
        </is>
      </c>
      <c r="G223" s="89" t="n"/>
      <c r="H223" s="175" t="inlineStr">
        <is>
          <t>Тв на выходе из осевого подшипника</t>
        </is>
      </c>
      <c r="I223" s="8" t="n"/>
      <c r="J223" s="41" t="inlineStr">
        <is>
          <t>АСУ,А и ТМ (КЦ № 7)</t>
        </is>
      </c>
      <c r="K223" s="15" t="n"/>
      <c r="L223" s="15" t="n"/>
      <c r="M223" s="3" t="n"/>
      <c r="N223" s="70" t="n"/>
      <c r="O223" s="270" t="n"/>
    </row>
    <row r="224" ht="22.5" customHeight="1" s="151">
      <c r="A224" s="15">
        <f>IF(B224&lt;&gt;"", COUNTA($B$2:B224), "")</f>
        <v/>
      </c>
      <c r="B224" s="74" t="inlineStr">
        <is>
          <t>Термометр сопротивления</t>
        </is>
      </c>
      <c r="C224" s="14" t="inlineStr">
        <is>
          <t>ТСПУ 014.12</t>
        </is>
      </c>
      <c r="D224" s="71" t="n">
        <v>364</v>
      </c>
      <c r="E224" s="29" t="inlineStr">
        <is>
          <t>2018</t>
        </is>
      </c>
      <c r="F224" s="17" t="inlineStr">
        <is>
          <t>-50…150 °С
80 мм</t>
        </is>
      </c>
      <c r="G224" s="102" t="n">
        <v>0.0025</v>
      </c>
      <c r="H224" s="71" t="inlineStr">
        <is>
          <t>Температура воздуха после доохладителя</t>
        </is>
      </c>
      <c r="I224" s="8" t="inlineStr">
        <is>
          <t>БКК 72</t>
        </is>
      </c>
      <c r="J224" s="15" t="inlineStr">
        <is>
          <t>АСУ,А и ТМ (КЦ № 7)</t>
        </is>
      </c>
      <c r="K224" s="15" t="n"/>
      <c r="L224" s="15" t="n"/>
      <c r="M224" s="93" t="n"/>
      <c r="N224" s="70" t="n"/>
      <c r="O224" s="270" t="n"/>
    </row>
    <row r="225" ht="33.75" customHeight="1" s="151">
      <c r="A225" s="15">
        <f>IF(B225&lt;&gt;"", COUNTA($B$2:B225), "")</f>
        <v/>
      </c>
      <c r="B225" s="14" t="inlineStr">
        <is>
          <t xml:space="preserve">Газоанализатор оптический стационарный </t>
        </is>
      </c>
      <c r="C225" s="71" t="inlineStr">
        <is>
          <t>ОГС-ПГП/М</t>
        </is>
      </c>
      <c r="D225" s="126" t="n">
        <v>15340</v>
      </c>
      <c r="E225" s="70" t="n">
        <v>2021</v>
      </c>
      <c r="F225" s="3" t="n"/>
      <c r="G225" s="71" t="n"/>
      <c r="H225" s="14" t="inlineStr">
        <is>
          <t>Измерение уровня загазованности</t>
        </is>
      </c>
      <c r="I225" s="15" t="inlineStr">
        <is>
          <t>ГПА 71 (вход КШТ)</t>
        </is>
      </c>
      <c r="J225" s="15" t="inlineStr">
        <is>
          <t>АСУ,А и ТМ (КЦ № 7)</t>
        </is>
      </c>
      <c r="K225" s="15" t="n"/>
      <c r="L225" s="15" t="n">
        <v>60</v>
      </c>
      <c r="M225" s="3" t="n"/>
      <c r="N225" s="70" t="n"/>
      <c r="O225" s="270" t="n"/>
    </row>
    <row r="226" ht="33.75" customHeight="1" s="151">
      <c r="A226" s="15">
        <f>IF(B226&lt;&gt;"", COUNTA($B$2:B226), "")</f>
        <v/>
      </c>
      <c r="B226" s="14" t="inlineStr">
        <is>
          <t xml:space="preserve">Газоанализатор оптический стационарный </t>
        </is>
      </c>
      <c r="C226" s="71" t="inlineStr">
        <is>
          <t>ОГС-ПГП/М</t>
        </is>
      </c>
      <c r="D226" s="127" t="n">
        <v>15328</v>
      </c>
      <c r="E226" s="70" t="n">
        <v>2021</v>
      </c>
      <c r="F226" s="3" t="n"/>
      <c r="G226" s="71" t="n"/>
      <c r="H226" s="14" t="inlineStr">
        <is>
          <t>Измерение уровня загазованности</t>
        </is>
      </c>
      <c r="I226" s="15" t="inlineStr">
        <is>
          <t>ГПА 71 (выход КШТ)</t>
        </is>
      </c>
      <c r="J226" s="15" t="inlineStr">
        <is>
          <t>АСУ,А и ТМ (КЦ № 7)</t>
        </is>
      </c>
      <c r="K226" s="15" t="n"/>
      <c r="L226" s="15" t="n">
        <v>61</v>
      </c>
      <c r="M226" s="3" t="n"/>
      <c r="N226" s="70" t="n"/>
      <c r="O226" s="270" t="n"/>
    </row>
    <row r="227" ht="33.75" customHeight="1" s="151">
      <c r="A227" s="15">
        <f>IF(B227&lt;&gt;"", COUNTA($B$2:B227), "")</f>
        <v/>
      </c>
      <c r="B227" s="14" t="inlineStr">
        <is>
          <t xml:space="preserve">Газоанализатор оптический стационарный </t>
        </is>
      </c>
      <c r="C227" s="71" t="inlineStr">
        <is>
          <t>ОГС-ПГП/М</t>
        </is>
      </c>
      <c r="D227" s="126" t="n">
        <v>15315</v>
      </c>
      <c r="E227" s="70" t="n">
        <v>2021</v>
      </c>
      <c r="F227" s="3" t="n"/>
      <c r="G227" s="71" t="n"/>
      <c r="H227" s="14" t="inlineStr">
        <is>
          <t>Измерение уровня загазованности</t>
        </is>
      </c>
      <c r="I227" s="8" t="inlineStr">
        <is>
          <t>ГПА 71</t>
        </is>
      </c>
      <c r="J227" s="15" t="inlineStr">
        <is>
          <t>АСУ,А и ТМ (КЦ № 7)</t>
        </is>
      </c>
      <c r="K227" s="15" t="n"/>
      <c r="L227" s="15" t="n">
        <v>62</v>
      </c>
      <c r="M227" s="3" t="n"/>
      <c r="N227" s="70" t="n"/>
      <c r="O227" s="270" t="n"/>
    </row>
    <row r="228" ht="33.75" customHeight="1" s="151">
      <c r="A228" s="15">
        <f>IF(B228&lt;&gt;"", COUNTA($B$2:B228), "")</f>
        <v/>
      </c>
      <c r="B228" s="14" t="inlineStr">
        <is>
          <t xml:space="preserve">Газоанализатор оптический стационарный </t>
        </is>
      </c>
      <c r="C228" s="71" t="inlineStr">
        <is>
          <t>ОГС-ПГП/М</t>
        </is>
      </c>
      <c r="D228" s="127" t="n">
        <v>15355</v>
      </c>
      <c r="E228" s="70" t="n">
        <v>2021</v>
      </c>
      <c r="F228" s="3" t="n"/>
      <c r="G228" s="71" t="n"/>
      <c r="H228" s="14" t="inlineStr">
        <is>
          <t>Измерение уровня загазованности</t>
        </is>
      </c>
      <c r="I228" s="8" t="inlineStr">
        <is>
          <t>ГПА 71</t>
        </is>
      </c>
      <c r="J228" s="15" t="inlineStr">
        <is>
          <t>АСУ,А и ТМ (КЦ № 7)</t>
        </is>
      </c>
      <c r="K228" s="15" t="n"/>
      <c r="L228" s="15" t="n">
        <v>63</v>
      </c>
      <c r="M228" s="3" t="n"/>
      <c r="N228" s="70" t="n"/>
      <c r="O228" s="270" t="n"/>
    </row>
    <row r="229" ht="33.75" customHeight="1" s="151">
      <c r="A229" s="15">
        <f>IF(B229&lt;&gt;"", COUNTA($B$2:B229), "")</f>
        <v/>
      </c>
      <c r="B229" s="14" t="inlineStr">
        <is>
          <t xml:space="preserve">Газоанализатор оптический стационарный </t>
        </is>
      </c>
      <c r="C229" s="71" t="inlineStr">
        <is>
          <t>ОГС-ПГП/М</t>
        </is>
      </c>
      <c r="D229" s="126" t="n">
        <v>15339</v>
      </c>
      <c r="E229" s="70" t="n">
        <v>2021</v>
      </c>
      <c r="F229" s="3" t="n"/>
      <c r="G229" s="71" t="n"/>
      <c r="H229" s="14" t="inlineStr">
        <is>
          <t>Измерение уровня загазованности</t>
        </is>
      </c>
      <c r="I229" s="8" t="inlineStr">
        <is>
          <t>ГПА 71</t>
        </is>
      </c>
      <c r="J229" s="15" t="inlineStr">
        <is>
          <t>АСУ,А и ТМ (КЦ № 7)</t>
        </is>
      </c>
      <c r="K229" s="15" t="n"/>
      <c r="L229" s="15" t="n">
        <v>64</v>
      </c>
      <c r="M229" s="3" t="n"/>
      <c r="N229" s="70" t="n"/>
      <c r="O229" s="270" t="n"/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 codeName="Лист24">
    <outlinePr summaryBelow="1" summaryRight="1"/>
    <pageSetUpPr/>
  </sheetPr>
  <dimension ref="A1:O229"/>
  <sheetViews>
    <sheetView zoomScale="110" zoomScaleNormal="110" workbookViewId="0">
      <pane ySplit="1" topLeftCell="A2" activePane="bottomLeft" state="frozen"/>
      <selection pane="bottomLeft" activeCell="A84" sqref="A1:O229"/>
    </sheetView>
  </sheetViews>
  <sheetFormatPr baseColWidth="8" defaultRowHeight="15"/>
  <cols>
    <col width="3.5703125" customWidth="1" style="174" min="1" max="1"/>
    <col width="18" customWidth="1" style="174" min="2" max="2"/>
    <col width="20.85546875" customWidth="1" style="174" min="3" max="3"/>
    <col width="18.140625" customWidth="1" style="174" min="4" max="4"/>
    <col width="6.5703125" customWidth="1" style="174" min="5" max="5"/>
    <col width="12.7109375" customWidth="1" style="174" min="6" max="6"/>
    <col width="7.42578125" customWidth="1" style="174" min="7" max="7"/>
    <col width="31.7109375" customWidth="1" style="174" min="8" max="8"/>
    <col width="14" customWidth="1" style="174" min="9" max="9"/>
    <col width="11.140625" customWidth="1" style="174" min="10" max="10"/>
    <col width="8" customWidth="1" style="174" min="11" max="11"/>
    <col width="9.85546875" customWidth="1" style="174" min="12" max="12"/>
    <col width="8.85546875" customWidth="1" style="174" min="13" max="13"/>
    <col width="9.85546875" customWidth="1" style="174" min="14" max="14"/>
    <col width="31.5703125" customWidth="1" style="174" min="15" max="15"/>
    <col width="9.140625" customWidth="1" style="174" min="16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
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  <c r="O1" s="173" t="n"/>
    </row>
    <row r="2" ht="22.5" customHeight="1" s="151">
      <c r="A2" s="15">
        <f>IF(B2&lt;&gt;"", COUNTA($B$2:B2), "")</f>
        <v/>
      </c>
      <c r="B2" s="280" t="inlineStr">
        <is>
          <t>Манометр технический</t>
        </is>
      </c>
      <c r="C2" s="175" t="inlineStr">
        <is>
          <t>МП4-УУ2</t>
        </is>
      </c>
      <c r="D2" s="175" t="n">
        <v>700026</v>
      </c>
      <c r="E2" s="175" t="n"/>
      <c r="F2" s="70" t="inlineStr">
        <is>
          <t>0…16 МПа</t>
        </is>
      </c>
      <c r="G2" s="175" t="n">
        <v>1</v>
      </c>
      <c r="H2" s="175" t="inlineStr">
        <is>
          <t>P газа на выходе нагнетателя</t>
        </is>
      </c>
      <c r="I2" s="15" t="inlineStr">
        <is>
          <t>ГПА 73</t>
        </is>
      </c>
      <c r="J2" s="15" t="inlineStr">
        <is>
          <t>АСУ,А и ТМ (КЦ № 7)</t>
        </is>
      </c>
      <c r="K2" s="15" t="n"/>
      <c r="L2" s="15" t="n">
        <v>12</v>
      </c>
      <c r="M2" s="3" t="inlineStr">
        <is>
          <t>2К26</t>
        </is>
      </c>
      <c r="N2" s="175" t="inlineStr">
        <is>
          <t>К</t>
        </is>
      </c>
      <c r="O2" s="173" t="n"/>
    </row>
    <row r="3" ht="22.5" customHeight="1" s="151">
      <c r="A3" s="15">
        <f>IF(B3&lt;&gt;"", COUNTA($B$2:B3), "")</f>
        <v/>
      </c>
      <c r="B3" s="280" t="inlineStr">
        <is>
          <t>Манометр технический</t>
        </is>
      </c>
      <c r="C3" s="175" t="inlineStr">
        <is>
          <t>МП4-УУХЛ1</t>
        </is>
      </c>
      <c r="D3" s="175" t="n">
        <v>700075</v>
      </c>
      <c r="E3" s="175" t="n"/>
      <c r="F3" s="70" t="inlineStr">
        <is>
          <t>0…6 МПа</t>
        </is>
      </c>
      <c r="G3" s="175" t="n">
        <v>1</v>
      </c>
      <c r="H3" s="175" t="inlineStr">
        <is>
          <t>P т.г. после РД5101</t>
        </is>
      </c>
      <c r="I3" s="15" t="inlineStr">
        <is>
          <t>ГПА 73</t>
        </is>
      </c>
      <c r="J3" s="15" t="inlineStr">
        <is>
          <t>АСУ,А и ТМ (КЦ № 7)</t>
        </is>
      </c>
      <c r="K3" s="15" t="n"/>
      <c r="L3" s="15" t="n">
        <v>12</v>
      </c>
      <c r="M3" s="3" t="inlineStr">
        <is>
          <t>2К26</t>
        </is>
      </c>
      <c r="N3" s="175" t="inlineStr">
        <is>
          <t>К</t>
        </is>
      </c>
      <c r="O3" s="173" t="n"/>
    </row>
    <row r="4" ht="22.5" customHeight="1" s="151">
      <c r="A4" s="15">
        <f>IF(B4&lt;&gt;"", COUNTA($B$2:B4), "")</f>
        <v/>
      </c>
      <c r="B4" s="280" t="inlineStr">
        <is>
          <t>Манометр технический</t>
        </is>
      </c>
      <c r="C4" s="175" t="inlineStr">
        <is>
          <t>МП4-УУХЛ1</t>
        </is>
      </c>
      <c r="D4" s="14" t="n">
        <v>700073</v>
      </c>
      <c r="E4" s="175" t="n"/>
      <c r="F4" s="70" t="inlineStr">
        <is>
          <t>0…6 МПа</t>
        </is>
      </c>
      <c r="G4" s="175" t="n">
        <v>1</v>
      </c>
      <c r="H4" s="175" t="inlineStr">
        <is>
          <t>P т.г. после РД5102</t>
        </is>
      </c>
      <c r="I4" s="15" t="inlineStr">
        <is>
          <t>ГПА 73</t>
        </is>
      </c>
      <c r="J4" s="15" t="inlineStr">
        <is>
          <t>АСУ,А и ТМ (КЦ № 7)</t>
        </is>
      </c>
      <c r="K4" s="15" t="n"/>
      <c r="L4" s="15" t="n">
        <v>12</v>
      </c>
      <c r="M4" s="3" t="inlineStr">
        <is>
          <t>2К26</t>
        </is>
      </c>
      <c r="N4" s="175" t="inlineStr">
        <is>
          <t>К</t>
        </is>
      </c>
      <c r="O4" s="173" t="n"/>
    </row>
    <row r="5" ht="22.5" customHeight="1" s="151">
      <c r="A5" s="15">
        <f>IF(B5&lt;&gt;"", COUNTA($B$2:B5), "")</f>
        <v/>
      </c>
      <c r="B5" s="280" t="inlineStr">
        <is>
          <t>Манометр технический</t>
        </is>
      </c>
      <c r="C5" s="175" t="inlineStr">
        <is>
          <t>МП4-УУХЛ1</t>
        </is>
      </c>
      <c r="D5" s="76" t="inlineStr">
        <is>
          <t>700092</t>
        </is>
      </c>
      <c r="E5" s="175" t="n"/>
      <c r="F5" s="70" t="inlineStr">
        <is>
          <t>0…10 МПа</t>
        </is>
      </c>
      <c r="G5" s="175" t="n">
        <v>1</v>
      </c>
      <c r="H5" s="175" t="inlineStr">
        <is>
          <t>P т.г. после фильтра-сепаратора</t>
        </is>
      </c>
      <c r="I5" s="15" t="inlineStr">
        <is>
          <t>ГПА 73</t>
        </is>
      </c>
      <c r="J5" s="15" t="inlineStr">
        <is>
          <t>АСУ,А и ТМ (КЦ № 7)</t>
        </is>
      </c>
      <c r="K5" s="15" t="n"/>
      <c r="L5" s="15" t="n">
        <v>12</v>
      </c>
      <c r="M5" s="3" t="inlineStr">
        <is>
          <t>2К26</t>
        </is>
      </c>
      <c r="N5" s="175" t="inlineStr">
        <is>
          <t>К</t>
        </is>
      </c>
      <c r="O5" s="173" t="n"/>
    </row>
    <row r="6" ht="22.5" customHeight="1" s="151">
      <c r="A6" s="15">
        <f>IF(B6&lt;&gt;"", COUNTA($B$2:B6), "")</f>
        <v/>
      </c>
      <c r="B6" s="280" t="inlineStr">
        <is>
          <t>Манометр технический</t>
        </is>
      </c>
      <c r="C6" s="175" t="inlineStr">
        <is>
          <t>МП4-УУ2</t>
        </is>
      </c>
      <c r="D6" s="76" t="inlineStr">
        <is>
          <t>15654</t>
        </is>
      </c>
      <c r="E6" s="175" t="n"/>
      <c r="F6" s="26" t="inlineStr">
        <is>
          <t>0…1,6 кгс/см2</t>
        </is>
      </c>
      <c r="G6" s="175" t="n">
        <v>1.5</v>
      </c>
      <c r="H6" s="175" t="inlineStr">
        <is>
          <t>P з.в. после РД5303</t>
        </is>
      </c>
      <c r="I6" s="15" t="inlineStr">
        <is>
          <t>ГПА 73</t>
        </is>
      </c>
      <c r="J6" s="15" t="inlineStr">
        <is>
          <t>АСУ,А и ТМ (КЦ № 7)</t>
        </is>
      </c>
      <c r="K6" s="15" t="n"/>
      <c r="L6" s="15" t="n">
        <v>12</v>
      </c>
      <c r="M6" s="3" t="inlineStr">
        <is>
          <t>2К26</t>
        </is>
      </c>
      <c r="N6" s="175" t="inlineStr">
        <is>
          <t>К</t>
        </is>
      </c>
      <c r="O6" s="173" t="n"/>
    </row>
    <row r="7" ht="22.5" customHeight="1" s="151">
      <c r="A7" s="15">
        <f>IF(B7&lt;&gt;"", COUNTA($B$2:B7), "")</f>
        <v/>
      </c>
      <c r="B7" s="280" t="inlineStr">
        <is>
          <t>Манометр технический</t>
        </is>
      </c>
      <c r="C7" s="175" t="inlineStr">
        <is>
          <t>МП4-УФ БС УХЛ1</t>
        </is>
      </c>
      <c r="D7" s="76" t="inlineStr">
        <is>
          <t>А0810195</t>
        </is>
      </c>
      <c r="E7" s="175" t="n"/>
      <c r="F7" s="70" t="inlineStr">
        <is>
          <t>0…100 кПа</t>
        </is>
      </c>
      <c r="G7" s="175" t="n">
        <v>1</v>
      </c>
      <c r="H7" s="175" t="inlineStr">
        <is>
          <t>P з.в. после ФВ-100</t>
        </is>
      </c>
      <c r="I7" s="15" t="inlineStr">
        <is>
          <t>ГПА 73</t>
        </is>
      </c>
      <c r="J7" s="15" t="inlineStr">
        <is>
          <t>АСУ,А и ТМ (КЦ № 7)</t>
        </is>
      </c>
      <c r="K7" s="15" t="n"/>
      <c r="L7" s="15" t="n">
        <v>12</v>
      </c>
      <c r="M7" s="3" t="inlineStr">
        <is>
          <t>2К26</t>
        </is>
      </c>
      <c r="N7" s="175" t="inlineStr">
        <is>
          <t>К</t>
        </is>
      </c>
      <c r="O7" s="173" t="n"/>
    </row>
    <row r="8" ht="22.5" customHeight="1" s="151">
      <c r="A8" s="15">
        <f>IF(B8&lt;&gt;"", COUNTA($B$2:B8), "")</f>
        <v/>
      </c>
      <c r="B8" s="280" t="inlineStr">
        <is>
          <t>Манометр технический</t>
        </is>
      </c>
      <c r="C8" s="175" t="inlineStr">
        <is>
          <t>МП4-УУ2</t>
        </is>
      </c>
      <c r="D8" s="175" t="n">
        <v>40233</v>
      </c>
      <c r="E8" s="14" t="n"/>
      <c r="F8" s="26" t="inlineStr">
        <is>
          <t>0…1,6 кгс/см2</t>
        </is>
      </c>
      <c r="G8" s="175" t="n">
        <v>1.5</v>
      </c>
      <c r="H8" s="175" t="inlineStr">
        <is>
          <t>P з.в. после РД5301</t>
        </is>
      </c>
      <c r="I8" s="15" t="inlineStr">
        <is>
          <t>ГПА 73</t>
        </is>
      </c>
      <c r="J8" s="15" t="inlineStr">
        <is>
          <t>АСУ,А и ТМ (КЦ № 7)</t>
        </is>
      </c>
      <c r="K8" s="15" t="n"/>
      <c r="L8" s="15" t="n">
        <v>12</v>
      </c>
      <c r="M8" s="3" t="inlineStr">
        <is>
          <t>2К26</t>
        </is>
      </c>
      <c r="N8" s="175" t="inlineStr">
        <is>
          <t>К</t>
        </is>
      </c>
      <c r="O8" s="173" t="n"/>
    </row>
    <row r="9" ht="22.5" customFormat="1" customHeight="1" s="241">
      <c r="A9" s="242">
        <f>IF(B9&lt;&gt;"", COUNTA($B$2:B9), "")</f>
        <v/>
      </c>
      <c r="B9" s="23" t="inlineStr">
        <is>
          <t>Манометр технический</t>
        </is>
      </c>
      <c r="C9" s="233" t="inlineStr">
        <is>
          <t>МП4-УУ2</t>
        </is>
      </c>
      <c r="D9" s="233" t="n">
        <v>212032126</v>
      </c>
      <c r="E9" s="146" t="n"/>
      <c r="F9" s="239" t="inlineStr">
        <is>
          <t>0…160 кгс/см2</t>
        </is>
      </c>
      <c r="G9" s="146" t="n">
        <v>1.5</v>
      </c>
      <c r="H9" s="233" t="inlineStr">
        <is>
          <t>P б.г. в фильтре-сепараторе</t>
        </is>
      </c>
      <c r="I9" s="242" t="inlineStr">
        <is>
          <t>ГПА 73</t>
        </is>
      </c>
      <c r="J9" s="242" t="inlineStr">
        <is>
          <t>АСУ,А и ТМ (КЦ № 7)</t>
        </is>
      </c>
      <c r="K9" s="242" t="n"/>
      <c r="L9" s="242" t="n">
        <v>12</v>
      </c>
      <c r="M9" s="22" t="inlineStr">
        <is>
          <t>26ДЯУ</t>
        </is>
      </c>
      <c r="N9" s="233" t="inlineStr">
        <is>
          <t>П</t>
        </is>
      </c>
      <c r="O9" s="240" t="n"/>
    </row>
    <row r="10" ht="22.5" customHeight="1" s="151">
      <c r="A10" s="15">
        <f>IF(B10&lt;&gt;"", COUNTA($B$2:B10), "")</f>
        <v/>
      </c>
      <c r="B10" s="280" t="inlineStr">
        <is>
          <t>Манометр технический</t>
        </is>
      </c>
      <c r="C10" s="14" t="inlineStr">
        <is>
          <t>EN 837-1</t>
        </is>
      </c>
      <c r="D10" s="14" t="inlineStr">
        <is>
          <t>860008BM</t>
        </is>
      </c>
      <c r="E10" s="15" t="n"/>
      <c r="F10" s="26" t="inlineStr">
        <is>
          <t>0…160 кгс/см2</t>
        </is>
      </c>
      <c r="G10" s="175" t="n">
        <v>1</v>
      </c>
      <c r="H10" s="175" t="inlineStr">
        <is>
          <t>P б.г. после фильтра PI1</t>
        </is>
      </c>
      <c r="I10" s="15" t="inlineStr">
        <is>
          <t>ГПА 73</t>
        </is>
      </c>
      <c r="J10" s="15" t="inlineStr">
        <is>
          <t>АСУ,А и ТМ (КЦ № 7)</t>
        </is>
      </c>
      <c r="K10" s="15" t="n"/>
      <c r="L10" s="15" t="n">
        <v>12</v>
      </c>
      <c r="M10" s="3" t="inlineStr">
        <is>
          <t>2К26</t>
        </is>
      </c>
      <c r="N10" s="175" t="inlineStr">
        <is>
          <t>К</t>
        </is>
      </c>
      <c r="O10" s="173" t="n"/>
    </row>
    <row r="11" ht="22.5" customHeight="1" s="151">
      <c r="A11" s="15">
        <f>IF(B11&lt;&gt;"", COUNTA($B$2:B11), "")</f>
        <v/>
      </c>
      <c r="B11" s="280" t="inlineStr">
        <is>
          <t>Манометр технический</t>
        </is>
      </c>
      <c r="C11" s="14" t="inlineStr">
        <is>
          <t>EN 837-1</t>
        </is>
      </c>
      <c r="D11" s="14" t="inlineStr">
        <is>
          <t>860008B4</t>
        </is>
      </c>
      <c r="E11" s="15" t="n"/>
      <c r="F11" s="26" t="inlineStr">
        <is>
          <t>0…160 кгс/см2</t>
        </is>
      </c>
      <c r="G11" s="175" t="n">
        <v>1</v>
      </c>
      <c r="H11" s="175" t="inlineStr">
        <is>
          <t>P б.г. после фильтра PI2</t>
        </is>
      </c>
      <c r="I11" s="15" t="inlineStr">
        <is>
          <t>ГПА 73</t>
        </is>
      </c>
      <c r="J11" s="15" t="inlineStr">
        <is>
          <t>АСУ,А и ТМ (КЦ № 7)</t>
        </is>
      </c>
      <c r="K11" s="15" t="n"/>
      <c r="L11" s="15" t="n">
        <v>12</v>
      </c>
      <c r="M11" s="3" t="inlineStr">
        <is>
          <t>2К26</t>
        </is>
      </c>
      <c r="N11" s="175" t="inlineStr">
        <is>
          <t>К</t>
        </is>
      </c>
      <c r="O11" s="173" t="n"/>
    </row>
    <row r="12" ht="22.5" customHeight="1" s="151">
      <c r="A12" s="15">
        <f>IF(B12&lt;&gt;"", COUNTA($B$2:B12), "")</f>
        <v/>
      </c>
      <c r="B12" s="280" t="inlineStr">
        <is>
          <t>Манометр технический</t>
        </is>
      </c>
      <c r="C12" s="14" t="inlineStr">
        <is>
          <t>EN 837-1</t>
        </is>
      </c>
      <c r="D12" s="14" t="inlineStr">
        <is>
          <t>860008BP</t>
        </is>
      </c>
      <c r="E12" s="15" t="n"/>
      <c r="F12" s="26" t="inlineStr">
        <is>
          <t>0…160 кгс/см2</t>
        </is>
      </c>
      <c r="G12" s="175" t="n">
        <v>1</v>
      </c>
      <c r="H12" s="175" t="inlineStr">
        <is>
          <t>P б.г. после фильтра PI3</t>
        </is>
      </c>
      <c r="I12" s="15" t="inlineStr">
        <is>
          <t>ГПА 73</t>
        </is>
      </c>
      <c r="J12" s="15" t="inlineStr">
        <is>
          <t>АСУ,А и ТМ (КЦ № 7)</t>
        </is>
      </c>
      <c r="K12" s="15" t="n"/>
      <c r="L12" s="15" t="n">
        <v>12</v>
      </c>
      <c r="M12" s="3" t="inlineStr">
        <is>
          <t>2К26</t>
        </is>
      </c>
      <c r="N12" s="175" t="inlineStr">
        <is>
          <t>К</t>
        </is>
      </c>
      <c r="O12" s="173" t="n"/>
    </row>
    <row r="13" ht="22.5" customHeight="1" s="151">
      <c r="A13" s="15">
        <f>IF(B13&lt;&gt;"", COUNTA($B$2:B13), "")</f>
        <v/>
      </c>
      <c r="B13" s="280" t="inlineStr">
        <is>
          <t>Манометр технический</t>
        </is>
      </c>
      <c r="C13" s="14" t="inlineStr">
        <is>
          <t>EN 837-1</t>
        </is>
      </c>
      <c r="D13" s="14" t="inlineStr">
        <is>
          <t>860008BL</t>
        </is>
      </c>
      <c r="E13" s="15" t="n"/>
      <c r="F13" s="26" t="inlineStr">
        <is>
          <t>0…160 кгс/см2</t>
        </is>
      </c>
      <c r="G13" s="175" t="n">
        <v>1</v>
      </c>
      <c r="H13" s="175" t="inlineStr">
        <is>
          <t>P б.г. после фильтра PI4</t>
        </is>
      </c>
      <c r="I13" s="15" t="inlineStr">
        <is>
          <t>ГПА 73</t>
        </is>
      </c>
      <c r="J13" s="15" t="inlineStr">
        <is>
          <t>АСУ,А и ТМ (КЦ № 7)</t>
        </is>
      </c>
      <c r="K13" s="15" t="n"/>
      <c r="L13" s="15" t="n">
        <v>12</v>
      </c>
      <c r="M13" s="3" t="inlineStr">
        <is>
          <t>2К26</t>
        </is>
      </c>
      <c r="N13" s="175" t="inlineStr">
        <is>
          <t>К</t>
        </is>
      </c>
      <c r="O13" s="173" t="n"/>
    </row>
    <row r="14" ht="22.5" customHeight="1" s="151">
      <c r="A14" s="15">
        <f>IF(B14&lt;&gt;"", COUNTA($B$2:B14), "")</f>
        <v/>
      </c>
      <c r="B14" s="280" t="inlineStr">
        <is>
          <t>Манометр технический</t>
        </is>
      </c>
      <c r="C14" s="175" t="inlineStr">
        <is>
          <t>МП4-УУ2</t>
        </is>
      </c>
      <c r="D14" s="17" t="inlineStr">
        <is>
          <t>700036</t>
        </is>
      </c>
      <c r="E14" s="15" t="n"/>
      <c r="F14" s="70" t="inlineStr">
        <is>
          <t>0…16 МПа</t>
        </is>
      </c>
      <c r="G14" s="175" t="n">
        <v>1</v>
      </c>
      <c r="H14" s="175" t="inlineStr">
        <is>
          <t>P газа на входе в нагнетатель</t>
        </is>
      </c>
      <c r="I14" s="15" t="inlineStr">
        <is>
          <t>ГПА 73</t>
        </is>
      </c>
      <c r="J14" s="15" t="inlineStr">
        <is>
          <t>АСУ,А и ТМ (КЦ № 7)</t>
        </is>
      </c>
      <c r="K14" s="15" t="n"/>
      <c r="L14" s="15" t="n">
        <v>12</v>
      </c>
      <c r="M14" s="3" t="inlineStr">
        <is>
          <t>2К26</t>
        </is>
      </c>
      <c r="N14" s="175" t="inlineStr">
        <is>
          <t>К</t>
        </is>
      </c>
      <c r="O14" s="173" t="n"/>
    </row>
    <row r="15" ht="22.5" customHeight="1" s="151">
      <c r="A15" s="15">
        <f>IF(B15&lt;&gt;"", COUNTA($B$2:B15), "")</f>
        <v/>
      </c>
      <c r="B15" s="280" t="inlineStr">
        <is>
          <t>Манометр технический</t>
        </is>
      </c>
      <c r="C15" s="175" t="inlineStr">
        <is>
          <t>МП4-УУ2</t>
        </is>
      </c>
      <c r="D15" s="172" t="inlineStr">
        <is>
          <t>1900</t>
        </is>
      </c>
      <c r="E15" s="15" t="n">
        <v>2018</v>
      </c>
      <c r="F15" s="26" t="inlineStr">
        <is>
          <t>0…100 кгс/см2</t>
        </is>
      </c>
      <c r="G15" s="14" t="n">
        <v>1.5</v>
      </c>
      <c r="H15" s="175" t="inlineStr">
        <is>
          <t>P т.г. в фильтре ФГ-80 №3-2</t>
        </is>
      </c>
      <c r="I15" s="15" t="inlineStr">
        <is>
          <t>ГПА 73</t>
        </is>
      </c>
      <c r="J15" s="15" t="inlineStr">
        <is>
          <t>АСУ,А и ТМ (КЦ № 7)</t>
        </is>
      </c>
      <c r="K15" s="15" t="n"/>
      <c r="L15" s="15" t="n">
        <v>12</v>
      </c>
      <c r="M15" s="3" t="inlineStr">
        <is>
          <t>26ДЯУ</t>
        </is>
      </c>
      <c r="N15" s="175" t="inlineStr">
        <is>
          <t>П</t>
        </is>
      </c>
      <c r="O15" s="173" t="n"/>
    </row>
    <row r="16" ht="22.5" customHeight="1" s="151">
      <c r="A16" s="15">
        <f>IF(B16&lt;&gt;"", COUNTA($B$2:B16), "")</f>
        <v/>
      </c>
      <c r="B16" s="280" t="inlineStr">
        <is>
          <t>Манометр технический</t>
        </is>
      </c>
      <c r="C16" s="175" t="inlineStr">
        <is>
          <t>МП4-УУ2</t>
        </is>
      </c>
      <c r="D16" s="16" t="inlineStr">
        <is>
          <t>2302</t>
        </is>
      </c>
      <c r="E16" s="15" t="n">
        <v>2018</v>
      </c>
      <c r="F16" s="26" t="inlineStr">
        <is>
          <t>0…100 кгс/см2</t>
        </is>
      </c>
      <c r="G16" s="14" t="n">
        <v>1.5</v>
      </c>
      <c r="H16" s="175" t="inlineStr">
        <is>
          <t>P т.г. в фильтре ФГ-80 №3-1</t>
        </is>
      </c>
      <c r="I16" s="15" t="inlineStr">
        <is>
          <t>ГПА 73</t>
        </is>
      </c>
      <c r="J16" s="15" t="inlineStr">
        <is>
          <t>АСУ,А и ТМ (КЦ № 7)</t>
        </is>
      </c>
      <c r="K16" s="15" t="n"/>
      <c r="L16" s="15" t="n">
        <v>12</v>
      </c>
      <c r="M16" s="3" t="inlineStr">
        <is>
          <t>26ДЯУ</t>
        </is>
      </c>
      <c r="N16" s="175" t="inlineStr">
        <is>
          <t>П</t>
        </is>
      </c>
      <c r="O16" s="173" t="n"/>
    </row>
    <row r="17" ht="22.5" customHeight="1" s="151">
      <c r="A17" s="15">
        <f>IF(B17&lt;&gt;"", COUNTA($B$2:B17), "")</f>
        <v/>
      </c>
      <c r="B17" s="280" t="inlineStr">
        <is>
          <t>Манометр технический</t>
        </is>
      </c>
      <c r="C17" s="175" t="inlineStr">
        <is>
          <t>МП4-УУ2</t>
        </is>
      </c>
      <c r="D17" s="17" t="inlineStr">
        <is>
          <t>20227</t>
        </is>
      </c>
      <c r="E17" s="15" t="n"/>
      <c r="F17" s="175" t="inlineStr">
        <is>
          <t>0…1,6 кгс/см2</t>
        </is>
      </c>
      <c r="G17" s="14" t="n">
        <v>1.5</v>
      </c>
      <c r="H17" s="175" t="inlineStr">
        <is>
          <t>Pм для настройки перепускного  клапана</t>
        </is>
      </c>
      <c r="I17" s="15" t="inlineStr">
        <is>
          <t>ГПА 73</t>
        </is>
      </c>
      <c r="J17" s="15" t="inlineStr">
        <is>
          <t>АСУ,А и ТМ (КЦ № 7)</t>
        </is>
      </c>
      <c r="K17" s="15" t="n"/>
      <c r="L17" s="15" t="n">
        <v>12</v>
      </c>
      <c r="M17" s="3" t="inlineStr">
        <is>
          <t>2К26</t>
        </is>
      </c>
      <c r="N17" s="175" t="inlineStr">
        <is>
          <t>К</t>
        </is>
      </c>
      <c r="O17" s="173" t="n"/>
    </row>
    <row r="18" ht="22.5" customHeight="1" s="151">
      <c r="A18" s="15">
        <f>IF(B18&lt;&gt;"", COUNTA($B$2:B18), "")</f>
        <v/>
      </c>
      <c r="B18" s="280" t="inlineStr">
        <is>
          <t>Манометр технический</t>
        </is>
      </c>
      <c r="C18" s="175" t="inlineStr">
        <is>
          <t>МП4-УУХЛ1</t>
        </is>
      </c>
      <c r="D18" s="17" t="inlineStr">
        <is>
          <t>700084</t>
        </is>
      </c>
      <c r="E18" s="15" t="n"/>
      <c r="F18" s="70" t="inlineStr">
        <is>
          <t>0…160 кПа</t>
        </is>
      </c>
      <c r="G18" s="14" t="n">
        <v>1</v>
      </c>
      <c r="H18" s="175" t="inlineStr">
        <is>
          <t>P м на входе в фильтры БВМФ 6002</t>
        </is>
      </c>
      <c r="I18" s="15" t="inlineStr">
        <is>
          <t>ГПА 73</t>
        </is>
      </c>
      <c r="J18" s="15" t="inlineStr">
        <is>
          <t>АСУ,А и ТМ (КЦ № 7)</t>
        </is>
      </c>
      <c r="K18" s="15" t="n"/>
      <c r="L18" s="15" t="n">
        <v>12</v>
      </c>
      <c r="M18" s="3" t="inlineStr">
        <is>
          <t>2К26</t>
        </is>
      </c>
      <c r="N18" s="175" t="inlineStr">
        <is>
          <t>К</t>
        </is>
      </c>
      <c r="O18" s="173" t="n"/>
    </row>
    <row r="19" ht="22.5" customHeight="1" s="151">
      <c r="A19" s="15">
        <f>IF(B19&lt;&gt;"", COUNTA($B$2:B19), "")</f>
        <v/>
      </c>
      <c r="B19" s="280" t="inlineStr">
        <is>
          <t>Манометр технический</t>
        </is>
      </c>
      <c r="C19" s="175" t="inlineStr">
        <is>
          <t>МП4-УУХЛ1</t>
        </is>
      </c>
      <c r="D19" s="17" t="inlineStr">
        <is>
          <t>7000185</t>
        </is>
      </c>
      <c r="E19" s="15" t="n"/>
      <c r="F19" s="70" t="inlineStr">
        <is>
          <t>0…1,6 МПа</t>
        </is>
      </c>
      <c r="G19" s="14" t="n">
        <v>1.5</v>
      </c>
      <c r="H19" s="175" t="inlineStr">
        <is>
          <t>P м на входе в фильтры БВМФ 6001</t>
        </is>
      </c>
      <c r="I19" s="15" t="inlineStr">
        <is>
          <t>ГПА 73</t>
        </is>
      </c>
      <c r="J19" s="15" t="inlineStr">
        <is>
          <t>АСУ,А и ТМ (КЦ № 7)</t>
        </is>
      </c>
      <c r="K19" s="15" t="n"/>
      <c r="L19" s="15" t="n">
        <v>12</v>
      </c>
      <c r="M19" s="3" t="inlineStr">
        <is>
          <t>2К26</t>
        </is>
      </c>
      <c r="N19" s="175" t="inlineStr">
        <is>
          <t>К</t>
        </is>
      </c>
      <c r="O19" s="173" t="n"/>
    </row>
    <row r="20" ht="22.5" customHeight="1" s="151">
      <c r="A20" s="15">
        <f>IF(B20&lt;&gt;"", COUNTA($B$2:B20), "")</f>
        <v/>
      </c>
      <c r="B20" s="280" t="inlineStr">
        <is>
          <t>Манометр технический</t>
        </is>
      </c>
      <c r="C20" s="175" t="inlineStr">
        <is>
          <t>МП4-УУХЛ1</t>
        </is>
      </c>
      <c r="D20" s="3" t="inlineStr">
        <is>
          <t>15291</t>
        </is>
      </c>
      <c r="E20" s="15" t="n"/>
      <c r="F20" s="26" t="inlineStr">
        <is>
          <t>0…16 кгс/см2</t>
        </is>
      </c>
      <c r="G20" s="14" t="n">
        <v>1</v>
      </c>
      <c r="H20" s="175" t="inlineStr">
        <is>
          <t>P м на выходе из фильтров БВМФ 6001</t>
        </is>
      </c>
      <c r="I20" s="15" t="inlineStr">
        <is>
          <t>ГПА 73</t>
        </is>
      </c>
      <c r="J20" s="15" t="inlineStr">
        <is>
          <t>АСУ,А и ТМ (КЦ № 7)</t>
        </is>
      </c>
      <c r="K20" s="15" t="n"/>
      <c r="L20" s="15" t="n">
        <v>12</v>
      </c>
      <c r="M20" s="3" t="inlineStr">
        <is>
          <t>2К26</t>
        </is>
      </c>
      <c r="N20" s="175" t="inlineStr">
        <is>
          <t>К</t>
        </is>
      </c>
      <c r="O20" s="173" t="n"/>
    </row>
    <row r="21" ht="22.5" customHeight="1" s="151">
      <c r="A21" s="15">
        <f>IF(B21&lt;&gt;"", COUNTA($B$2:B21), "")</f>
        <v/>
      </c>
      <c r="B21" s="280" t="inlineStr">
        <is>
          <t>Манометр технический</t>
        </is>
      </c>
      <c r="C21" s="175" t="inlineStr">
        <is>
          <t>МП4-УУХЛ1</t>
        </is>
      </c>
      <c r="D21" s="3" t="inlineStr">
        <is>
          <t>700094</t>
        </is>
      </c>
      <c r="E21" s="15" t="n"/>
      <c r="F21" s="70" t="inlineStr">
        <is>
          <t>0…100 кПа</t>
        </is>
      </c>
      <c r="G21" s="14" t="n">
        <v>1</v>
      </c>
      <c r="H21" s="175" t="inlineStr">
        <is>
          <t>P м суфлирования полостей двигателя</t>
        </is>
      </c>
      <c r="I21" s="15" t="inlineStr">
        <is>
          <t>ГПА 73</t>
        </is>
      </c>
      <c r="J21" s="15" t="inlineStr">
        <is>
          <t>АСУ,А и ТМ (КЦ № 7)</t>
        </is>
      </c>
      <c r="K21" s="15" t="n"/>
      <c r="L21" s="15" t="n">
        <v>12</v>
      </c>
      <c r="M21" s="3" t="inlineStr">
        <is>
          <t>2К26</t>
        </is>
      </c>
      <c r="N21" s="175" t="inlineStr">
        <is>
          <t>К</t>
        </is>
      </c>
      <c r="O21" s="173" t="n"/>
    </row>
    <row r="22" ht="22.5" customHeight="1" s="151">
      <c r="A22" s="15">
        <f>IF(B22&lt;&gt;"", COUNTA($B$2:B22), "")</f>
        <v/>
      </c>
      <c r="B22" s="280" t="inlineStr">
        <is>
          <t>Манометр технический</t>
        </is>
      </c>
      <c r="C22" s="175" t="inlineStr">
        <is>
          <t>МП4-УУ2</t>
        </is>
      </c>
      <c r="D22" s="175" t="n">
        <v>700055</v>
      </c>
      <c r="E22" s="15" t="n"/>
      <c r="F22" s="70" t="inlineStr">
        <is>
          <t>0…600 кПа</t>
        </is>
      </c>
      <c r="G22" s="14" t="n">
        <v>1.5</v>
      </c>
      <c r="H22" s="175" t="inlineStr">
        <is>
          <t>P м при пополнении бака маслом</t>
        </is>
      </c>
      <c r="I22" s="15" t="inlineStr">
        <is>
          <t>ГПА 73</t>
        </is>
      </c>
      <c r="J22" s="15" t="inlineStr">
        <is>
          <t>АСУ,А и ТМ (КЦ № 7)</t>
        </is>
      </c>
      <c r="K22" s="15" t="n"/>
      <c r="L22" s="15" t="n">
        <v>12</v>
      </c>
      <c r="M22" s="3" t="inlineStr">
        <is>
          <t>2К26</t>
        </is>
      </c>
      <c r="N22" s="175" t="inlineStr">
        <is>
          <t>К</t>
        </is>
      </c>
      <c r="O22" s="173" t="n"/>
    </row>
    <row r="23" ht="22.5" customHeight="1" s="151">
      <c r="A23" s="15">
        <f>IF(B23&lt;&gt;"", COUNTA($B$2:B23), "")</f>
        <v/>
      </c>
      <c r="B23" s="280" t="inlineStr">
        <is>
          <t>Манометр технический</t>
        </is>
      </c>
      <c r="C23" s="175" t="inlineStr">
        <is>
          <t>МП4-УУ2</t>
        </is>
      </c>
      <c r="D23" s="76" t="inlineStr">
        <is>
          <t>15190</t>
        </is>
      </c>
      <c r="E23" s="15" t="n"/>
      <c r="F23" s="26" t="inlineStr">
        <is>
          <t>0…0,6 кгс/см2</t>
        </is>
      </c>
      <c r="G23" s="14" t="n">
        <v>1.5</v>
      </c>
      <c r="H23" s="175" t="inlineStr">
        <is>
          <t>P в на выходе воздуходувок PI5322</t>
        </is>
      </c>
      <c r="I23" s="15" t="inlineStr">
        <is>
          <t>БКК 73</t>
        </is>
      </c>
      <c r="J23" s="15" t="inlineStr">
        <is>
          <t>АСУ,А и ТМ (КЦ № 7)</t>
        </is>
      </c>
      <c r="K23" s="15" t="n"/>
      <c r="L23" s="15" t="n">
        <v>12</v>
      </c>
      <c r="M23" s="3" t="inlineStr">
        <is>
          <t>2К26</t>
        </is>
      </c>
      <c r="N23" s="175" t="inlineStr">
        <is>
          <t>К</t>
        </is>
      </c>
      <c r="O23" s="173" t="n"/>
    </row>
    <row r="24" ht="22.5" customHeight="1" s="151">
      <c r="A24" s="15">
        <f>IF(B24&lt;&gt;"", COUNTA($B$2:B24), "")</f>
        <v/>
      </c>
      <c r="B24" s="280" t="inlineStr">
        <is>
          <t>Манометр технический</t>
        </is>
      </c>
      <c r="C24" s="175" t="inlineStr">
        <is>
          <t>ТМ5</t>
        </is>
      </c>
      <c r="D24" s="76" t="inlineStr">
        <is>
          <t>7000201</t>
        </is>
      </c>
      <c r="E24" s="15" t="n">
        <v>2020</v>
      </c>
      <c r="F24" s="70" t="inlineStr">
        <is>
          <t>0…1,6 МПа</t>
        </is>
      </c>
      <c r="G24" s="14" t="n">
        <v>1.5</v>
      </c>
      <c r="H24" s="175" t="inlineStr">
        <is>
          <t>P в в 1 адсорбере PI5314</t>
        </is>
      </c>
      <c r="I24" s="15" t="inlineStr">
        <is>
          <t>БКК 73</t>
        </is>
      </c>
      <c r="J24" s="15" t="inlineStr">
        <is>
          <t>АСУ,А и ТМ (КЦ № 7)</t>
        </is>
      </c>
      <c r="K24" s="15" t="n"/>
      <c r="L24" s="15" t="n">
        <v>12</v>
      </c>
      <c r="M24" s="3" t="inlineStr">
        <is>
          <t>26ДЯУ</t>
        </is>
      </c>
      <c r="N24" s="175" t="inlineStr">
        <is>
          <t>П</t>
        </is>
      </c>
      <c r="O24" s="173" t="n"/>
    </row>
    <row r="25" ht="22.5" customHeight="1" s="151">
      <c r="A25" s="15">
        <f>IF(B25&lt;&gt;"", COUNTA($B$2:B25), "")</f>
        <v/>
      </c>
      <c r="B25" s="280" t="inlineStr">
        <is>
          <t>Манометр технический</t>
        </is>
      </c>
      <c r="C25" s="175" t="inlineStr">
        <is>
          <t>ТМ5</t>
        </is>
      </c>
      <c r="D25" s="76" t="inlineStr">
        <is>
          <t>7000200</t>
        </is>
      </c>
      <c r="E25" s="15" t="n">
        <v>2020</v>
      </c>
      <c r="F25" s="70" t="inlineStr">
        <is>
          <t>0…1,6 МПа</t>
        </is>
      </c>
      <c r="G25" s="14" t="n">
        <v>1.5</v>
      </c>
      <c r="H25" s="175" t="inlineStr">
        <is>
          <t>P в во 2 адсорбере PI5315</t>
        </is>
      </c>
      <c r="I25" s="15" t="inlineStr">
        <is>
          <t>БКК 73</t>
        </is>
      </c>
      <c r="J25" s="15" t="inlineStr">
        <is>
          <t>АСУ,А и ТМ (КЦ № 7)</t>
        </is>
      </c>
      <c r="K25" s="15" t="n"/>
      <c r="L25" s="15" t="n">
        <v>12</v>
      </c>
      <c r="M25" s="3" t="inlineStr">
        <is>
          <t>26ДЯУ</t>
        </is>
      </c>
      <c r="N25" s="175" t="inlineStr">
        <is>
          <t>П</t>
        </is>
      </c>
      <c r="O25" s="173" t="n"/>
    </row>
    <row r="26" ht="22.5" customHeight="1" s="151">
      <c r="A26" s="15">
        <f>IF(B26&lt;&gt;"", COUNTA($B$2:B26), "")</f>
        <v/>
      </c>
      <c r="B26" s="280" t="inlineStr">
        <is>
          <t>Манометр технический</t>
        </is>
      </c>
      <c r="C26" s="175" t="inlineStr">
        <is>
          <t>МП3-УУ2</t>
        </is>
      </c>
      <c r="D26" s="76" t="inlineStr">
        <is>
          <t>15676</t>
        </is>
      </c>
      <c r="E26" s="15" t="n">
        <v>2004</v>
      </c>
      <c r="F26" s="26" t="inlineStr">
        <is>
          <t>0…16 кгс/см2</t>
        </is>
      </c>
      <c r="G26" s="14" t="n">
        <v>1.5</v>
      </c>
      <c r="H26" s="175" t="inlineStr">
        <is>
          <t>P в в 3 адсорбере PI5313</t>
        </is>
      </c>
      <c r="I26" s="15" t="inlineStr">
        <is>
          <t>БКК 73</t>
        </is>
      </c>
      <c r="J26" s="15" t="inlineStr">
        <is>
          <t>АСУ,А и ТМ (КЦ № 7)</t>
        </is>
      </c>
      <c r="K26" s="15" t="n"/>
      <c r="L26" s="15" t="n">
        <v>12</v>
      </c>
      <c r="M26" s="3" t="inlineStr">
        <is>
          <t>26ДЯУ</t>
        </is>
      </c>
      <c r="N26" s="175" t="inlineStr">
        <is>
          <t>П</t>
        </is>
      </c>
      <c r="O26" s="173" t="n"/>
    </row>
    <row r="27" ht="22.5" customHeight="1" s="151">
      <c r="A27" s="15">
        <f>IF(B27&lt;&gt;"", COUNTA($B$2:B27), "")</f>
        <v/>
      </c>
      <c r="B27" s="280" t="inlineStr">
        <is>
          <t>Манометр технический</t>
        </is>
      </c>
      <c r="C27" s="175" t="inlineStr">
        <is>
          <t>МП3-УУ2</t>
        </is>
      </c>
      <c r="D27" s="76" t="inlineStr">
        <is>
          <t>211222308</t>
        </is>
      </c>
      <c r="E27" s="15" t="n">
        <v>2020</v>
      </c>
      <c r="F27" s="70" t="inlineStr">
        <is>
          <t>0…1,6 МПа</t>
        </is>
      </c>
      <c r="G27" s="14" t="n">
        <v>1.5</v>
      </c>
      <c r="H27" s="175" t="inlineStr">
        <is>
          <t>P в в 4 адсорбере PI5312</t>
        </is>
      </c>
      <c r="I27" s="15" t="inlineStr">
        <is>
          <t>БКК 73</t>
        </is>
      </c>
      <c r="J27" s="15" t="inlineStr">
        <is>
          <t>АСУ,А и ТМ (КЦ № 7)</t>
        </is>
      </c>
      <c r="K27" s="15" t="n"/>
      <c r="L27" s="15" t="n">
        <v>12</v>
      </c>
      <c r="M27" s="3" t="inlineStr">
        <is>
          <t>26ДЯУ</t>
        </is>
      </c>
      <c r="N27" s="175" t="inlineStr">
        <is>
          <t>П</t>
        </is>
      </c>
      <c r="O27" s="173" t="n"/>
    </row>
    <row r="28" ht="22.5" customHeight="1" s="151">
      <c r="A28" s="15">
        <f>IF(B28&lt;&gt;"", COUNTA($B$2:B28), "")</f>
        <v/>
      </c>
      <c r="B28" s="280" t="inlineStr">
        <is>
          <t>Перепад давления ДМ 5301</t>
        </is>
      </c>
      <c r="C28" s="14" t="inlineStr">
        <is>
          <t>Wika</t>
        </is>
      </c>
      <c r="D28" s="14" t="inlineStr">
        <is>
          <t>110BGBZ6</t>
        </is>
      </c>
      <c r="E28" s="15" t="n"/>
      <c r="F28" s="70" t="inlineStr">
        <is>
          <t>0…0,6 бар</t>
        </is>
      </c>
      <c r="G28" s="14" t="n"/>
      <c r="H28" s="175" t="inlineStr">
        <is>
          <t>∆P в на фильтре</t>
        </is>
      </c>
      <c r="I28" s="15" t="inlineStr">
        <is>
          <t>БКК 73</t>
        </is>
      </c>
      <c r="J28" s="15" t="inlineStr">
        <is>
          <t>АСУ,А и ТМ (КЦ № 7)</t>
        </is>
      </c>
      <c r="K28" s="15" t="n"/>
      <c r="L28" s="15" t="n">
        <v>12</v>
      </c>
      <c r="M28" s="3" t="inlineStr">
        <is>
          <t>1К26</t>
        </is>
      </c>
      <c r="N28" s="175" t="inlineStr">
        <is>
          <t>К</t>
        </is>
      </c>
      <c r="O28" s="173" t="n"/>
    </row>
    <row r="29" ht="22.5" customHeight="1" s="151">
      <c r="A29" s="15">
        <f>IF(B29&lt;&gt;"", COUNTA($B$2:B29), "")</f>
        <v/>
      </c>
      <c r="B29" s="280" t="inlineStr">
        <is>
          <t>Перепад давления ДМ 5302</t>
        </is>
      </c>
      <c r="C29" s="14" t="inlineStr">
        <is>
          <t>Wika</t>
        </is>
      </c>
      <c r="D29" s="14" t="inlineStr">
        <is>
          <t>110BCU5T</t>
        </is>
      </c>
      <c r="E29" s="15" t="n"/>
      <c r="F29" s="70" t="inlineStr">
        <is>
          <t>0…0,6 бар</t>
        </is>
      </c>
      <c r="G29" s="14" t="n"/>
      <c r="H29" s="175" t="inlineStr">
        <is>
          <t>∆P в на фильтре</t>
        </is>
      </c>
      <c r="I29" s="15" t="inlineStr">
        <is>
          <t>БКК 73</t>
        </is>
      </c>
      <c r="J29" s="15" t="inlineStr">
        <is>
          <t>АСУ,А и ТМ (КЦ № 7)</t>
        </is>
      </c>
      <c r="K29" s="15" t="n"/>
      <c r="L29" s="15" t="n">
        <v>12</v>
      </c>
      <c r="M29" s="3" t="inlineStr">
        <is>
          <t>1К26</t>
        </is>
      </c>
      <c r="N29" s="175" t="inlineStr">
        <is>
          <t>К</t>
        </is>
      </c>
      <c r="O29" s="173" t="n"/>
    </row>
    <row r="30" ht="22.5" customHeight="1" s="151">
      <c r="A30" s="15">
        <f>IF(B30&lt;&gt;"", COUNTA($B$2:B30), "")</f>
        <v/>
      </c>
      <c r="B30" s="280" t="inlineStr">
        <is>
          <t>Перепад давления ДМ 5303</t>
        </is>
      </c>
      <c r="C30" s="14" t="inlineStr">
        <is>
          <t>Wika</t>
        </is>
      </c>
      <c r="D30" s="14" t="inlineStr">
        <is>
          <t>110BGBZK</t>
        </is>
      </c>
      <c r="E30" s="15" t="n"/>
      <c r="F30" s="70" t="inlineStr">
        <is>
          <t>0…0,6 бар</t>
        </is>
      </c>
      <c r="G30" s="14" t="n"/>
      <c r="H30" s="175" t="inlineStr">
        <is>
          <t>∆P в на фильтре</t>
        </is>
      </c>
      <c r="I30" s="15" t="inlineStr">
        <is>
          <t>БКК 73</t>
        </is>
      </c>
      <c r="J30" s="15" t="inlineStr">
        <is>
          <t>АСУ,А и ТМ (КЦ № 7)</t>
        </is>
      </c>
      <c r="K30" s="15" t="n"/>
      <c r="L30" s="15" t="n">
        <v>12</v>
      </c>
      <c r="M30" s="3" t="inlineStr">
        <is>
          <t>1К26</t>
        </is>
      </c>
      <c r="N30" s="175" t="inlineStr">
        <is>
          <t>К</t>
        </is>
      </c>
      <c r="O30" s="173" t="n"/>
    </row>
    <row r="31" ht="22.5" customHeight="1" s="151">
      <c r="A31" s="15">
        <f>IF(B31&lt;&gt;"", COUNTA($B$2:B31), "")</f>
        <v/>
      </c>
      <c r="B31" s="280" t="inlineStr">
        <is>
          <t>Перепад давления ДМ 5304</t>
        </is>
      </c>
      <c r="C31" s="14" t="inlineStr">
        <is>
          <t>Wika</t>
        </is>
      </c>
      <c r="D31" s="14" t="inlineStr">
        <is>
          <t>110BGBZB</t>
        </is>
      </c>
      <c r="E31" s="15" t="n"/>
      <c r="F31" s="70" t="inlineStr">
        <is>
          <t>0…0,6 бар</t>
        </is>
      </c>
      <c r="G31" s="14" t="n"/>
      <c r="H31" s="175" t="inlineStr">
        <is>
          <t>∆P в на фильтре</t>
        </is>
      </c>
      <c r="I31" s="15" t="inlineStr">
        <is>
          <t>БКК 73</t>
        </is>
      </c>
      <c r="J31" s="15" t="inlineStr">
        <is>
          <t>АСУ,А и ТМ (КЦ № 7)</t>
        </is>
      </c>
      <c r="K31" s="15" t="n"/>
      <c r="L31" s="15" t="n">
        <v>12</v>
      </c>
      <c r="M31" s="3" t="inlineStr">
        <is>
          <t>1К26</t>
        </is>
      </c>
      <c r="N31" s="175" t="inlineStr">
        <is>
          <t>К</t>
        </is>
      </c>
      <c r="O31" s="173" t="n"/>
    </row>
    <row r="32" ht="22.5" customHeight="1" s="151">
      <c r="A32" s="15">
        <f>IF(B32&lt;&gt;"", COUNTA($B$2:B32), "")</f>
        <v/>
      </c>
      <c r="B32" s="280" t="inlineStr">
        <is>
          <t>Перепад давления ДМ 5305</t>
        </is>
      </c>
      <c r="C32" s="14" t="inlineStr">
        <is>
          <t>Wika</t>
        </is>
      </c>
      <c r="D32" s="14" t="inlineStr">
        <is>
          <t>110BGBZ8</t>
        </is>
      </c>
      <c r="E32" s="175" t="n"/>
      <c r="F32" s="70" t="inlineStr">
        <is>
          <t>0…0,6 бар</t>
        </is>
      </c>
      <c r="G32" s="14" t="n"/>
      <c r="H32" s="175" t="inlineStr">
        <is>
          <t>∆P в на фильтре</t>
        </is>
      </c>
      <c r="I32" s="15" t="inlineStr">
        <is>
          <t>БКК 73</t>
        </is>
      </c>
      <c r="J32" s="15" t="inlineStr">
        <is>
          <t>АСУ,А и ТМ (КЦ № 7)</t>
        </is>
      </c>
      <c r="K32" s="175" t="n"/>
      <c r="L32" s="15" t="n">
        <v>12</v>
      </c>
      <c r="M32" s="3" t="inlineStr">
        <is>
          <t>1К26</t>
        </is>
      </c>
      <c r="N32" s="175" t="inlineStr">
        <is>
          <t>К</t>
        </is>
      </c>
      <c r="O32" s="173" t="n"/>
    </row>
    <row r="33" ht="22.5" customHeight="1" s="151">
      <c r="A33" s="15">
        <f>IF(B33&lt;&gt;"", COUNTA($B$2:B33), "")</f>
        <v/>
      </c>
      <c r="B33" s="280" t="inlineStr">
        <is>
          <t>Манометр технический</t>
        </is>
      </c>
      <c r="C33" s="175" t="inlineStr">
        <is>
          <t>ТМ3</t>
        </is>
      </c>
      <c r="D33" s="175" t="n">
        <v>7000196</v>
      </c>
      <c r="E33" s="175" t="n"/>
      <c r="F33" s="70" t="inlineStr">
        <is>
          <t>0…0,1 МПа</t>
        </is>
      </c>
      <c r="G33" s="14" t="n">
        <v>1.5</v>
      </c>
      <c r="H33" s="175" t="inlineStr">
        <is>
          <t>P в в ГШ 5301</t>
        </is>
      </c>
      <c r="I33" s="15" t="inlineStr">
        <is>
          <t>БКК 73</t>
        </is>
      </c>
      <c r="J33" s="15" t="inlineStr">
        <is>
          <t>АСУ,А и ТМ (КЦ № 7)</t>
        </is>
      </c>
      <c r="K33" s="175" t="n"/>
      <c r="L33" s="15" t="n">
        <v>12</v>
      </c>
      <c r="M33" s="3" t="inlineStr">
        <is>
          <t>1К26</t>
        </is>
      </c>
      <c r="N33" s="175" t="inlineStr">
        <is>
          <t>К</t>
        </is>
      </c>
      <c r="O33" s="173" t="n"/>
    </row>
    <row r="34" ht="22.5" customHeight="1" s="151">
      <c r="A34" s="15">
        <f>IF(B34&lt;&gt;"", COUNTA($B$2:B34), "")</f>
        <v/>
      </c>
      <c r="B34" s="280" t="inlineStr">
        <is>
          <t>Манометр технический</t>
        </is>
      </c>
      <c r="C34" s="175" t="inlineStr">
        <is>
          <t>ТМ3</t>
        </is>
      </c>
      <c r="D34" s="175" t="n">
        <v>7000197</v>
      </c>
      <c r="E34" s="15" t="n"/>
      <c r="F34" s="70" t="inlineStr">
        <is>
          <t>0…0,1 МПа</t>
        </is>
      </c>
      <c r="G34" s="14" t="n">
        <v>1.5</v>
      </c>
      <c r="H34" s="175" t="inlineStr">
        <is>
          <t>P в в ГШ 5302</t>
        </is>
      </c>
      <c r="I34" s="15" t="inlineStr">
        <is>
          <t>БКК 73</t>
        </is>
      </c>
      <c r="J34" s="15" t="inlineStr">
        <is>
          <t>АСУ,А и ТМ (КЦ № 7)</t>
        </is>
      </c>
      <c r="K34" s="15" t="n"/>
      <c r="L34" s="15" t="n">
        <v>12</v>
      </c>
      <c r="M34" s="3" t="inlineStr">
        <is>
          <t>1К26</t>
        </is>
      </c>
      <c r="N34" s="175" t="inlineStr">
        <is>
          <t>К</t>
        </is>
      </c>
      <c r="O34" s="173" t="n"/>
    </row>
    <row r="35" ht="22.5" customHeight="1" s="151">
      <c r="A35" s="15">
        <f>IF(B35&lt;&gt;"", COUNTA($B$2:B35), "")</f>
        <v/>
      </c>
      <c r="B35" s="280" t="inlineStr">
        <is>
          <t>Манометр технический</t>
        </is>
      </c>
      <c r="C35" s="175" t="inlineStr">
        <is>
          <t>МП4-У</t>
        </is>
      </c>
      <c r="D35" s="26" t="n">
        <v>1730</v>
      </c>
      <c r="E35" s="15" t="n">
        <v>2018</v>
      </c>
      <c r="F35" s="26" t="inlineStr">
        <is>
          <t>0…16 кгс/см2</t>
        </is>
      </c>
      <c r="G35" s="14" t="n">
        <v>1.5</v>
      </c>
      <c r="H35" s="175" t="inlineStr">
        <is>
          <t>P в в ресивере</t>
        </is>
      </c>
      <c r="I35" s="15" t="inlineStr">
        <is>
          <t>ГПА 73</t>
        </is>
      </c>
      <c r="J35" s="15" t="inlineStr">
        <is>
          <t>АСУ,А и ТМ (КЦ № 7)</t>
        </is>
      </c>
      <c r="K35" s="15" t="n"/>
      <c r="L35" s="15" t="n">
        <v>12</v>
      </c>
      <c r="M35" s="3" t="inlineStr">
        <is>
          <t>26ДЯУ</t>
        </is>
      </c>
      <c r="N35" s="175" t="inlineStr">
        <is>
          <t xml:space="preserve">П </t>
        </is>
      </c>
      <c r="O35" s="173" t="n"/>
    </row>
    <row r="36" ht="22.5" customHeight="1" s="151">
      <c r="A36" s="15">
        <f>IF(B36&lt;&gt;"", COUNTA($B$2:B36), "")</f>
        <v/>
      </c>
      <c r="B36" s="280" t="inlineStr">
        <is>
          <t>Манометр технический</t>
        </is>
      </c>
      <c r="C36" s="175" t="inlineStr">
        <is>
          <t>МП4-УУ2</t>
        </is>
      </c>
      <c r="D36" s="175" t="n">
        <v>80337</v>
      </c>
      <c r="E36" s="15" t="n"/>
      <c r="F36" s="26" t="inlineStr">
        <is>
          <t>0…160 кгс/см2</t>
        </is>
      </c>
      <c r="G36" s="14" t="n">
        <v>1.5</v>
      </c>
      <c r="H36" s="175" t="inlineStr">
        <is>
          <t>P г во 2 фильтроэлементе БФБГ №1</t>
        </is>
      </c>
      <c r="I36" s="15" t="inlineStr">
        <is>
          <t>ГПА 73</t>
        </is>
      </c>
      <c r="J36" s="15" t="inlineStr">
        <is>
          <t>АСУ,А и ТМ (КЦ № 7)</t>
        </is>
      </c>
      <c r="K36" s="15" t="n"/>
      <c r="L36" s="15" t="n">
        <v>12</v>
      </c>
      <c r="M36" s="3" t="inlineStr">
        <is>
          <t>26ДЯУ</t>
        </is>
      </c>
      <c r="N36" s="175" t="inlineStr">
        <is>
          <t>П</t>
        </is>
      </c>
      <c r="O36" s="173" t="n"/>
    </row>
    <row r="37" ht="22.5" customHeight="1" s="151">
      <c r="A37" s="15">
        <f>IF(B37&lt;&gt;"", COUNTA($B$2:B37), "")</f>
        <v/>
      </c>
      <c r="B37" s="280" t="inlineStr">
        <is>
          <t>Манометр технический</t>
        </is>
      </c>
      <c r="C37" s="175" t="inlineStr">
        <is>
          <t>МП4-УУ2</t>
        </is>
      </c>
      <c r="D37" s="14" t="n">
        <v>15538</v>
      </c>
      <c r="E37" s="175" t="n"/>
      <c r="F37" s="26" t="inlineStr">
        <is>
          <t>0…160 кгс/см2</t>
        </is>
      </c>
      <c r="G37" s="14" t="n">
        <v>1.5</v>
      </c>
      <c r="H37" s="175" t="inlineStr">
        <is>
          <t>P г в 1 фильтроэлементе БФБГ №1</t>
        </is>
      </c>
      <c r="I37" s="15" t="inlineStr">
        <is>
          <t>ГПА 73</t>
        </is>
      </c>
      <c r="J37" s="15" t="inlineStr">
        <is>
          <t>АСУ,А и ТМ (КЦ № 7)</t>
        </is>
      </c>
      <c r="K37" s="15" t="n"/>
      <c r="L37" s="15" t="n">
        <v>12</v>
      </c>
      <c r="M37" s="3" t="inlineStr">
        <is>
          <t>26ДЯУ</t>
        </is>
      </c>
      <c r="N37" s="175" t="inlineStr">
        <is>
          <t>П</t>
        </is>
      </c>
      <c r="O37" s="173" t="n"/>
    </row>
    <row r="38" ht="22.5" customHeight="1" s="151">
      <c r="A38" s="15">
        <f>IF(B38&lt;&gt;"", COUNTA($B$2:B38), "")</f>
        <v/>
      </c>
      <c r="B38" s="280" t="inlineStr">
        <is>
          <t>Манометр технический</t>
        </is>
      </c>
      <c r="C38" s="175" t="inlineStr">
        <is>
          <t>МП4-УУ2</t>
        </is>
      </c>
      <c r="D38" s="175" t="n">
        <v>15565</v>
      </c>
      <c r="E38" s="175" t="n"/>
      <c r="F38" s="70" t="inlineStr">
        <is>
          <t>0…16 МПа</t>
        </is>
      </c>
      <c r="G38" s="14" t="n">
        <v>1</v>
      </c>
      <c r="H38" s="175" t="inlineStr">
        <is>
          <t>P г во 2 фильтроэлементе БФБГ №2</t>
        </is>
      </c>
      <c r="I38" s="15" t="inlineStr">
        <is>
          <t>ГПА 73</t>
        </is>
      </c>
      <c r="J38" s="15" t="inlineStr">
        <is>
          <t>АСУ,А и ТМ (КЦ № 7)</t>
        </is>
      </c>
      <c r="K38" s="15" t="n"/>
      <c r="L38" s="15" t="n">
        <v>12</v>
      </c>
      <c r="M38" s="3" t="inlineStr">
        <is>
          <t>26ДЯУ</t>
        </is>
      </c>
      <c r="N38" s="175" t="inlineStr">
        <is>
          <t>П</t>
        </is>
      </c>
      <c r="O38" s="173" t="n"/>
    </row>
    <row r="39" ht="22.5" customHeight="1" s="151">
      <c r="A39" s="15">
        <f>IF(B39&lt;&gt;"", COUNTA($B$2:B39), "")</f>
        <v/>
      </c>
      <c r="B39" s="280" t="inlineStr">
        <is>
          <t>Манометр технический</t>
        </is>
      </c>
      <c r="C39" s="175" t="inlineStr">
        <is>
          <t>МП4-УУ2</t>
        </is>
      </c>
      <c r="D39" s="175" t="n">
        <v>212032437</v>
      </c>
      <c r="E39" s="175" t="n"/>
      <c r="F39" s="70" t="inlineStr">
        <is>
          <t>0…16 МПа</t>
        </is>
      </c>
      <c r="G39" s="14" t="n">
        <v>1.5</v>
      </c>
      <c r="H39" s="175" t="inlineStr">
        <is>
          <t>P г в 1 фильтроэлементе БФБГ №2</t>
        </is>
      </c>
      <c r="I39" s="15" t="inlineStr">
        <is>
          <t>ГПА 73</t>
        </is>
      </c>
      <c r="J39" s="15" t="inlineStr">
        <is>
          <t>АСУ,А и ТМ (КЦ № 7)</t>
        </is>
      </c>
      <c r="K39" s="15" t="n"/>
      <c r="L39" s="15" t="n">
        <v>12</v>
      </c>
      <c r="M39" s="3" t="inlineStr">
        <is>
          <t>26ДЯУ</t>
        </is>
      </c>
      <c r="N39" s="175" t="inlineStr">
        <is>
          <t>П</t>
        </is>
      </c>
      <c r="O39" s="173" t="n"/>
    </row>
    <row r="40" ht="22.5" customHeight="1" s="151">
      <c r="A40" s="15">
        <f>IF(B40&lt;&gt;"", COUNTA($B$2:B40), "")</f>
        <v/>
      </c>
      <c r="B40" s="280" t="inlineStr">
        <is>
          <t>Манометр технический</t>
        </is>
      </c>
      <c r="C40" s="175" t="inlineStr">
        <is>
          <t>МП4-УУ2</t>
        </is>
      </c>
      <c r="D40" s="175" t="n">
        <v>1560622</v>
      </c>
      <c r="E40" s="175" t="n"/>
      <c r="F40" s="26" t="inlineStr">
        <is>
          <t>0…160 кгс/см2</t>
        </is>
      </c>
      <c r="G40" s="14" t="n">
        <v>1</v>
      </c>
      <c r="H40" s="175" t="inlineStr">
        <is>
          <t>P г во 2 фильтроэлементе БФТГ №1</t>
        </is>
      </c>
      <c r="I40" s="15" t="inlineStr">
        <is>
          <t>ГПА 73</t>
        </is>
      </c>
      <c r="J40" s="15" t="inlineStr">
        <is>
          <t>АСУ,А и ТМ (КЦ № 7)</t>
        </is>
      </c>
      <c r="K40" s="15" t="n"/>
      <c r="L40" s="15" t="n">
        <v>12</v>
      </c>
      <c r="M40" s="3" t="inlineStr">
        <is>
          <t>26ДЯУ</t>
        </is>
      </c>
      <c r="N40" s="175" t="inlineStr">
        <is>
          <t>П</t>
        </is>
      </c>
      <c r="O40" s="173" t="n"/>
    </row>
    <row r="41" ht="22.5" customHeight="1" s="151">
      <c r="A41" s="15">
        <f>IF(B41&lt;&gt;"", COUNTA($B$2:B41), "")</f>
        <v/>
      </c>
      <c r="B41" s="280" t="inlineStr">
        <is>
          <t>Манометр технический</t>
        </is>
      </c>
      <c r="C41" s="175" t="inlineStr">
        <is>
          <t>МП4-УУ2</t>
        </is>
      </c>
      <c r="D41" s="175" t="n">
        <v>14598</v>
      </c>
      <c r="E41" s="175" t="n"/>
      <c r="F41" s="26" t="inlineStr">
        <is>
          <t>0…160 кгс/см2</t>
        </is>
      </c>
      <c r="G41" s="14" t="n">
        <v>1.5</v>
      </c>
      <c r="H41" s="175" t="inlineStr">
        <is>
          <t>P г в 1 фильтроэлементе БФТГ №1</t>
        </is>
      </c>
      <c r="I41" s="15" t="inlineStr">
        <is>
          <t>ГПА 73</t>
        </is>
      </c>
      <c r="J41" s="15" t="inlineStr">
        <is>
          <t>АСУ,А и ТМ (КЦ № 7)</t>
        </is>
      </c>
      <c r="K41" s="15" t="n"/>
      <c r="L41" s="15" t="n">
        <v>12</v>
      </c>
      <c r="M41" s="3" t="inlineStr">
        <is>
          <t>26ДЯУ</t>
        </is>
      </c>
      <c r="N41" s="175" t="inlineStr">
        <is>
          <t>П</t>
        </is>
      </c>
      <c r="O41" s="173" t="n"/>
    </row>
    <row r="42" ht="22.5" customHeight="1" s="151">
      <c r="A42" s="15">
        <f>IF(B42&lt;&gt;"", COUNTA($B$2:B42), "")</f>
        <v/>
      </c>
      <c r="B42" s="280" t="inlineStr">
        <is>
          <t>Манометр технический</t>
        </is>
      </c>
      <c r="C42" s="175" t="inlineStr">
        <is>
          <t>МП4-УУ2</t>
        </is>
      </c>
      <c r="D42" s="175" t="n">
        <v>212032433</v>
      </c>
      <c r="E42" s="175" t="n"/>
      <c r="F42" s="70" t="inlineStr">
        <is>
          <t>0…16 МПа</t>
        </is>
      </c>
      <c r="G42" s="14" t="n">
        <v>1.5</v>
      </c>
      <c r="H42" s="175" t="inlineStr">
        <is>
          <t>P г в 1 фильтроэлементе БФТГ №2</t>
        </is>
      </c>
      <c r="I42" s="15" t="inlineStr">
        <is>
          <t>ГПА 73</t>
        </is>
      </c>
      <c r="J42" s="15" t="inlineStr">
        <is>
          <t>АСУ,А и ТМ (КЦ № 7)</t>
        </is>
      </c>
      <c r="K42" s="15" t="n"/>
      <c r="L42" s="15" t="n">
        <v>12</v>
      </c>
      <c r="M42" s="3" t="inlineStr">
        <is>
          <t>26ДЯУ</t>
        </is>
      </c>
      <c r="N42" s="175" t="inlineStr">
        <is>
          <t>П</t>
        </is>
      </c>
      <c r="O42" s="173" t="n"/>
    </row>
    <row r="43" ht="22.5" customHeight="1" s="151">
      <c r="A43" s="15">
        <f>IF(B43&lt;&gt;"", COUNTA($B$2:B43), "")</f>
        <v/>
      </c>
      <c r="B43" s="280" t="inlineStr">
        <is>
          <t>Манометр технический</t>
        </is>
      </c>
      <c r="C43" s="175" t="inlineStr">
        <is>
          <t>МП4-УУ2</t>
        </is>
      </c>
      <c r="D43" s="175" t="n">
        <v>212032435</v>
      </c>
      <c r="E43" s="175" t="n"/>
      <c r="F43" s="70" t="inlineStr">
        <is>
          <t>0…16 МПа</t>
        </is>
      </c>
      <c r="G43" s="14" t="n">
        <v>1.5</v>
      </c>
      <c r="H43" s="175" t="inlineStr">
        <is>
          <t>P г во 2 фильтроэлементе БФТГ №2</t>
        </is>
      </c>
      <c r="I43" s="15" t="inlineStr">
        <is>
          <t>ГПА 73</t>
        </is>
      </c>
      <c r="J43" s="15" t="inlineStr">
        <is>
          <t>АСУ,А и ТМ (КЦ № 7)</t>
        </is>
      </c>
      <c r="K43" s="15" t="n"/>
      <c r="L43" s="15" t="n">
        <v>12</v>
      </c>
      <c r="M43" s="3" t="inlineStr">
        <is>
          <t>26ДЯУ</t>
        </is>
      </c>
      <c r="N43" s="175" t="inlineStr">
        <is>
          <t>П</t>
        </is>
      </c>
      <c r="O43" s="173" t="n"/>
    </row>
    <row r="44" ht="22.5" customHeight="1" s="151">
      <c r="A44" s="15">
        <f>IF(B44&lt;&gt;"", COUNTA($B$2:B44), "")</f>
        <v/>
      </c>
      <c r="B44" s="280" t="inlineStr">
        <is>
          <t>Манометр технический</t>
        </is>
      </c>
      <c r="C44" s="175" t="inlineStr">
        <is>
          <t>МП4-УУ2</t>
        </is>
      </c>
      <c r="D44" s="175" t="n">
        <v>700020</v>
      </c>
      <c r="E44" s="175" t="n"/>
      <c r="F44" s="70" t="inlineStr">
        <is>
          <t>0…16 МПа</t>
        </is>
      </c>
      <c r="G44" s="14" t="n">
        <v>1</v>
      </c>
      <c r="H44" s="175" t="inlineStr">
        <is>
          <t>P имп г крана 3бис</t>
        </is>
      </c>
      <c r="I44" s="15" t="inlineStr">
        <is>
          <t>ГПА 73</t>
        </is>
      </c>
      <c r="J44" s="15" t="inlineStr">
        <is>
          <t>АСУ,А и ТМ (КЦ № 7)</t>
        </is>
      </c>
      <c r="K44" s="15" t="n"/>
      <c r="L44" s="15" t="n">
        <v>12</v>
      </c>
      <c r="M44" s="3" t="inlineStr">
        <is>
          <t>2К26</t>
        </is>
      </c>
      <c r="N44" s="175" t="inlineStr">
        <is>
          <t>К</t>
        </is>
      </c>
      <c r="O44" s="173" t="n"/>
    </row>
    <row r="45" ht="22.5" customHeight="1" s="151">
      <c r="A45" s="15">
        <f>IF(B45&lt;&gt;"", COUNTA($B$2:B45), "")</f>
        <v/>
      </c>
      <c r="B45" s="280" t="inlineStr">
        <is>
          <t>Манометр технический</t>
        </is>
      </c>
      <c r="C45" s="175" t="inlineStr">
        <is>
          <t>КМ2</t>
        </is>
      </c>
      <c r="D45" s="76" t="inlineStr">
        <is>
          <t>7000285</t>
        </is>
      </c>
      <c r="E45" s="175" t="n"/>
      <c r="F45" s="70" t="inlineStr">
        <is>
          <t>0…25 кПа</t>
        </is>
      </c>
      <c r="G45" s="14" t="n">
        <v>1.5</v>
      </c>
      <c r="H45" s="175" t="inlineStr">
        <is>
          <t>P г после счётчика MH2</t>
        </is>
      </c>
      <c r="I45" s="15" t="inlineStr">
        <is>
          <t>АВГМ 73</t>
        </is>
      </c>
      <c r="J45" s="15" t="inlineStr">
        <is>
          <t>АСУ,А и ТМ (КЦ № 7)</t>
        </is>
      </c>
      <c r="K45" s="15" t="n"/>
      <c r="L45" s="15" t="n">
        <v>12</v>
      </c>
      <c r="M45" s="3" t="inlineStr">
        <is>
          <t>2К26</t>
        </is>
      </c>
      <c r="N45" s="175" t="inlineStr">
        <is>
          <t>К</t>
        </is>
      </c>
      <c r="O45" s="173" t="n"/>
    </row>
    <row r="46" ht="22.5" customHeight="1" s="151">
      <c r="A46" s="15">
        <f>IF(B46&lt;&gt;"", COUNTA($B$2:B46), "")</f>
        <v/>
      </c>
      <c r="B46" s="280" t="inlineStr">
        <is>
          <t>Манометр технический</t>
        </is>
      </c>
      <c r="C46" s="175" t="inlineStr">
        <is>
          <t>ТМ5</t>
        </is>
      </c>
      <c r="D46" s="76" t="inlineStr">
        <is>
          <t>7000168</t>
        </is>
      </c>
      <c r="E46" s="175" t="n"/>
      <c r="F46" s="70" t="inlineStr">
        <is>
          <t>0…1 МПа</t>
        </is>
      </c>
      <c r="G46" s="14" t="n">
        <v>1.5</v>
      </c>
      <c r="H46" s="175" t="inlineStr">
        <is>
          <t>P г на входе MH1</t>
        </is>
      </c>
      <c r="I46" s="15" t="inlineStr">
        <is>
          <t>АВГМ 73</t>
        </is>
      </c>
      <c r="J46" s="15" t="inlineStr">
        <is>
          <t>АСУ,А и ТМ (КЦ № 7)</t>
        </is>
      </c>
      <c r="K46" s="15" t="n"/>
      <c r="L46" s="15" t="n">
        <v>12</v>
      </c>
      <c r="M46" s="3" t="inlineStr">
        <is>
          <t>2К26</t>
        </is>
      </c>
      <c r="N46" s="175" t="inlineStr">
        <is>
          <t>К</t>
        </is>
      </c>
      <c r="O46" s="173" t="n"/>
    </row>
    <row r="47" ht="22.5" customHeight="1" s="151">
      <c r="A47" s="15">
        <f>IF(B47&lt;&gt;"", COUNTA($B$2:B47), "")</f>
        <v/>
      </c>
      <c r="B47" s="280" t="inlineStr">
        <is>
          <t>Манометр технический</t>
        </is>
      </c>
      <c r="C47" s="175" t="inlineStr">
        <is>
          <t>МП4-УУ2</t>
        </is>
      </c>
      <c r="D47" s="76" t="inlineStr">
        <is>
          <t>7000141</t>
        </is>
      </c>
      <c r="E47" s="175" t="n"/>
      <c r="F47" s="70" t="inlineStr">
        <is>
          <t>0…16 МПа</t>
        </is>
      </c>
      <c r="G47" s="14" t="n">
        <v>1</v>
      </c>
      <c r="H47" s="175" t="inlineStr">
        <is>
          <t>P г после защитной решётки</t>
        </is>
      </c>
      <c r="I47" s="15" t="inlineStr">
        <is>
          <t>ГПА 73</t>
        </is>
      </c>
      <c r="J47" s="15" t="inlineStr">
        <is>
          <t>АСУ,А и ТМ (КЦ № 7)</t>
        </is>
      </c>
      <c r="K47" s="15" t="n"/>
      <c r="L47" s="15" t="n">
        <v>12</v>
      </c>
      <c r="M47" s="3" t="inlineStr">
        <is>
          <t>2К26</t>
        </is>
      </c>
      <c r="N47" s="175" t="inlineStr">
        <is>
          <t>К</t>
        </is>
      </c>
      <c r="O47" s="173" t="n"/>
    </row>
    <row r="48" ht="22.5" customHeight="1" s="151">
      <c r="A48" s="15">
        <f>IF(B48&lt;&gt;"", COUNTA($B$2:B48), "")</f>
        <v/>
      </c>
      <c r="B48" s="280" t="inlineStr">
        <is>
          <t>Манометр технический</t>
        </is>
      </c>
      <c r="C48" s="175" t="inlineStr">
        <is>
          <t>МП4-УУ2</t>
        </is>
      </c>
      <c r="D48" s="76" t="inlineStr">
        <is>
          <t>7000129</t>
        </is>
      </c>
      <c r="E48" s="175" t="n"/>
      <c r="F48" s="70" t="inlineStr">
        <is>
          <t>0…16 МПа</t>
        </is>
      </c>
      <c r="G48" s="14" t="n">
        <v>1</v>
      </c>
      <c r="H48" s="175" t="inlineStr">
        <is>
          <t>P г до защитной решётки</t>
        </is>
      </c>
      <c r="I48" s="15" t="inlineStr">
        <is>
          <t>ГПА 73</t>
        </is>
      </c>
      <c r="J48" s="15" t="inlineStr">
        <is>
          <t>АСУ,А и ТМ (КЦ № 7)</t>
        </is>
      </c>
      <c r="K48" s="15" t="n"/>
      <c r="L48" s="15" t="n">
        <v>12</v>
      </c>
      <c r="M48" s="3" t="inlineStr">
        <is>
          <t>2К26</t>
        </is>
      </c>
      <c r="N48" s="175" t="inlineStr">
        <is>
          <t>К</t>
        </is>
      </c>
      <c r="O48" s="173" t="n"/>
    </row>
    <row r="49" ht="22.5" customHeight="1" s="151">
      <c r="A49" s="15">
        <f>IF(B49&lt;&gt;"", COUNTA($B$2:B49), "")</f>
        <v/>
      </c>
      <c r="B49" s="280" t="inlineStr">
        <is>
          <t>Манометр технический</t>
        </is>
      </c>
      <c r="C49" s="175" t="inlineStr">
        <is>
          <t>МП4-УУ2</t>
        </is>
      </c>
      <c r="D49" s="76" t="inlineStr">
        <is>
          <t>7000130</t>
        </is>
      </c>
      <c r="E49" s="175" t="n"/>
      <c r="F49" s="70" t="inlineStr">
        <is>
          <t>0…16 МПа</t>
        </is>
      </c>
      <c r="G49" s="14" t="n">
        <v>1</v>
      </c>
      <c r="H49" s="175" t="inlineStr">
        <is>
          <t>P г до крана №1-1</t>
        </is>
      </c>
      <c r="I49" s="15" t="inlineStr">
        <is>
          <t>ГПА 73</t>
        </is>
      </c>
      <c r="J49" s="15" t="inlineStr">
        <is>
          <t>АСУ,А и ТМ (КЦ № 7)</t>
        </is>
      </c>
      <c r="K49" s="15" t="n"/>
      <c r="L49" s="15" t="n">
        <v>12</v>
      </c>
      <c r="M49" s="3" t="inlineStr">
        <is>
          <t>2К26</t>
        </is>
      </c>
      <c r="N49" s="175" t="inlineStr">
        <is>
          <t>К</t>
        </is>
      </c>
      <c r="O49" s="173" t="n"/>
    </row>
    <row r="50" ht="22.5" customHeight="1" s="151">
      <c r="A50" s="15">
        <f>IF(B50&lt;&gt;"", COUNTA($B$2:B50), "")</f>
        <v/>
      </c>
      <c r="B50" s="280" t="inlineStr">
        <is>
          <t>Манометр технический</t>
        </is>
      </c>
      <c r="C50" s="175" t="inlineStr">
        <is>
          <t>МП4-УУ2</t>
        </is>
      </c>
      <c r="D50" s="76" t="inlineStr">
        <is>
          <t>7000140</t>
        </is>
      </c>
      <c r="E50" s="175" t="n"/>
      <c r="F50" s="70" t="inlineStr">
        <is>
          <t>0…16 МПа</t>
        </is>
      </c>
      <c r="G50" s="14" t="n">
        <v>1</v>
      </c>
      <c r="H50" s="175" t="inlineStr">
        <is>
          <t>P г после крана №1-1</t>
        </is>
      </c>
      <c r="I50" s="15" t="inlineStr">
        <is>
          <t>ГПА 73</t>
        </is>
      </c>
      <c r="J50" s="15" t="inlineStr">
        <is>
          <t>АСУ,А и ТМ (КЦ № 7)</t>
        </is>
      </c>
      <c r="K50" s="15" t="n"/>
      <c r="L50" s="15" t="n">
        <v>12</v>
      </c>
      <c r="M50" s="3" t="inlineStr">
        <is>
          <t>2К26</t>
        </is>
      </c>
      <c r="N50" s="175" t="inlineStr">
        <is>
          <t>К</t>
        </is>
      </c>
      <c r="O50" s="173" t="n"/>
    </row>
    <row r="51" ht="22.5" customHeight="1" s="151">
      <c r="A51" s="15">
        <f>IF(B51&lt;&gt;"", COUNTA($B$2:B51), "")</f>
        <v/>
      </c>
      <c r="B51" s="280" t="inlineStr">
        <is>
          <t>Манометр технический</t>
        </is>
      </c>
      <c r="C51" s="175" t="inlineStr">
        <is>
          <t>МП3-УУХЛ1</t>
        </is>
      </c>
      <c r="D51" s="76" t="inlineStr">
        <is>
          <t>212033564</t>
        </is>
      </c>
      <c r="E51" s="175" t="n">
        <v>2016</v>
      </c>
      <c r="F51" s="70" t="inlineStr">
        <is>
          <t>0…16 МПа</t>
        </is>
      </c>
      <c r="G51" s="14" t="n">
        <v>1.5</v>
      </c>
      <c r="H51" s="175" t="inlineStr">
        <is>
          <t>P г в ёмкости Е-1</t>
        </is>
      </c>
      <c r="I51" s="15" t="inlineStr">
        <is>
          <t>ГПА 73</t>
        </is>
      </c>
      <c r="J51" s="15" t="inlineStr">
        <is>
          <t>АСУ,А и ТМ (КЦ № 7)</t>
        </is>
      </c>
      <c r="K51" s="15" t="n"/>
      <c r="L51" s="15" t="n">
        <v>12</v>
      </c>
      <c r="M51" s="3" t="inlineStr">
        <is>
          <t>26ДЯУ</t>
        </is>
      </c>
      <c r="N51" s="175" t="inlineStr">
        <is>
          <t xml:space="preserve">П </t>
        </is>
      </c>
      <c r="O51" s="173" t="n"/>
    </row>
    <row r="52" ht="22.5" customHeight="1" s="151">
      <c r="A52" s="15">
        <f>IF(B52&lt;&gt;"", COUNTA($B$2:B52), "")</f>
        <v/>
      </c>
      <c r="B52" s="280" t="inlineStr">
        <is>
          <t>Манометр технический</t>
        </is>
      </c>
      <c r="C52" s="175" t="inlineStr">
        <is>
          <t>МП4-УУ2</t>
        </is>
      </c>
      <c r="D52" s="76" t="inlineStr">
        <is>
          <t>700024</t>
        </is>
      </c>
      <c r="E52" s="175" t="n"/>
      <c r="F52" s="70" t="inlineStr">
        <is>
          <t>0…16 МПа</t>
        </is>
      </c>
      <c r="G52" s="14" t="n">
        <v>1</v>
      </c>
      <c r="H52" s="175" t="inlineStr">
        <is>
          <t>P г до крана №1</t>
        </is>
      </c>
      <c r="I52" s="15" t="inlineStr">
        <is>
          <t>ГПА 73</t>
        </is>
      </c>
      <c r="J52" s="15" t="inlineStr">
        <is>
          <t>АСУ,А и ТМ (КЦ № 7)</t>
        </is>
      </c>
      <c r="K52" s="15" t="n"/>
      <c r="L52" s="15" t="n">
        <v>12</v>
      </c>
      <c r="M52" s="3" t="inlineStr">
        <is>
          <t>2К26</t>
        </is>
      </c>
      <c r="N52" s="175" t="inlineStr">
        <is>
          <t>К</t>
        </is>
      </c>
      <c r="O52" s="173" t="n"/>
    </row>
    <row r="53" ht="22.5" customHeight="1" s="151">
      <c r="A53" s="15">
        <f>IF(B53&lt;&gt;"", COUNTA($B$2:B53), "")</f>
        <v/>
      </c>
      <c r="B53" s="280" t="inlineStr">
        <is>
          <t>Манометр технический</t>
        </is>
      </c>
      <c r="C53" s="175" t="inlineStr">
        <is>
          <t>МП4-УУ2</t>
        </is>
      </c>
      <c r="D53" s="76" t="inlineStr">
        <is>
          <t>7000145</t>
        </is>
      </c>
      <c r="E53" s="175" t="n"/>
      <c r="F53" s="70" t="inlineStr">
        <is>
          <t>0…16 МПа</t>
        </is>
      </c>
      <c r="G53" s="14" t="n">
        <v>1</v>
      </c>
      <c r="H53" s="175" t="inlineStr">
        <is>
          <t>P г после крана №1</t>
        </is>
      </c>
      <c r="I53" s="15" t="inlineStr">
        <is>
          <t>ГПА 73</t>
        </is>
      </c>
      <c r="J53" s="15" t="inlineStr">
        <is>
          <t>АСУ,А и ТМ (КЦ № 7)</t>
        </is>
      </c>
      <c r="K53" s="15" t="n"/>
      <c r="L53" s="15" t="n">
        <v>12</v>
      </c>
      <c r="M53" s="3" t="inlineStr">
        <is>
          <t>2К26</t>
        </is>
      </c>
      <c r="N53" s="175" t="inlineStr">
        <is>
          <t>К</t>
        </is>
      </c>
      <c r="O53" s="173" t="n"/>
    </row>
    <row r="54" ht="22.5" customHeight="1" s="151">
      <c r="A54" s="15">
        <f>IF(B54&lt;&gt;"", COUNTA($B$2:B54), "")</f>
        <v/>
      </c>
      <c r="B54" s="280" t="inlineStr">
        <is>
          <t>Манометр технический</t>
        </is>
      </c>
      <c r="C54" s="175" t="inlineStr">
        <is>
          <t>МП4-УУ2</t>
        </is>
      </c>
      <c r="D54" s="76" t="inlineStr">
        <is>
          <t>700040</t>
        </is>
      </c>
      <c r="E54" s="175" t="n"/>
      <c r="F54" s="70" t="inlineStr">
        <is>
          <t>0…16 МПа</t>
        </is>
      </c>
      <c r="G54" s="14" t="n">
        <v>1</v>
      </c>
      <c r="H54" s="175" t="inlineStr">
        <is>
          <t>P г на входе в АВОГ</t>
        </is>
      </c>
      <c r="I54" s="15" t="inlineStr">
        <is>
          <t>ГПА 73</t>
        </is>
      </c>
      <c r="J54" s="15" t="inlineStr">
        <is>
          <t>АСУ,А и ТМ (КЦ № 7)</t>
        </is>
      </c>
      <c r="K54" s="15" t="n"/>
      <c r="L54" s="15" t="n">
        <v>12</v>
      </c>
      <c r="M54" s="3" t="inlineStr">
        <is>
          <t>2К26</t>
        </is>
      </c>
      <c r="N54" s="175" t="inlineStr">
        <is>
          <t>К</t>
        </is>
      </c>
      <c r="O54" s="173" t="n"/>
    </row>
    <row r="55" ht="22.5" customHeight="1" s="151">
      <c r="A55" s="15">
        <f>IF(B55&lt;&gt;"", COUNTA($B$2:B55), "")</f>
        <v/>
      </c>
      <c r="B55" s="280" t="inlineStr">
        <is>
          <t>Манометр технический</t>
        </is>
      </c>
      <c r="C55" s="175" t="inlineStr">
        <is>
          <t>МП4-УУ2</t>
        </is>
      </c>
      <c r="D55" s="175" t="n">
        <v>7000301</v>
      </c>
      <c r="E55" s="175" t="n"/>
      <c r="F55" s="70" t="inlineStr">
        <is>
          <t>0…16 МПа</t>
        </is>
      </c>
      <c r="G55" s="14" t="n">
        <v>1</v>
      </c>
      <c r="H55" s="175" t="inlineStr">
        <is>
          <t>P г на выходе из АВОГ</t>
        </is>
      </c>
      <c r="I55" s="15" t="inlineStr">
        <is>
          <t>ГПА 73</t>
        </is>
      </c>
      <c r="J55" s="15" t="inlineStr">
        <is>
          <t>АСУ,А и ТМ (КЦ № 7)</t>
        </is>
      </c>
      <c r="K55" s="15" t="n"/>
      <c r="L55" s="15" t="n">
        <v>12</v>
      </c>
      <c r="M55" s="3" t="inlineStr">
        <is>
          <t>2К26</t>
        </is>
      </c>
      <c r="N55" s="175" t="inlineStr">
        <is>
          <t>К</t>
        </is>
      </c>
      <c r="O55" s="173" t="n"/>
    </row>
    <row r="56" ht="22.5" customHeight="1" s="151">
      <c r="A56" s="15">
        <f>IF(B56&lt;&gt;"", COUNTA($B$2:B56), "")</f>
        <v/>
      </c>
      <c r="B56" s="280" t="inlineStr">
        <is>
          <t>Манометр технический</t>
        </is>
      </c>
      <c r="C56" s="175" t="inlineStr">
        <is>
          <t>МП4-УУ2</t>
        </is>
      </c>
      <c r="D56" s="17" t="inlineStr">
        <is>
          <t>700291</t>
        </is>
      </c>
      <c r="E56" s="15" t="n"/>
      <c r="F56" s="70" t="inlineStr">
        <is>
          <t>0…16 МПа</t>
        </is>
      </c>
      <c r="G56" s="14" t="n">
        <v>1</v>
      </c>
      <c r="H56" s="175" t="inlineStr">
        <is>
          <t>P г перед краном №2</t>
        </is>
      </c>
      <c r="I56" s="15" t="inlineStr">
        <is>
          <t>ГПА 73</t>
        </is>
      </c>
      <c r="J56" s="15" t="inlineStr">
        <is>
          <t>АСУ,А и ТМ (КЦ № 7)</t>
        </is>
      </c>
      <c r="K56" s="15" t="n"/>
      <c r="L56" s="15" t="n">
        <v>12</v>
      </c>
      <c r="M56" s="3" t="inlineStr">
        <is>
          <t>2К26</t>
        </is>
      </c>
      <c r="N56" s="175" t="inlineStr">
        <is>
          <t>К</t>
        </is>
      </c>
      <c r="O56" s="173" t="n"/>
    </row>
    <row r="57" ht="22.5" customHeight="1" s="151">
      <c r="A57" s="15">
        <f>IF(B57&lt;&gt;"", COUNTA($B$2:B57), "")</f>
        <v/>
      </c>
      <c r="B57" s="280" t="inlineStr">
        <is>
          <t>Манометр технический</t>
        </is>
      </c>
      <c r="C57" s="175" t="inlineStr">
        <is>
          <t>МП4-УУ2</t>
        </is>
      </c>
      <c r="D57" s="17" t="inlineStr">
        <is>
          <t>7000128</t>
        </is>
      </c>
      <c r="E57" s="15" t="n"/>
      <c r="F57" s="70" t="inlineStr">
        <is>
          <t>0…16 МПа</t>
        </is>
      </c>
      <c r="G57" s="14" t="n">
        <v>1</v>
      </c>
      <c r="H57" s="175" t="inlineStr">
        <is>
          <t>P г после крана №2</t>
        </is>
      </c>
      <c r="I57" s="15" t="inlineStr">
        <is>
          <t>ГПА 73</t>
        </is>
      </c>
      <c r="J57" s="15" t="inlineStr">
        <is>
          <t>АСУ,А и ТМ (КЦ № 7)</t>
        </is>
      </c>
      <c r="K57" s="15" t="n"/>
      <c r="L57" s="15" t="n">
        <v>12</v>
      </c>
      <c r="M57" s="3" t="inlineStr">
        <is>
          <t>2К26</t>
        </is>
      </c>
      <c r="N57" s="175" t="inlineStr">
        <is>
          <t>К</t>
        </is>
      </c>
      <c r="O57" s="173" t="n"/>
    </row>
    <row r="58" ht="22.5" customHeight="1" s="151">
      <c r="A58" s="15">
        <f>IF(B58&lt;&gt;"", COUNTA($B$2:B58), "")</f>
        <v/>
      </c>
      <c r="B58" s="280" t="inlineStr">
        <is>
          <t>Манометр технический</t>
        </is>
      </c>
      <c r="C58" s="175" t="inlineStr">
        <is>
          <t>МП3-УУ2</t>
        </is>
      </c>
      <c r="D58" s="14" t="n">
        <v>700002</v>
      </c>
      <c r="E58" s="14" t="n"/>
      <c r="F58" s="70" t="inlineStr">
        <is>
          <t>0…16 МПа</t>
        </is>
      </c>
      <c r="G58" s="14" t="n">
        <v>1.5</v>
      </c>
      <c r="H58" s="175" t="inlineStr">
        <is>
          <t>P г на входе установки</t>
        </is>
      </c>
      <c r="I58" s="15" t="inlineStr">
        <is>
          <t>АВОГ 73</t>
        </is>
      </c>
      <c r="J58" s="15" t="inlineStr">
        <is>
          <t>АСУ,А и ТМ (КЦ № 7)</t>
        </is>
      </c>
      <c r="K58" s="15" t="n"/>
      <c r="L58" s="15" t="n">
        <v>12</v>
      </c>
      <c r="M58" s="3" t="inlineStr">
        <is>
          <t>2К26</t>
        </is>
      </c>
      <c r="N58" s="175" t="inlineStr">
        <is>
          <t>К</t>
        </is>
      </c>
      <c r="O58" s="173" t="n"/>
    </row>
    <row r="59" ht="22.5" customHeight="1" s="151">
      <c r="A59" s="15">
        <f>IF(B59&lt;&gt;"", COUNTA($B$2:B59), "")</f>
        <v/>
      </c>
      <c r="B59" s="280" t="inlineStr">
        <is>
          <t>Манометр технический</t>
        </is>
      </c>
      <c r="C59" s="175" t="inlineStr">
        <is>
          <t>МП3-УУ2</t>
        </is>
      </c>
      <c r="D59" s="14" t="n">
        <v>700011</v>
      </c>
      <c r="E59" s="14" t="n"/>
      <c r="F59" s="70" t="inlineStr">
        <is>
          <t>0…16 МПа</t>
        </is>
      </c>
      <c r="G59" s="14" t="n">
        <v>1.5</v>
      </c>
      <c r="H59" s="175" t="inlineStr">
        <is>
          <t>P г на входе установки</t>
        </is>
      </c>
      <c r="I59" s="15" t="inlineStr">
        <is>
          <t>АВОГ 73</t>
        </is>
      </c>
      <c r="J59" s="15" t="inlineStr">
        <is>
          <t>АСУ,А и ТМ (КЦ № 7)</t>
        </is>
      </c>
      <c r="K59" s="15" t="n"/>
      <c r="L59" s="15" t="n">
        <v>12</v>
      </c>
      <c r="M59" s="3" t="inlineStr">
        <is>
          <t>2К26</t>
        </is>
      </c>
      <c r="N59" s="175" t="inlineStr">
        <is>
          <t>К</t>
        </is>
      </c>
      <c r="O59" s="173" t="n"/>
    </row>
    <row r="60" ht="22.5" customHeight="1" s="151">
      <c r="A60" s="15">
        <f>IF(B60&lt;&gt;"", COUNTA($B$2:B60), "")</f>
        <v/>
      </c>
      <c r="B60" s="280" t="inlineStr">
        <is>
          <t>Манометр технический</t>
        </is>
      </c>
      <c r="C60" s="175" t="inlineStr">
        <is>
          <t>МП3-УУ2</t>
        </is>
      </c>
      <c r="D60" s="17" t="inlineStr">
        <is>
          <t>700010</t>
        </is>
      </c>
      <c r="E60" s="14" t="n"/>
      <c r="F60" s="70" t="inlineStr">
        <is>
          <t>0…16 МПа</t>
        </is>
      </c>
      <c r="G60" s="14" t="n">
        <v>1.5</v>
      </c>
      <c r="H60" s="175" t="inlineStr">
        <is>
          <t>P г на входе установки</t>
        </is>
      </c>
      <c r="I60" s="15" t="inlineStr">
        <is>
          <t>АВОГ 73</t>
        </is>
      </c>
      <c r="J60" s="15" t="inlineStr">
        <is>
          <t>АСУ,А и ТМ (КЦ № 7)</t>
        </is>
      </c>
      <c r="K60" s="15" t="n"/>
      <c r="L60" s="15" t="n">
        <v>12</v>
      </c>
      <c r="M60" s="3" t="inlineStr">
        <is>
          <t>2К26</t>
        </is>
      </c>
      <c r="N60" s="175" t="inlineStr">
        <is>
          <t>К</t>
        </is>
      </c>
      <c r="O60" s="173" t="n"/>
    </row>
    <row r="61" ht="22.5" customHeight="1" s="151">
      <c r="A61" s="15">
        <f>IF(B61&lt;&gt;"", COUNTA($B$2:B61), "")</f>
        <v/>
      </c>
      <c r="B61" s="280" t="inlineStr">
        <is>
          <t>Манометр технический</t>
        </is>
      </c>
      <c r="C61" s="175" t="inlineStr">
        <is>
          <t>МП3-УУ2</t>
        </is>
      </c>
      <c r="D61" s="17" t="inlineStr">
        <is>
          <t>700008</t>
        </is>
      </c>
      <c r="E61" s="17" t="n"/>
      <c r="F61" s="70" t="inlineStr">
        <is>
          <t>0…16 МПа</t>
        </is>
      </c>
      <c r="G61" s="14" t="n">
        <v>1.5</v>
      </c>
      <c r="H61" s="175" t="inlineStr">
        <is>
          <t>P г на входе установки</t>
        </is>
      </c>
      <c r="I61" s="15" t="inlineStr">
        <is>
          <t>АВОГ 73</t>
        </is>
      </c>
      <c r="J61" s="15" t="inlineStr">
        <is>
          <t>АСУ,А и ТМ (КЦ № 7)</t>
        </is>
      </c>
      <c r="K61" s="15" t="n"/>
      <c r="L61" s="15" t="n">
        <v>12</v>
      </c>
      <c r="M61" s="3" t="inlineStr">
        <is>
          <t>2К26</t>
        </is>
      </c>
      <c r="N61" s="175" t="inlineStr">
        <is>
          <t>К</t>
        </is>
      </c>
      <c r="O61" s="173" t="n"/>
    </row>
    <row r="62" ht="22.5" customHeight="1" s="151">
      <c r="A62" s="15">
        <f>IF(B62&lt;&gt;"", COUNTA($B$2:B62), "")</f>
        <v/>
      </c>
      <c r="B62" s="280" t="inlineStr">
        <is>
          <t>Манометр технический</t>
        </is>
      </c>
      <c r="C62" s="175" t="inlineStr">
        <is>
          <t>МП3-УУ2</t>
        </is>
      </c>
      <c r="D62" s="15" t="n">
        <v>700007</v>
      </c>
      <c r="E62" s="15" t="n"/>
      <c r="F62" s="70" t="inlineStr">
        <is>
          <t>0…16 МПа</t>
        </is>
      </c>
      <c r="G62" s="14" t="n">
        <v>1.5</v>
      </c>
      <c r="H62" s="175" t="inlineStr">
        <is>
          <t>P г на входе установки</t>
        </is>
      </c>
      <c r="I62" s="15" t="inlineStr">
        <is>
          <t>АВОГ 73</t>
        </is>
      </c>
      <c r="J62" s="15" t="inlineStr">
        <is>
          <t>АСУ,А и ТМ (КЦ № 7)</t>
        </is>
      </c>
      <c r="K62" s="15" t="n"/>
      <c r="L62" s="15" t="n">
        <v>12</v>
      </c>
      <c r="M62" s="3" t="inlineStr">
        <is>
          <t>2К26</t>
        </is>
      </c>
      <c r="N62" s="175" t="inlineStr">
        <is>
          <t>К</t>
        </is>
      </c>
      <c r="O62" s="173" t="n"/>
    </row>
    <row r="63" ht="22.5" customHeight="1" s="151">
      <c r="A63" s="15">
        <f>IF(B63&lt;&gt;"", COUNTA($B$2:B63), "")</f>
        <v/>
      </c>
      <c r="B63" s="280" t="inlineStr">
        <is>
          <t>Манометр технический</t>
        </is>
      </c>
      <c r="C63" s="175" t="inlineStr">
        <is>
          <t>МП3-УУ2</t>
        </is>
      </c>
      <c r="D63" s="17" t="inlineStr">
        <is>
          <t>700014</t>
        </is>
      </c>
      <c r="E63" s="15" t="n"/>
      <c r="F63" s="70" t="inlineStr">
        <is>
          <t>0…16 МПа</t>
        </is>
      </c>
      <c r="G63" s="14" t="n">
        <v>1.5</v>
      </c>
      <c r="H63" s="175" t="inlineStr">
        <is>
          <t>P г на входе установки</t>
        </is>
      </c>
      <c r="I63" s="15" t="inlineStr">
        <is>
          <t>АВОГ 73</t>
        </is>
      </c>
      <c r="J63" s="15" t="inlineStr">
        <is>
          <t>АСУ,А и ТМ (КЦ № 7)</t>
        </is>
      </c>
      <c r="K63" s="15" t="n"/>
      <c r="L63" s="15" t="n">
        <v>12</v>
      </c>
      <c r="M63" s="3" t="inlineStr">
        <is>
          <t>2К26</t>
        </is>
      </c>
      <c r="N63" s="175" t="inlineStr">
        <is>
          <t>К</t>
        </is>
      </c>
      <c r="O63" s="173" t="n"/>
    </row>
    <row r="64" ht="22.5" customHeight="1" s="151">
      <c r="A64" s="15">
        <f>IF(B64&lt;&gt;"", COUNTA($B$2:B64), "")</f>
        <v/>
      </c>
      <c r="B64" s="280" t="inlineStr">
        <is>
          <t>Манометр технический</t>
        </is>
      </c>
      <c r="C64" s="175" t="inlineStr">
        <is>
          <t>МП3-УУ2</t>
        </is>
      </c>
      <c r="D64" s="14" t="n">
        <v>700012</v>
      </c>
      <c r="E64" s="175" t="n"/>
      <c r="F64" s="70" t="inlineStr">
        <is>
          <t>0…16 МПа</t>
        </is>
      </c>
      <c r="G64" s="14" t="n">
        <v>1.5</v>
      </c>
      <c r="H64" s="175" t="inlineStr">
        <is>
          <t>P г на входе установки</t>
        </is>
      </c>
      <c r="I64" s="15" t="inlineStr">
        <is>
          <t>АВОГ 73</t>
        </is>
      </c>
      <c r="J64" s="15" t="inlineStr">
        <is>
          <t>АСУ,А и ТМ (КЦ № 7)</t>
        </is>
      </c>
      <c r="K64" s="15" t="n"/>
      <c r="L64" s="15" t="n">
        <v>12</v>
      </c>
      <c r="M64" s="3" t="inlineStr">
        <is>
          <t>2К26</t>
        </is>
      </c>
      <c r="N64" s="175" t="inlineStr">
        <is>
          <t>К</t>
        </is>
      </c>
      <c r="O64" s="173" t="n"/>
    </row>
    <row r="65" ht="22.5" customHeight="1" s="151">
      <c r="A65" s="15">
        <f>IF(B65&lt;&gt;"", COUNTA($B$2:B65), "")</f>
        <v/>
      </c>
      <c r="B65" s="280" t="inlineStr">
        <is>
          <t>Манометр технический</t>
        </is>
      </c>
      <c r="C65" s="175" t="inlineStr">
        <is>
          <t>МП3-УУ2</t>
        </is>
      </c>
      <c r="D65" s="14" t="n">
        <v>700006</v>
      </c>
      <c r="E65" s="175" t="n"/>
      <c r="F65" s="70" t="inlineStr">
        <is>
          <t>0…16 МПа</t>
        </is>
      </c>
      <c r="G65" s="14" t="n">
        <v>1.5</v>
      </c>
      <c r="H65" s="175" t="inlineStr">
        <is>
          <t>P г на входе установки</t>
        </is>
      </c>
      <c r="I65" s="15" t="inlineStr">
        <is>
          <t>АВОГ 73</t>
        </is>
      </c>
      <c r="J65" s="15" t="inlineStr">
        <is>
          <t>АСУ,А и ТМ (КЦ № 7)</t>
        </is>
      </c>
      <c r="K65" s="15" t="n"/>
      <c r="L65" s="15" t="n">
        <v>12</v>
      </c>
      <c r="M65" s="3" t="inlineStr">
        <is>
          <t>2К26</t>
        </is>
      </c>
      <c r="N65" s="175" t="inlineStr">
        <is>
          <t>К</t>
        </is>
      </c>
      <c r="O65" s="173" t="n"/>
    </row>
    <row r="66" ht="22.5" customHeight="1" s="151">
      <c r="A66" s="15">
        <f>IF(B66&lt;&gt;"", COUNTA($B$2:B66), "")</f>
        <v/>
      </c>
      <c r="B66" s="280" t="inlineStr">
        <is>
          <t>Манометр технический</t>
        </is>
      </c>
      <c r="C66" s="175" t="inlineStr">
        <is>
          <t>МП4-УУ2</t>
        </is>
      </c>
      <c r="D66" s="14" t="n">
        <v>7000300</v>
      </c>
      <c r="E66" s="175" t="n"/>
      <c r="F66" s="70" t="inlineStr">
        <is>
          <t>0…16 МПа</t>
        </is>
      </c>
      <c r="G66" s="14" t="n">
        <v>1</v>
      </c>
      <c r="H66" s="175" t="inlineStr">
        <is>
          <t>P имп г крана 6к</t>
        </is>
      </c>
      <c r="I66" s="15" t="inlineStr">
        <is>
          <t>ГПА 73</t>
        </is>
      </c>
      <c r="J66" s="15" t="inlineStr">
        <is>
          <t>АСУ,А и ТМ (КЦ № 7)</t>
        </is>
      </c>
      <c r="K66" s="15" t="n"/>
      <c r="L66" s="15" t="n">
        <v>12</v>
      </c>
      <c r="M66" s="3" t="inlineStr">
        <is>
          <t>2К26</t>
        </is>
      </c>
      <c r="N66" s="175" t="inlineStr">
        <is>
          <t>К</t>
        </is>
      </c>
      <c r="O66" s="173" t="n"/>
    </row>
    <row r="67" ht="22.5" customHeight="1" s="151">
      <c r="A67" s="15">
        <f>IF(B67&lt;&gt;"", COUNTA($B$2:B67), "")</f>
        <v/>
      </c>
      <c r="B67" s="73" t="inlineStr">
        <is>
          <t>Термометр биметаллический</t>
        </is>
      </c>
      <c r="C67" s="14" t="inlineStr">
        <is>
          <t>ТБ-2р ухл2</t>
        </is>
      </c>
      <c r="D67" s="14" t="n">
        <v>7328</v>
      </c>
      <c r="E67" s="14" t="n"/>
      <c r="F67" s="70" t="inlineStr">
        <is>
          <t>0…100 °С</t>
        </is>
      </c>
      <c r="G67" s="14" t="n">
        <v>1.5</v>
      </c>
      <c r="H67" s="14" t="inlineStr">
        <is>
          <t>T в до фильтра</t>
        </is>
      </c>
      <c r="I67" s="15" t="inlineStr">
        <is>
          <t>ГПА 73</t>
        </is>
      </c>
      <c r="J67" s="15" t="inlineStr">
        <is>
          <t>АСУ,А и ТМ (КЦ № 7)</t>
        </is>
      </c>
      <c r="K67" s="15" t="n"/>
      <c r="L67" s="15" t="n">
        <v>24</v>
      </c>
      <c r="M67" s="3" t="inlineStr">
        <is>
          <t>2К26</t>
        </is>
      </c>
      <c r="N67" s="175" t="inlineStr">
        <is>
          <t>К</t>
        </is>
      </c>
      <c r="O67" s="173" t="n"/>
    </row>
    <row r="68" ht="22.5" customHeight="1" s="151">
      <c r="A68" s="15">
        <f>IF(B68&lt;&gt;"", COUNTA($B$2:B68), "")</f>
        <v/>
      </c>
      <c r="B68" s="73" t="inlineStr">
        <is>
          <t>Термометр биметаллический</t>
        </is>
      </c>
      <c r="C68" s="14" t="inlineStr">
        <is>
          <t>ТБ-2</t>
        </is>
      </c>
      <c r="D68" s="14" t="n">
        <v>8538</v>
      </c>
      <c r="E68" s="15" t="n"/>
      <c r="F68" s="32" t="inlineStr">
        <is>
          <t>-50…100 °С</t>
        </is>
      </c>
      <c r="G68" s="14" t="n">
        <v>1</v>
      </c>
      <c r="H68" s="14" t="inlineStr">
        <is>
          <t>T г на выходе установки</t>
        </is>
      </c>
      <c r="I68" s="15" t="inlineStr">
        <is>
          <t>АВОГ 73</t>
        </is>
      </c>
      <c r="J68" s="15" t="inlineStr">
        <is>
          <t>АСУ,А и ТМ (КЦ № 7)</t>
        </is>
      </c>
      <c r="K68" s="15" t="n"/>
      <c r="L68" s="15" t="n">
        <v>24</v>
      </c>
      <c r="M68" s="3" t="inlineStr">
        <is>
          <t>2к26</t>
        </is>
      </c>
      <c r="N68" s="175" t="inlineStr">
        <is>
          <t>К</t>
        </is>
      </c>
      <c r="O68" s="173" t="n"/>
    </row>
    <row r="69" ht="22.5" customHeight="1" s="151">
      <c r="A69" s="15">
        <f>IF(B69&lt;&gt;"", COUNTA($B$2:B69), "")</f>
        <v/>
      </c>
      <c r="B69" s="73" t="inlineStr">
        <is>
          <t>Термометр биметаллический</t>
        </is>
      </c>
      <c r="C69" s="14" t="inlineStr">
        <is>
          <t>ТБ-2</t>
        </is>
      </c>
      <c r="D69" s="14" t="n">
        <v>8577</v>
      </c>
      <c r="E69" s="15" t="n"/>
      <c r="F69" s="32" t="inlineStr">
        <is>
          <t>-50…100 °С</t>
        </is>
      </c>
      <c r="G69" s="14" t="n">
        <v>1</v>
      </c>
      <c r="H69" s="14" t="inlineStr">
        <is>
          <t>T г на выходе установки</t>
        </is>
      </c>
      <c r="I69" s="15" t="inlineStr">
        <is>
          <t>АВОГ 73</t>
        </is>
      </c>
      <c r="J69" s="15" t="inlineStr">
        <is>
          <t>АСУ,А и ТМ (КЦ № 7)</t>
        </is>
      </c>
      <c r="K69" s="15" t="n"/>
      <c r="L69" s="15" t="n">
        <v>24</v>
      </c>
      <c r="M69" s="3" t="inlineStr">
        <is>
          <t>2к26</t>
        </is>
      </c>
      <c r="N69" s="175" t="inlineStr">
        <is>
          <t>К</t>
        </is>
      </c>
      <c r="O69" s="173" t="n"/>
    </row>
    <row r="70" ht="22.5" customHeight="1" s="151">
      <c r="A70" s="15">
        <f>IF(B70&lt;&gt;"", COUNTA($B$2:B70), "")</f>
        <v/>
      </c>
      <c r="B70" s="73" t="inlineStr">
        <is>
          <t>Термометр биметаллический</t>
        </is>
      </c>
      <c r="C70" s="14" t="inlineStr">
        <is>
          <t>ТБ-2</t>
        </is>
      </c>
      <c r="D70" s="14" t="n">
        <v>8540</v>
      </c>
      <c r="E70" s="15" t="n"/>
      <c r="F70" s="32" t="inlineStr">
        <is>
          <t>-50…100 °С</t>
        </is>
      </c>
      <c r="G70" s="14" t="n">
        <v>1</v>
      </c>
      <c r="H70" s="14" t="inlineStr">
        <is>
          <t>T г на выходе установки</t>
        </is>
      </c>
      <c r="I70" s="15" t="inlineStr">
        <is>
          <t>АВОГ 73</t>
        </is>
      </c>
      <c r="J70" s="15" t="inlineStr">
        <is>
          <t>АСУ,А и ТМ (КЦ № 7)</t>
        </is>
      </c>
      <c r="K70" s="15" t="n"/>
      <c r="L70" s="15" t="n">
        <v>24</v>
      </c>
      <c r="M70" s="3" t="inlineStr">
        <is>
          <t>2к26</t>
        </is>
      </c>
      <c r="N70" s="175" t="inlineStr">
        <is>
          <t>К</t>
        </is>
      </c>
      <c r="O70" s="173" t="n"/>
    </row>
    <row r="71" ht="22.5" customHeight="1" s="151">
      <c r="A71" s="15">
        <f>IF(B71&lt;&gt;"", COUNTA($B$2:B71), "")</f>
        <v/>
      </c>
      <c r="B71" s="73" t="inlineStr">
        <is>
          <t>Термометр биметаллический</t>
        </is>
      </c>
      <c r="C71" s="14" t="inlineStr">
        <is>
          <t>ТБ-2</t>
        </is>
      </c>
      <c r="D71" s="14" t="n">
        <v>8562</v>
      </c>
      <c r="E71" s="15" t="n"/>
      <c r="F71" s="32" t="inlineStr">
        <is>
          <t>-50…100 °С</t>
        </is>
      </c>
      <c r="G71" s="14" t="n">
        <v>1</v>
      </c>
      <c r="H71" s="14" t="inlineStr">
        <is>
          <t>T г на выходе установки</t>
        </is>
      </c>
      <c r="I71" s="15" t="inlineStr">
        <is>
          <t>АВОГ 73</t>
        </is>
      </c>
      <c r="J71" s="15" t="inlineStr">
        <is>
          <t>АСУ,А и ТМ (КЦ № 7)</t>
        </is>
      </c>
      <c r="K71" s="15" t="n"/>
      <c r="L71" s="15" t="n">
        <v>24</v>
      </c>
      <c r="M71" s="3" t="inlineStr">
        <is>
          <t>2к26</t>
        </is>
      </c>
      <c r="N71" s="175" t="inlineStr">
        <is>
          <t>К</t>
        </is>
      </c>
      <c r="O71" s="173" t="n"/>
    </row>
    <row r="72" ht="22.5" customHeight="1" s="151">
      <c r="A72" s="15">
        <f>IF(B72&lt;&gt;"", COUNTA($B$2:B72), "")</f>
        <v/>
      </c>
      <c r="B72" s="73" t="inlineStr">
        <is>
          <t>Термометр биметаллический</t>
        </is>
      </c>
      <c r="C72" s="14" t="inlineStr">
        <is>
          <t>ТБ-2</t>
        </is>
      </c>
      <c r="D72" s="14" t="n">
        <v>8531</v>
      </c>
      <c r="E72" s="15" t="n"/>
      <c r="F72" s="32" t="inlineStr">
        <is>
          <t>-50…100 °С</t>
        </is>
      </c>
      <c r="G72" s="14" t="n">
        <v>1</v>
      </c>
      <c r="H72" s="14" t="inlineStr">
        <is>
          <t>T г на выходе установки</t>
        </is>
      </c>
      <c r="I72" s="15" t="inlineStr">
        <is>
          <t>АВОГ 73</t>
        </is>
      </c>
      <c r="J72" s="15" t="inlineStr">
        <is>
          <t>АСУ,А и ТМ (КЦ № 7)</t>
        </is>
      </c>
      <c r="K72" s="15" t="n"/>
      <c r="L72" s="15" t="n">
        <v>24</v>
      </c>
      <c r="M72" s="3" t="inlineStr">
        <is>
          <t>2к26</t>
        </is>
      </c>
      <c r="N72" s="175" t="inlineStr">
        <is>
          <t>К</t>
        </is>
      </c>
      <c r="O72" s="173" t="n"/>
    </row>
    <row r="73" ht="22.5" customHeight="1" s="151">
      <c r="A73" s="15">
        <f>IF(B73&lt;&gt;"", COUNTA($B$2:B73), "")</f>
        <v/>
      </c>
      <c r="B73" s="73" t="inlineStr">
        <is>
          <t>Термометр биметаллический</t>
        </is>
      </c>
      <c r="C73" s="14" t="inlineStr">
        <is>
          <t>ТБ-2</t>
        </is>
      </c>
      <c r="D73" s="14" t="n">
        <v>8561</v>
      </c>
      <c r="E73" s="14" t="n"/>
      <c r="F73" s="32" t="inlineStr">
        <is>
          <t>-50…100 °С</t>
        </is>
      </c>
      <c r="G73" s="14" t="n">
        <v>1</v>
      </c>
      <c r="H73" s="14" t="inlineStr">
        <is>
          <t>T г на выходе установки</t>
        </is>
      </c>
      <c r="I73" s="15" t="inlineStr">
        <is>
          <t>АВОГ 73</t>
        </is>
      </c>
      <c r="J73" s="15" t="inlineStr">
        <is>
          <t>АСУ,А и ТМ (КЦ № 7)</t>
        </is>
      </c>
      <c r="K73" s="15" t="n"/>
      <c r="L73" s="15" t="n">
        <v>24</v>
      </c>
      <c r="M73" s="3" t="inlineStr">
        <is>
          <t>2к26</t>
        </is>
      </c>
      <c r="N73" s="175" t="inlineStr">
        <is>
          <t>К</t>
        </is>
      </c>
      <c r="O73" s="173" t="n"/>
    </row>
    <row r="74" ht="22.5" customHeight="1" s="151">
      <c r="A74" s="15">
        <f>IF(B74&lt;&gt;"", COUNTA($B$2:B74), "")</f>
        <v/>
      </c>
      <c r="B74" s="73" t="inlineStr">
        <is>
          <t>Термометр биметаллический</t>
        </is>
      </c>
      <c r="C74" s="14" t="inlineStr">
        <is>
          <t>ТБ-2</t>
        </is>
      </c>
      <c r="D74" s="14" t="n">
        <v>8526</v>
      </c>
      <c r="E74" s="14" t="n"/>
      <c r="F74" s="32" t="inlineStr">
        <is>
          <t>-50…100 °С</t>
        </is>
      </c>
      <c r="G74" s="14" t="n">
        <v>1</v>
      </c>
      <c r="H74" s="14" t="inlineStr">
        <is>
          <t>T г на выходе установки</t>
        </is>
      </c>
      <c r="I74" s="15" t="inlineStr">
        <is>
          <t>АВОГ 73</t>
        </is>
      </c>
      <c r="J74" s="15" t="inlineStr">
        <is>
          <t>АСУ,А и ТМ (КЦ № 7)</t>
        </is>
      </c>
      <c r="K74" s="15" t="n"/>
      <c r="L74" s="15" t="n">
        <v>24</v>
      </c>
      <c r="M74" s="3" t="inlineStr">
        <is>
          <t>2к26</t>
        </is>
      </c>
      <c r="N74" s="175" t="inlineStr">
        <is>
          <t>К</t>
        </is>
      </c>
      <c r="O74" s="173" t="n"/>
    </row>
    <row r="75" ht="22.5" customHeight="1" s="151">
      <c r="A75" s="15">
        <f>IF(B75&lt;&gt;"", COUNTA($B$2:B75), "")</f>
        <v/>
      </c>
      <c r="B75" s="73" t="inlineStr">
        <is>
          <t>Термометр биметаллический</t>
        </is>
      </c>
      <c r="C75" s="14" t="inlineStr">
        <is>
          <t>ТБ-2</t>
        </is>
      </c>
      <c r="D75" s="14" t="n">
        <v>8558</v>
      </c>
      <c r="E75" s="14" t="n"/>
      <c r="F75" s="32" t="inlineStr">
        <is>
          <t>-50…100 °С</t>
        </is>
      </c>
      <c r="G75" s="14" t="n">
        <v>1</v>
      </c>
      <c r="H75" s="14" t="inlineStr">
        <is>
          <t>T г на выходе установки</t>
        </is>
      </c>
      <c r="I75" s="15" t="inlineStr">
        <is>
          <t>АВОГ 73</t>
        </is>
      </c>
      <c r="J75" s="15" t="inlineStr">
        <is>
          <t>АСУ,А и ТМ (КЦ № 7)</t>
        </is>
      </c>
      <c r="K75" s="15" t="n"/>
      <c r="L75" s="15" t="n">
        <v>24</v>
      </c>
      <c r="M75" s="3" t="inlineStr">
        <is>
          <t>2к26</t>
        </is>
      </c>
      <c r="N75" s="175" t="inlineStr">
        <is>
          <t>К</t>
        </is>
      </c>
      <c r="O75" s="173" t="n"/>
    </row>
    <row r="76" ht="22.5" customHeight="1" s="151">
      <c r="A76" s="15">
        <f>IF(B76&lt;&gt;"", COUNTA($B$2:B76), "")</f>
        <v/>
      </c>
      <c r="B76" s="175" t="inlineStr">
        <is>
          <t xml:space="preserve"> Расходомер</t>
        </is>
      </c>
      <c r="C76" s="14" t="inlineStr">
        <is>
          <t>Yokogawa D-79664</t>
        </is>
      </c>
      <c r="D76" s="175" t="inlineStr">
        <is>
          <t>D1U302278</t>
        </is>
      </c>
      <c r="E76" s="175" t="n">
        <v>2018</v>
      </c>
      <c r="F76" s="172" t="inlineStr">
        <is>
          <t>1200 м3/ч</t>
        </is>
      </c>
      <c r="G76" s="95" t="n"/>
      <c r="H76" s="175" t="inlineStr">
        <is>
          <t>Qбг на входе в ГДУ ПКВ</t>
        </is>
      </c>
      <c r="I76" s="175" t="n"/>
      <c r="J76" s="41" t="inlineStr">
        <is>
          <t>АСУ,А и ТМ (КЦ № 7)</t>
        </is>
      </c>
      <c r="K76" s="179" t="n"/>
      <c r="L76" s="179" t="n"/>
      <c r="M76" s="179" t="n"/>
      <c r="N76" s="179" t="n"/>
      <c r="O76" s="173" t="n"/>
    </row>
    <row r="77" ht="22.5" customHeight="1" s="151">
      <c r="A77" s="15">
        <f>IF(B77&lt;&gt;"", COUNTA($B$2:B77), "")</f>
        <v/>
      </c>
      <c r="B77" s="175" t="inlineStr">
        <is>
          <t xml:space="preserve"> Расходомер</t>
        </is>
      </c>
      <c r="C77" s="14" t="inlineStr">
        <is>
          <t>Yokogawa D-79664</t>
        </is>
      </c>
      <c r="D77" s="175" t="inlineStr">
        <is>
          <t>D1U302282</t>
        </is>
      </c>
      <c r="E77" s="175" t="n">
        <v>2018</v>
      </c>
      <c r="F77" s="172" t="inlineStr">
        <is>
          <t>1200 м3/ч</t>
        </is>
      </c>
      <c r="G77" s="95" t="n"/>
      <c r="H77" s="175" t="inlineStr">
        <is>
          <t>Qбг на входе в ГДУ ЗКВ</t>
        </is>
      </c>
      <c r="I77" s="175" t="n"/>
      <c r="J77" s="41" t="inlineStr">
        <is>
          <t>АСУ,А и ТМ (КЦ № 7)</t>
        </is>
      </c>
      <c r="K77" s="179" t="n"/>
      <c r="L77" s="179" t="n"/>
      <c r="M77" s="179" t="n"/>
      <c r="N77" s="179" t="n"/>
      <c r="O77" s="173" t="n"/>
    </row>
    <row r="78" ht="22.5" customHeight="1" s="151">
      <c r="A78" s="15">
        <f>IF(B78&lt;&gt;"", COUNTA($B$2:B78), "")</f>
        <v/>
      </c>
      <c r="B78" s="175" t="inlineStr">
        <is>
          <t xml:space="preserve"> Расходомер</t>
        </is>
      </c>
      <c r="C78" s="14" t="inlineStr">
        <is>
          <t>Yokogawa D-79664</t>
        </is>
      </c>
      <c r="D78" s="175" t="inlineStr">
        <is>
          <t>D1U402353</t>
        </is>
      </c>
      <c r="E78" s="175" t="n">
        <v>2018</v>
      </c>
      <c r="F78" s="172" t="inlineStr">
        <is>
          <t>20 м3/ч</t>
        </is>
      </c>
      <c r="G78" s="95" t="n"/>
      <c r="H78" s="175" t="inlineStr">
        <is>
          <t xml:space="preserve">Qбг в линии утечек 1-ой ступени ГДУ ПКВ  </t>
        </is>
      </c>
      <c r="I78" s="175" t="n"/>
      <c r="J78" s="41" t="inlineStr">
        <is>
          <t>АСУ,А и ТМ (КЦ № 7)</t>
        </is>
      </c>
      <c r="K78" s="179" t="n"/>
      <c r="L78" s="179" t="n"/>
      <c r="M78" s="179" t="n"/>
      <c r="N78" s="179" t="n"/>
      <c r="O78" s="173" t="n"/>
    </row>
    <row r="79" ht="22.5" customHeight="1" s="151">
      <c r="A79" s="15">
        <f>IF(B79&lt;&gt;"", COUNTA($B$2:B79), "")</f>
        <v/>
      </c>
      <c r="B79" s="175" t="inlineStr">
        <is>
          <t xml:space="preserve"> Расходомер</t>
        </is>
      </c>
      <c r="C79" s="14" t="inlineStr">
        <is>
          <t>Yokogawa D-79664</t>
        </is>
      </c>
      <c r="D79" s="175" t="inlineStr">
        <is>
          <t>D1U402349</t>
        </is>
      </c>
      <c r="E79" s="175" t="n">
        <v>2018</v>
      </c>
      <c r="F79" s="172" t="inlineStr">
        <is>
          <t>20 м3/ч</t>
        </is>
      </c>
      <c r="G79" s="95" t="n"/>
      <c r="H79" s="175" t="inlineStr">
        <is>
          <t xml:space="preserve">Qбг в линии утечек 1-ой ступени ГДУ ЗКВ  </t>
        </is>
      </c>
      <c r="I79" s="175" t="n"/>
      <c r="J79" s="41" t="inlineStr">
        <is>
          <t>АСУ,А и ТМ (КЦ № 7)</t>
        </is>
      </c>
      <c r="K79" s="179" t="n"/>
      <c r="L79" s="179" t="n"/>
      <c r="M79" s="179" t="n"/>
      <c r="N79" s="179" t="n"/>
      <c r="O79" s="173" t="n"/>
    </row>
    <row r="80" ht="22.5" customHeight="1" s="151">
      <c r="A80" s="15">
        <f>IF(B80&lt;&gt;"", COUNTA($B$2:B80), "")</f>
        <v/>
      </c>
      <c r="B80" s="73" t="inlineStr">
        <is>
          <t>Расходомер</t>
        </is>
      </c>
      <c r="C80" s="14" t="inlineStr">
        <is>
          <t>Turbo Flow UFG-F</t>
        </is>
      </c>
      <c r="D80" s="14" t="n">
        <v>90652</v>
      </c>
      <c r="E80" s="14" t="n">
        <v>2018</v>
      </c>
      <c r="F80" s="172" t="inlineStr">
        <is>
          <t>2,2…440 м3/ч</t>
        </is>
      </c>
      <c r="G80" s="18" t="n">
        <v>0.02</v>
      </c>
      <c r="H80" s="14" t="inlineStr">
        <is>
          <t>Расход топл. газа</t>
        </is>
      </c>
      <c r="I80" s="15" t="inlineStr">
        <is>
          <t>ГПА 73</t>
        </is>
      </c>
      <c r="J80" s="15" t="inlineStr">
        <is>
          <t>АСУ,А и ТМ (КЦ № 7)</t>
        </is>
      </c>
      <c r="K80" s="15" t="n"/>
      <c r="L80" s="15" t="n">
        <v>60</v>
      </c>
      <c r="M80" s="3" t="n"/>
      <c r="N80" s="175" t="n"/>
      <c r="O80" s="176" t="n"/>
    </row>
    <row r="81" ht="22.5" customHeight="1" s="151">
      <c r="A81" s="15">
        <f>IF(B81&lt;&gt;"", COUNTA($B$2:B81), "")</f>
        <v/>
      </c>
      <c r="B81" s="76" t="inlineStr">
        <is>
          <t>Корректор объёма газа</t>
        </is>
      </c>
      <c r="C81" s="14" t="inlineStr">
        <is>
          <t>ЕК270</t>
        </is>
      </c>
      <c r="D81" s="14" t="n">
        <v>1119090071</v>
      </c>
      <c r="E81" s="15" t="n">
        <v>2019</v>
      </c>
      <c r="F81" s="3" t="n"/>
      <c r="G81" s="14" t="n"/>
      <c r="H81" s="14" t="inlineStr">
        <is>
          <t>коммерческий учет газа</t>
        </is>
      </c>
      <c r="I81" s="15" t="inlineStr">
        <is>
          <t>АВГМ 73</t>
        </is>
      </c>
      <c r="J81" s="15" t="inlineStr">
        <is>
          <t>АСУ,А и ТМ (КЦ № 7)</t>
        </is>
      </c>
      <c r="K81" s="15" t="n"/>
      <c r="L81" s="15" t="n">
        <v>60</v>
      </c>
      <c r="M81" s="3" t="n"/>
      <c r="N81" s="175" t="n"/>
      <c r="O81" s="176" t="n"/>
    </row>
    <row r="82" ht="22.5" customHeight="1" s="151">
      <c r="A82" s="15">
        <f>IF(B82&lt;&gt;"", COUNTA($B$2:B82), "")</f>
        <v/>
      </c>
      <c r="B82" s="280" t="inlineStr">
        <is>
          <t>Комплекс для измерения количества газа</t>
        </is>
      </c>
      <c r="C82" s="14" t="inlineStr">
        <is>
          <t>СГ-ЭК-Вз-Р-0,2-160/1,6</t>
        </is>
      </c>
      <c r="D82" s="17" t="inlineStr">
        <is>
          <t>1519090066</t>
        </is>
      </c>
      <c r="E82" s="15" t="n">
        <v>2019</v>
      </c>
      <c r="F82" s="3" t="n"/>
      <c r="G82" s="14" t="n"/>
      <c r="H82" s="14" t="inlineStr">
        <is>
          <t>коммерческий учет газа</t>
        </is>
      </c>
      <c r="I82" s="15" t="inlineStr">
        <is>
          <t>АВГМ 73</t>
        </is>
      </c>
      <c r="J82" s="15" t="inlineStr">
        <is>
          <t>АСУ,А и ТМ (КЦ № 7)</t>
        </is>
      </c>
      <c r="K82" s="15" t="n"/>
      <c r="L82" s="15" t="n">
        <v>60</v>
      </c>
      <c r="M82" s="3" t="n"/>
      <c r="N82" s="175" t="n"/>
      <c r="O82" s="176" t="n"/>
    </row>
    <row r="83" ht="22.5" customHeight="1" s="151">
      <c r="A83" s="15">
        <f>IF(B83&lt;&gt;"", COUNTA($B$2:B83), "")</f>
        <v/>
      </c>
      <c r="B83" s="280" t="inlineStr">
        <is>
          <t>Счётчик газа</t>
        </is>
      </c>
      <c r="C83" s="14" t="inlineStr">
        <is>
          <t>RVG G100</t>
        </is>
      </c>
      <c r="D83" s="17" t="inlineStr">
        <is>
          <t>1219090048</t>
        </is>
      </c>
      <c r="E83" s="15" t="n">
        <v>2019</v>
      </c>
      <c r="F83" s="172" t="inlineStr">
        <is>
          <t>3…160 м3/ч</t>
        </is>
      </c>
      <c r="G83" s="18" t="n">
        <v>0.01</v>
      </c>
      <c r="H83" s="14" t="inlineStr">
        <is>
          <t>коммерческий учет газа</t>
        </is>
      </c>
      <c r="I83" s="15" t="inlineStr">
        <is>
          <t>АВГМ 73</t>
        </is>
      </c>
      <c r="J83" s="15" t="inlineStr">
        <is>
          <t>АСУ,А и ТМ (КЦ № 7)</t>
        </is>
      </c>
      <c r="K83" s="15" t="n"/>
      <c r="L83" s="15" t="n">
        <v>60</v>
      </c>
      <c r="M83" s="3" t="n"/>
      <c r="N83" s="175" t="n"/>
      <c r="O83" s="176" t="n"/>
    </row>
    <row r="84" ht="22.5" customHeight="1" s="151">
      <c r="A84" s="15">
        <f>IF(B84&lt;&gt;"", COUNTA($B$2:B84), "")</f>
        <v/>
      </c>
      <c r="B84" s="280" t="inlineStr">
        <is>
          <t>Газоанализатор оптический</t>
        </is>
      </c>
      <c r="C84" s="198" t="inlineStr">
        <is>
          <t>ОГС-ПГП/М</t>
        </is>
      </c>
      <c r="D84" s="17" t="inlineStr">
        <is>
          <t>15335</t>
        </is>
      </c>
      <c r="E84" s="175" t="n">
        <v>2021</v>
      </c>
      <c r="F84" s="3" t="n"/>
      <c r="G84" s="14" t="n"/>
      <c r="H84" s="14" t="inlineStr">
        <is>
          <t>Измерение уровня загазованности</t>
        </is>
      </c>
      <c r="I84" s="15" t="inlineStr">
        <is>
          <t>АВГМ 73</t>
        </is>
      </c>
      <c r="J84" s="15" t="inlineStr">
        <is>
          <t>АСУ,А и ТМ (КЦ № 7)</t>
        </is>
      </c>
      <c r="K84" s="15" t="n"/>
      <c r="L84" s="15" t="n">
        <v>60</v>
      </c>
      <c r="M84" s="3" t="n"/>
      <c r="N84" s="175" t="n"/>
      <c r="O84" s="173" t="n"/>
    </row>
    <row r="85" ht="22.5" customHeight="1" s="151">
      <c r="A85" s="15">
        <f>IF(B85&lt;&gt;"", COUNTA($B$2:B85), "")</f>
        <v/>
      </c>
      <c r="B85" s="280" t="inlineStr">
        <is>
          <t>Газоанализатор оптический</t>
        </is>
      </c>
      <c r="C85" s="177" t="inlineStr">
        <is>
          <t>ОГС-ПГП/М</t>
        </is>
      </c>
      <c r="D85" s="17" t="inlineStr">
        <is>
          <t>15330</t>
        </is>
      </c>
      <c r="E85" s="175" t="n">
        <v>2021</v>
      </c>
      <c r="F85" s="3" t="n"/>
      <c r="G85" s="14" t="n"/>
      <c r="H85" s="14" t="inlineStr">
        <is>
          <t>Измерение уровня загазованности</t>
        </is>
      </c>
      <c r="I85" s="15" t="inlineStr">
        <is>
          <t>АВГМ 73</t>
        </is>
      </c>
      <c r="J85" s="15" t="inlineStr">
        <is>
          <t>АСУ,А и ТМ (КЦ № 7)</t>
        </is>
      </c>
      <c r="K85" s="15" t="n"/>
      <c r="L85" s="15" t="n">
        <v>60</v>
      </c>
      <c r="M85" s="3" t="n"/>
      <c r="N85" s="175" t="n"/>
      <c r="O85" s="173" t="n"/>
    </row>
    <row r="86" ht="22.5" customHeight="1" s="151">
      <c r="A86" s="15">
        <f>IF(B86&lt;&gt;"", COUNTA($B$2:B86), "")</f>
        <v/>
      </c>
      <c r="B86" s="280" t="inlineStr">
        <is>
          <t>Преобразователь давления</t>
        </is>
      </c>
      <c r="C86" s="14" t="inlineStr">
        <is>
          <t>ПД100И-ДИ 0,0016-811-1,0</t>
        </is>
      </c>
      <c r="D86" s="17" t="inlineStr">
        <is>
          <t>74625190446018249</t>
        </is>
      </c>
      <c r="E86" s="175" t="n"/>
      <c r="F86" s="70" t="inlineStr">
        <is>
          <t>0…1,6 кПа</t>
        </is>
      </c>
      <c r="G86" s="14" t="n"/>
      <c r="H86" s="14" t="inlineStr">
        <is>
          <t>Давление воздуха в воздуховоде на ангар ГПА</t>
        </is>
      </c>
      <c r="I86" s="15" t="inlineStr">
        <is>
          <t>АВГМ 73</t>
        </is>
      </c>
      <c r="J86" s="15" t="inlineStr">
        <is>
          <t>АСУ,А и ТМ (КЦ № 7)</t>
        </is>
      </c>
      <c r="K86" s="15" t="n"/>
      <c r="L86" s="15" t="n"/>
      <c r="M86" s="3" t="n"/>
      <c r="N86" s="175" t="n"/>
      <c r="O86" s="173" t="n"/>
    </row>
    <row r="87" ht="22.5" customHeight="1" s="151">
      <c r="A87" s="15">
        <f>IF(B87&lt;&gt;"", COUNTA($B$2:B87), "")</f>
        <v/>
      </c>
      <c r="B87" s="280" t="inlineStr">
        <is>
          <t>Термометр сопротивления</t>
        </is>
      </c>
      <c r="C87" s="14" t="inlineStr">
        <is>
          <t>ДТС145-PT100.В3.180</t>
        </is>
      </c>
      <c r="D87" s="17" t="inlineStr">
        <is>
          <t>52199190244045438</t>
        </is>
      </c>
      <c r="E87" s="175" t="n">
        <v>2019</v>
      </c>
      <c r="F87" s="32" t="inlineStr">
        <is>
          <t>-60…500 °С</t>
        </is>
      </c>
      <c r="G87" s="14" t="n"/>
      <c r="H87" s="14" t="inlineStr">
        <is>
          <t>Температура нагретого воздуха</t>
        </is>
      </c>
      <c r="I87" s="15" t="inlineStr">
        <is>
          <t>АВГМ 73</t>
        </is>
      </c>
      <c r="J87" s="15" t="inlineStr">
        <is>
          <t>АСУ,А и ТМ (КЦ № 7)</t>
        </is>
      </c>
      <c r="K87" s="15" t="n"/>
      <c r="L87" s="15" t="n"/>
      <c r="M87" s="3" t="n"/>
      <c r="N87" s="175" t="n"/>
      <c r="O87" s="173" t="n"/>
    </row>
    <row r="88" ht="22.5" customHeight="1" s="151">
      <c r="A88" s="15">
        <f>IF(B88&lt;&gt;"", COUNTA($B$2:B88), "")</f>
        <v/>
      </c>
      <c r="B88" s="280" t="inlineStr">
        <is>
          <t>Преобразователь давления</t>
        </is>
      </c>
      <c r="C88" s="14" t="inlineStr">
        <is>
          <t>ПД100-ДИ 0,04-111-1,0</t>
        </is>
      </c>
      <c r="D88" s="17" t="inlineStr">
        <is>
          <t>42770190446018212</t>
        </is>
      </c>
      <c r="E88" s="175" t="n"/>
      <c r="F88" s="70" t="inlineStr">
        <is>
          <t>0…40 кПа</t>
        </is>
      </c>
      <c r="G88" s="173" t="n"/>
      <c r="H88" s="14" t="inlineStr">
        <is>
          <t>Давление газа после регулятора давления</t>
        </is>
      </c>
      <c r="I88" s="15" t="inlineStr">
        <is>
          <t>АВГМ 73</t>
        </is>
      </c>
      <c r="J88" s="15" t="inlineStr">
        <is>
          <t>АСУ,А и ТМ (КЦ № 7)</t>
        </is>
      </c>
      <c r="K88" s="15" t="n"/>
      <c r="L88" s="15" t="n">
        <v>60</v>
      </c>
      <c r="M88" s="3" t="n"/>
      <c r="N88" s="175" t="n"/>
      <c r="O88" s="173" t="n"/>
    </row>
    <row r="89" ht="22.5" customHeight="1" s="151">
      <c r="A89" s="15">
        <f>IF(B89&lt;&gt;"", COUNTA($B$2:B89), "")</f>
        <v/>
      </c>
      <c r="B89" s="280" t="inlineStr">
        <is>
          <t>Термометр сопротивления</t>
        </is>
      </c>
      <c r="C89" s="14" t="inlineStr">
        <is>
          <t>ТСПУ-Л-22322 УХЛ3,1</t>
        </is>
      </c>
      <c r="D89" s="17" t="inlineStr">
        <is>
          <t>016</t>
        </is>
      </c>
      <c r="E89" s="175" t="n">
        <v>2019</v>
      </c>
      <c r="F89" s="32" t="inlineStr">
        <is>
          <t>-50…350 °С</t>
        </is>
      </c>
      <c r="G89" s="14" t="n"/>
      <c r="H89" s="14" t="inlineStr">
        <is>
          <t>Температура теплообменника №1</t>
        </is>
      </c>
      <c r="I89" s="15" t="inlineStr">
        <is>
          <t>АВГМ 73</t>
        </is>
      </c>
      <c r="J89" s="15" t="inlineStr">
        <is>
          <t>АСУ,А и ТМ (КЦ № 7)</t>
        </is>
      </c>
      <c r="K89" s="15" t="n"/>
      <c r="L89" s="15" t="n"/>
      <c r="M89" s="3" t="n"/>
      <c r="N89" s="175" t="n"/>
      <c r="O89" s="173" t="n"/>
    </row>
    <row r="90" ht="22.5" customHeight="1" s="151">
      <c r="A90" s="15">
        <f>IF(B90&lt;&gt;"", COUNTA($B$2:B90), "")</f>
        <v/>
      </c>
      <c r="B90" s="280" t="inlineStr">
        <is>
          <t>Датчик давления микропроцессорный</t>
        </is>
      </c>
      <c r="C90" s="14" t="inlineStr">
        <is>
          <t>ДДМ-03-МИ</t>
        </is>
      </c>
      <c r="D90" s="17" t="inlineStr">
        <is>
          <t>808256</t>
        </is>
      </c>
      <c r="E90" s="175" t="n"/>
      <c r="F90" s="70" t="inlineStr">
        <is>
          <t>0…40 кПа</t>
        </is>
      </c>
      <c r="G90" s="14" t="n"/>
      <c r="H90" s="14" t="inlineStr">
        <is>
          <t>Давление газа перед газовой горелкой №2</t>
        </is>
      </c>
      <c r="I90" s="15" t="inlineStr">
        <is>
          <t>АВГМ 73</t>
        </is>
      </c>
      <c r="J90" s="15" t="inlineStr">
        <is>
          <t>АСУ,А и ТМ (КЦ № 7)</t>
        </is>
      </c>
      <c r="K90" s="15" t="n"/>
      <c r="L90" s="15" t="n"/>
      <c r="M90" s="3" t="n"/>
      <c r="N90" s="175" t="n"/>
      <c r="O90" s="173" t="n"/>
    </row>
    <row r="91" ht="22.5" customHeight="1" s="151">
      <c r="A91" s="15">
        <f>IF(B91&lt;&gt;"", COUNTA($B$2:B91), "")</f>
        <v/>
      </c>
      <c r="B91" s="280" t="inlineStr">
        <is>
          <t>Преобразователь давления</t>
        </is>
      </c>
      <c r="C91" s="14" t="inlineStr">
        <is>
          <t>ПД100-ДИ 1,0-111-1,0</t>
        </is>
      </c>
      <c r="D91" s="17" t="inlineStr">
        <is>
          <t>4219190446016681</t>
        </is>
      </c>
      <c r="E91" s="175" t="n">
        <v>2018</v>
      </c>
      <c r="F91" s="70" t="inlineStr">
        <is>
          <t>0…1 МПа</t>
        </is>
      </c>
      <c r="G91" s="14" t="n"/>
      <c r="H91" s="14" t="inlineStr">
        <is>
          <t>Давление газа на входе</t>
        </is>
      </c>
      <c r="I91" s="15" t="inlineStr">
        <is>
          <t>АВГМ 73</t>
        </is>
      </c>
      <c r="J91" s="15" t="inlineStr">
        <is>
          <t>АСУ,А и ТМ (КЦ № 7)</t>
        </is>
      </c>
      <c r="K91" s="15" t="n"/>
      <c r="L91" s="15" t="n"/>
      <c r="M91" s="3" t="n"/>
      <c r="N91" s="175" t="n"/>
      <c r="O91" s="173" t="n"/>
    </row>
    <row r="92" ht="22.5" customHeight="1" s="151">
      <c r="A92" s="15">
        <f>IF(B92&lt;&gt;"", COUNTA($B$2:B92), "")</f>
        <v/>
      </c>
      <c r="B92" s="280" t="inlineStr">
        <is>
          <t>Термометр сопротивления</t>
        </is>
      </c>
      <c r="C92" s="14" t="inlineStr">
        <is>
          <t>ДТС145-PT100.В3.120</t>
        </is>
      </c>
      <c r="D92" s="17" t="inlineStr">
        <is>
          <t>09190190444135125</t>
        </is>
      </c>
      <c r="E92" s="175" t="n">
        <v>2019</v>
      </c>
      <c r="F92" s="32" t="inlineStr">
        <is>
          <t>-50…500 °С</t>
        </is>
      </c>
      <c r="G92" s="14" t="n"/>
      <c r="H92" s="14" t="inlineStr">
        <is>
          <t xml:space="preserve">Температура газа на входе </t>
        </is>
      </c>
      <c r="I92" s="15" t="inlineStr">
        <is>
          <t>АВГМ 73</t>
        </is>
      </c>
      <c r="J92" s="15" t="inlineStr">
        <is>
          <t>АСУ,А и ТМ (КЦ № 7)</t>
        </is>
      </c>
      <c r="K92" s="15" t="n"/>
      <c r="L92" s="15" t="n"/>
      <c r="M92" s="3" t="n"/>
      <c r="N92" s="175" t="n"/>
      <c r="O92" s="173" t="n"/>
    </row>
    <row r="93" ht="22.5" customHeight="1" s="151">
      <c r="A93" s="15">
        <f>IF(B93&lt;&gt;"", COUNTA($B$2:B93), "")</f>
        <v/>
      </c>
      <c r="B93" s="280" t="inlineStr">
        <is>
          <t>Термометр сопротивления</t>
        </is>
      </c>
      <c r="C93" s="14" t="inlineStr">
        <is>
          <t>ДТС145-PT100.В3.120</t>
        </is>
      </c>
      <c r="D93" s="17" t="inlineStr">
        <is>
          <t>11068190444135096</t>
        </is>
      </c>
      <c r="E93" s="175" t="n">
        <v>2019</v>
      </c>
      <c r="F93" s="32" t="inlineStr">
        <is>
          <t>-60…500 °С</t>
        </is>
      </c>
      <c r="G93" s="14" t="n"/>
      <c r="H93" s="14" t="inlineStr">
        <is>
          <t>Температура в секции обслуживания</t>
        </is>
      </c>
      <c r="I93" s="15" t="inlineStr">
        <is>
          <t>АВГМ 73</t>
        </is>
      </c>
      <c r="J93" s="15" t="inlineStr">
        <is>
          <t>АСУ,А и ТМ (КЦ № 7)</t>
        </is>
      </c>
      <c r="K93" s="15" t="n"/>
      <c r="L93" s="15" t="n"/>
      <c r="M93" s="3" t="n"/>
      <c r="N93" s="175" t="n"/>
      <c r="O93" s="173" t="n"/>
    </row>
    <row r="94" ht="22.5" customHeight="1" s="151">
      <c r="A94" s="15">
        <f>IF(B94&lt;&gt;"", COUNTA($B$2:B94), "")</f>
        <v/>
      </c>
      <c r="B94" s="280" t="inlineStr">
        <is>
          <t>Датчик давления микропроцессорный</t>
        </is>
      </c>
      <c r="C94" s="14" t="inlineStr">
        <is>
          <t>ДДМ-03-ДИ-МИ</t>
        </is>
      </c>
      <c r="D94" s="17" t="inlineStr">
        <is>
          <t>805001</t>
        </is>
      </c>
      <c r="E94" s="175" t="n"/>
      <c r="F94" s="70" t="inlineStr">
        <is>
          <t>0…40 кПа</t>
        </is>
      </c>
      <c r="G94" s="14" t="n"/>
      <c r="H94" s="14" t="inlineStr">
        <is>
          <t>Давление газа перед газовой горелкой №1</t>
        </is>
      </c>
      <c r="I94" s="15" t="inlineStr">
        <is>
          <t>АВГМ 73</t>
        </is>
      </c>
      <c r="J94" s="15" t="inlineStr">
        <is>
          <t>АСУ,А и ТМ (КЦ № 7)</t>
        </is>
      </c>
      <c r="K94" s="15" t="n"/>
      <c r="L94" s="15" t="n"/>
      <c r="M94" s="3" t="n"/>
      <c r="N94" s="175" t="n"/>
      <c r="O94" s="173" t="n"/>
    </row>
    <row r="95" ht="22.5" customHeight="1" s="151">
      <c r="A95" s="15">
        <f>IF(B95&lt;&gt;"", COUNTA($B$2:B95), "")</f>
        <v/>
      </c>
      <c r="B95" s="280" t="inlineStr">
        <is>
          <t>Термометр сопротивления</t>
        </is>
      </c>
      <c r="C95" s="14" t="inlineStr">
        <is>
          <t>ТСПУ-Л-22322 УХЛ3,1</t>
        </is>
      </c>
      <c r="D95" s="17" t="inlineStr">
        <is>
          <t>008</t>
        </is>
      </c>
      <c r="E95" s="175" t="n">
        <v>2019</v>
      </c>
      <c r="F95" s="32" t="inlineStr">
        <is>
          <t>-50…350 °С</t>
        </is>
      </c>
      <c r="G95" s="14" t="n"/>
      <c r="H95" s="14" t="inlineStr">
        <is>
          <t>Температура теплообменника №2</t>
        </is>
      </c>
      <c r="I95" s="15" t="inlineStr">
        <is>
          <t>АВГМ 73</t>
        </is>
      </c>
      <c r="J95" s="15" t="inlineStr">
        <is>
          <t>АСУ,А и ТМ (КЦ № 7)</t>
        </is>
      </c>
      <c r="K95" s="15" t="n"/>
      <c r="L95" s="15" t="n"/>
      <c r="M95" s="3" t="n"/>
      <c r="N95" s="175" t="n"/>
      <c r="O95" s="173" t="n"/>
    </row>
    <row r="96" ht="22.5" customHeight="1" s="151">
      <c r="A96" s="15">
        <f>IF(B96&lt;&gt;"", COUNTA($B$2:B96), "")</f>
        <v/>
      </c>
      <c r="B96" s="280" t="inlineStr">
        <is>
          <t>Реле давления</t>
        </is>
      </c>
      <c r="C96" s="14" t="inlineStr">
        <is>
          <t>GW 150 A6</t>
        </is>
      </c>
      <c r="D96" s="17" t="inlineStr">
        <is>
          <t>CE-0085AO3220-15T70</t>
        </is>
      </c>
      <c r="E96" s="175" t="n"/>
      <c r="F96" s="70" t="inlineStr">
        <is>
          <t>0…500 мбар</t>
        </is>
      </c>
      <c r="G96" s="14" t="n"/>
      <c r="H96" s="14" t="inlineStr">
        <is>
          <t>Давление газа между предохранительно-запорными клапанами Y1 и Y2 горелки №2</t>
        </is>
      </c>
      <c r="I96" s="15" t="inlineStr">
        <is>
          <t>АВГМ 73</t>
        </is>
      </c>
      <c r="J96" s="15" t="inlineStr">
        <is>
          <t>АСУ,А и ТМ (КЦ № 7)</t>
        </is>
      </c>
      <c r="K96" s="15" t="n"/>
      <c r="L96" s="15" t="n"/>
      <c r="M96" s="3" t="n"/>
      <c r="N96" s="175" t="n"/>
      <c r="O96" s="173" t="inlineStr">
        <is>
          <t>Не является СИ</t>
        </is>
      </c>
    </row>
    <row r="97" ht="22.5" customHeight="1" s="151">
      <c r="A97" s="15">
        <f>IF(B97&lt;&gt;"", COUNTA($B$2:B97), "")</f>
        <v/>
      </c>
      <c r="B97" s="280" t="inlineStr">
        <is>
          <t>Реле давления</t>
        </is>
      </c>
      <c r="C97" s="14" t="inlineStr">
        <is>
          <t>РД-016</t>
        </is>
      </c>
      <c r="D97" s="17" t="n"/>
      <c r="E97" s="175" t="n"/>
      <c r="F97" s="70" t="inlineStr">
        <is>
          <t>0…40 кПа</t>
        </is>
      </c>
      <c r="G97" s="14" t="n"/>
      <c r="H97" s="14" t="inlineStr">
        <is>
          <t>Давление газа перед предохранительно-запорным клапаном горелки №1</t>
        </is>
      </c>
      <c r="I97" s="15" t="inlineStr">
        <is>
          <t>АВГМ 73</t>
        </is>
      </c>
      <c r="J97" s="15" t="inlineStr">
        <is>
          <t>АСУ,А и ТМ (КЦ № 7)</t>
        </is>
      </c>
      <c r="K97" s="15" t="n"/>
      <c r="L97" s="15" t="n"/>
      <c r="M97" s="3" t="n"/>
      <c r="N97" s="175" t="n"/>
      <c r="O97" s="173" t="inlineStr">
        <is>
          <t>Не является СИ</t>
        </is>
      </c>
    </row>
    <row r="98" ht="22.5" customHeight="1" s="151">
      <c r="A98" s="15">
        <f>IF(B98&lt;&gt;"", COUNTA($B$2:B98), "")</f>
        <v/>
      </c>
      <c r="B98" s="280" t="inlineStr">
        <is>
          <t>Реле давления</t>
        </is>
      </c>
      <c r="C98" s="14" t="inlineStr">
        <is>
          <t>РД-016</t>
        </is>
      </c>
      <c r="D98" s="17" t="inlineStr">
        <is>
          <t>808149</t>
        </is>
      </c>
      <c r="E98" s="175" t="n"/>
      <c r="F98" s="70" t="inlineStr">
        <is>
          <t>0…40 кПа</t>
        </is>
      </c>
      <c r="G98" s="14" t="n"/>
      <c r="H98" s="14" t="inlineStr">
        <is>
          <t xml:space="preserve">давление газа после газовой заслонки R2 </t>
        </is>
      </c>
      <c r="I98" s="15" t="inlineStr">
        <is>
          <t>АВГМ 73</t>
        </is>
      </c>
      <c r="J98" s="15" t="inlineStr">
        <is>
          <t>АСУ,А и ТМ (КЦ № 7)</t>
        </is>
      </c>
      <c r="K98" s="15" t="n"/>
      <c r="L98" s="15" t="n"/>
      <c r="M98" s="3" t="n"/>
      <c r="N98" s="175" t="n"/>
      <c r="O98" s="173" t="inlineStr">
        <is>
          <t>Не является СИ</t>
        </is>
      </c>
    </row>
    <row r="99" ht="22.5" customHeight="1" s="151">
      <c r="A99" s="15">
        <f>IF(B99&lt;&gt;"", COUNTA($B$2:B99), "")</f>
        <v/>
      </c>
      <c r="B99" s="280" t="inlineStr">
        <is>
          <t>Реле давления</t>
        </is>
      </c>
      <c r="C99" s="14" t="inlineStr">
        <is>
          <t>GW 150 A6</t>
        </is>
      </c>
      <c r="D99" s="17" t="inlineStr">
        <is>
          <t>CE-0085AO3220-15T70</t>
        </is>
      </c>
      <c r="E99" s="175" t="n"/>
      <c r="F99" s="70" t="inlineStr">
        <is>
          <t>0…500 мбар</t>
        </is>
      </c>
      <c r="G99" s="14" t="n"/>
      <c r="H99" s="14" t="inlineStr">
        <is>
          <t>Давление газа между предохранительно-запорными клапанами Y1 и Y2 горелки №1</t>
        </is>
      </c>
      <c r="I99" s="15" t="inlineStr">
        <is>
          <t>АВГМ 73</t>
        </is>
      </c>
      <c r="J99" s="15" t="inlineStr">
        <is>
          <t>АСУ,А и ТМ (КЦ № 7)</t>
        </is>
      </c>
      <c r="K99" s="15" t="n"/>
      <c r="L99" s="15" t="n"/>
      <c r="M99" s="3" t="n"/>
      <c r="N99" s="175" t="n"/>
      <c r="O99" s="173" t="inlineStr">
        <is>
          <t>Не является СИ</t>
        </is>
      </c>
    </row>
    <row r="100" ht="22.5" customHeight="1" s="151">
      <c r="A100" s="15">
        <f>IF(B100&lt;&gt;"", COUNTA($B$2:B100), "")</f>
        <v/>
      </c>
      <c r="B100" s="280" t="inlineStr">
        <is>
          <t>Реле давления</t>
        </is>
      </c>
      <c r="C100" s="14" t="inlineStr">
        <is>
          <t>РД-016</t>
        </is>
      </c>
      <c r="D100" s="17" t="inlineStr">
        <is>
          <t>808146</t>
        </is>
      </c>
      <c r="E100" s="175" t="n"/>
      <c r="F100" s="70" t="inlineStr">
        <is>
          <t>0…40 кПа</t>
        </is>
      </c>
      <c r="G100" s="14" t="n"/>
      <c r="H100" s="14" t="inlineStr">
        <is>
          <t>Давление газа перед предохранительно-запорным клапаном горелки №2</t>
        </is>
      </c>
      <c r="I100" s="15" t="inlineStr">
        <is>
          <t>АВГМ 73</t>
        </is>
      </c>
      <c r="J100" s="15" t="inlineStr">
        <is>
          <t>АСУ,А и ТМ (КЦ № 7)</t>
        </is>
      </c>
      <c r="K100" s="15" t="n"/>
      <c r="L100" s="15" t="n"/>
      <c r="M100" s="3" t="n"/>
      <c r="N100" s="175" t="n"/>
      <c r="O100" s="173" t="inlineStr">
        <is>
          <t>Не является СИ</t>
        </is>
      </c>
    </row>
    <row r="101" ht="22.5" customHeight="1" s="151">
      <c r="A101" s="15">
        <f>IF(B101&lt;&gt;"", COUNTA($B$2:B101), "")</f>
        <v/>
      </c>
      <c r="B101" s="73" t="inlineStr">
        <is>
          <t>Преобразователь избыточного давления</t>
        </is>
      </c>
      <c r="C101" s="14" t="inlineStr">
        <is>
          <t>Метран 150 TG</t>
        </is>
      </c>
      <c r="D101" s="14" t="n">
        <v>6178287</v>
      </c>
      <c r="E101" s="17" t="n">
        <v>2021</v>
      </c>
      <c r="F101" s="70" t="inlineStr">
        <is>
          <t>0…1 МПа</t>
        </is>
      </c>
      <c r="G101" s="14" t="inlineStr">
        <is>
          <t>0.1</t>
        </is>
      </c>
      <c r="H101" s="14" t="inlineStr">
        <is>
          <t>Pм на выходе из двигателя</t>
        </is>
      </c>
      <c r="I101" s="15" t="inlineStr">
        <is>
          <t>Масленая  консоль</t>
        </is>
      </c>
      <c r="J101" s="15" t="inlineStr">
        <is>
          <t>АСУ,А и ТМ (КЦ № 7)</t>
        </is>
      </c>
      <c r="K101" s="178" t="n"/>
      <c r="L101" s="179" t="n"/>
      <c r="M101" s="179" t="n"/>
      <c r="N101" s="179" t="n"/>
      <c r="O101" s="178" t="n"/>
    </row>
    <row r="102" ht="22.5" customHeight="1" s="151">
      <c r="A102" s="15">
        <f>IF(B102&lt;&gt;"", COUNTA($B$2:B102), "")</f>
        <v/>
      </c>
      <c r="B102" s="73" t="inlineStr">
        <is>
          <t>Преобразователь избыточного давления</t>
        </is>
      </c>
      <c r="C102" s="14" t="inlineStr">
        <is>
          <t>Метран 150 TG</t>
        </is>
      </c>
      <c r="D102" s="14" t="n">
        <v>6178276</v>
      </c>
      <c r="E102" s="3" t="inlineStr">
        <is>
          <t>2021</t>
        </is>
      </c>
      <c r="F102" s="70" t="inlineStr">
        <is>
          <t>0…1 МПа</t>
        </is>
      </c>
      <c r="G102" s="14" t="inlineStr">
        <is>
          <t>0.1</t>
        </is>
      </c>
      <c r="H102" s="14" t="inlineStr">
        <is>
          <t>Pм в линий откачки от СТ</t>
        </is>
      </c>
      <c r="I102" s="15" t="inlineStr">
        <is>
          <t>Масленая  консоль</t>
        </is>
      </c>
      <c r="J102" s="15" t="inlineStr">
        <is>
          <t>АСУ,А и ТМ (КЦ № 7)</t>
        </is>
      </c>
      <c r="K102" s="178" t="n"/>
      <c r="L102" s="179" t="n"/>
      <c r="M102" s="179" t="n"/>
      <c r="N102" s="179" t="n"/>
      <c r="O102" s="178" t="n"/>
    </row>
    <row r="103" ht="22.5" customHeight="1" s="151">
      <c r="A103" s="15">
        <f>IF(B103&lt;&gt;"", COUNTA($B$2:B103), "")</f>
        <v/>
      </c>
      <c r="B103" s="73" t="inlineStr">
        <is>
          <t>Преобразователь избыточного давления</t>
        </is>
      </c>
      <c r="C103" s="14" t="inlineStr">
        <is>
          <t>Метран 150 CD</t>
        </is>
      </c>
      <c r="D103" s="14" t="n">
        <v>6178328</v>
      </c>
      <c r="E103" s="3" t="n"/>
      <c r="F103" s="70" t="inlineStr">
        <is>
          <t>0…250 кПа</t>
        </is>
      </c>
      <c r="G103" s="14" t="inlineStr">
        <is>
          <t>0.1</t>
        </is>
      </c>
      <c r="H103" s="14" t="inlineStr">
        <is>
          <t>∆Рм  на фтльтрах БМФ1</t>
        </is>
      </c>
      <c r="I103" s="15" t="inlineStr">
        <is>
          <t>Масленая  консоль</t>
        </is>
      </c>
      <c r="J103" s="15" t="inlineStr">
        <is>
          <t>АСУ,А и ТМ (КЦ № 7)</t>
        </is>
      </c>
      <c r="K103" s="179" t="n"/>
      <c r="L103" s="179" t="n"/>
      <c r="M103" s="179" t="n"/>
      <c r="N103" s="179" t="n"/>
      <c r="O103" s="173" t="n"/>
    </row>
    <row r="104" ht="22.5" customHeight="1" s="151">
      <c r="A104" s="15">
        <f>IF(B104&lt;&gt;"", COUNTA($B$2:B104), "")</f>
        <v/>
      </c>
      <c r="B104" s="73" t="inlineStr">
        <is>
          <t>Преобразователь избыточного давления</t>
        </is>
      </c>
      <c r="C104" s="14" t="inlineStr">
        <is>
          <t>Метран 150 CD</t>
        </is>
      </c>
      <c r="D104" s="14" t="n">
        <v>6178320</v>
      </c>
      <c r="E104" s="17" t="n"/>
      <c r="F104" s="70" t="inlineStr">
        <is>
          <t>0…250 кПа</t>
        </is>
      </c>
      <c r="G104" s="14" t="inlineStr">
        <is>
          <t>0.1</t>
        </is>
      </c>
      <c r="H104" s="14" t="inlineStr">
        <is>
          <t>∆Рм  на фтльтрах БМФ2</t>
        </is>
      </c>
      <c r="I104" s="15" t="inlineStr">
        <is>
          <t>Масленая  консоль</t>
        </is>
      </c>
      <c r="J104" s="15" t="inlineStr">
        <is>
          <t>АСУ,А и ТМ (КЦ № 7)</t>
        </is>
      </c>
      <c r="K104" s="179" t="n"/>
      <c r="L104" s="179" t="n"/>
      <c r="M104" s="179" t="n"/>
      <c r="N104" s="179" t="n"/>
      <c r="O104" s="173" t="n"/>
    </row>
    <row r="105" ht="22.5" customHeight="1" s="151">
      <c r="A105" s="15">
        <f>IF(B105&lt;&gt;"", COUNTA($B$2:B105), "")</f>
        <v/>
      </c>
      <c r="B105" s="73" t="inlineStr">
        <is>
          <t>Преобразователь избыточного давления</t>
        </is>
      </c>
      <c r="C105" s="14" t="inlineStr">
        <is>
          <t>Метран 150 CD</t>
        </is>
      </c>
      <c r="D105" s="14" t="n">
        <v>6178326</v>
      </c>
      <c r="E105" s="3" t="n"/>
      <c r="F105" s="70" t="inlineStr">
        <is>
          <t>0…250 кПа</t>
        </is>
      </c>
      <c r="G105" s="14" t="inlineStr">
        <is>
          <t>0.1</t>
        </is>
      </c>
      <c r="H105" s="14" t="inlineStr">
        <is>
          <t>∆Рм  на фтльтрах ГМТ</t>
        </is>
      </c>
      <c r="I105" s="15" t="inlineStr">
        <is>
          <t>Масленая  консоль</t>
        </is>
      </c>
      <c r="J105" s="15" t="inlineStr">
        <is>
          <t>АСУ,А и ТМ (КЦ № 7)</t>
        </is>
      </c>
      <c r="K105" s="179" t="n"/>
      <c r="L105" s="179" t="n"/>
      <c r="M105" s="179" t="n"/>
      <c r="N105" s="179" t="n"/>
      <c r="O105" s="173" t="n"/>
    </row>
    <row r="106" ht="22.5" customHeight="1" s="151">
      <c r="A106" s="15">
        <f>IF(B106&lt;&gt;"", COUNTA($B$2:B106), "")</f>
        <v/>
      </c>
      <c r="B106" s="73" t="inlineStr">
        <is>
          <t>Преобразователь избыточного давления</t>
        </is>
      </c>
      <c r="C106" s="14" t="inlineStr">
        <is>
          <t>Метран 150 CG</t>
        </is>
      </c>
      <c r="D106" s="14" t="n">
        <v>6071977</v>
      </c>
      <c r="E106" s="17" t="n"/>
      <c r="F106" s="70" t="inlineStr">
        <is>
          <t>0…63 кПа</t>
        </is>
      </c>
      <c r="G106" s="14" t="inlineStr">
        <is>
          <t>0.1</t>
        </is>
      </c>
      <c r="H106" s="14" t="inlineStr">
        <is>
          <t>Р воздушно-масляной смеси в маслобаке двигателя</t>
        </is>
      </c>
      <c r="I106" s="14" t="inlineStr">
        <is>
          <t>Масленая  консоль</t>
        </is>
      </c>
      <c r="J106" s="14" t="inlineStr">
        <is>
          <t>АСУ,А и ТМ (КЦ № 7)</t>
        </is>
      </c>
      <c r="K106" s="178" t="n"/>
      <c r="L106" s="179" t="n"/>
      <c r="M106" s="179" t="n"/>
      <c r="N106" s="179" t="n"/>
      <c r="O106" s="173" t="n"/>
    </row>
    <row r="107" ht="22.5" customHeight="1" s="151">
      <c r="A107" s="15">
        <f>IF(B107&lt;&gt;"", COUNTA($B$2:B107), "")</f>
        <v/>
      </c>
      <c r="B107" s="73" t="inlineStr">
        <is>
          <t>Преобразователь избыточного давления</t>
        </is>
      </c>
      <c r="C107" s="14" t="inlineStr">
        <is>
          <t>Метран 150 CD</t>
        </is>
      </c>
      <c r="D107" s="14" t="n">
        <v>6095171</v>
      </c>
      <c r="E107" s="288" t="n">
        <v>43435</v>
      </c>
      <c r="F107" s="70" t="inlineStr">
        <is>
          <t>0…6,3 кПа</t>
        </is>
      </c>
      <c r="G107" s="14" t="inlineStr">
        <is>
          <t>0.1</t>
        </is>
      </c>
      <c r="H107" s="14" t="inlineStr">
        <is>
          <t>Избыточное давление воздуха в блоке силовом</t>
        </is>
      </c>
      <c r="I107" s="15" t="inlineStr">
        <is>
          <t>Укрытие</t>
        </is>
      </c>
      <c r="J107" s="15" t="inlineStr">
        <is>
          <t>АСУ,А и ТМ (КЦ № 7)</t>
        </is>
      </c>
      <c r="K107" s="179" t="n"/>
      <c r="L107" s="179" t="n"/>
      <c r="M107" s="179" t="n"/>
      <c r="N107" s="179" t="n"/>
      <c r="O107" s="173" t="n"/>
    </row>
    <row r="108" ht="22.5" customHeight="1" s="151">
      <c r="A108" s="15">
        <f>IF(B108&lt;&gt;"", COUNTA($B$2:B108), "")</f>
        <v/>
      </c>
      <c r="B108" s="73" t="inlineStr">
        <is>
          <t>Преобразователь избыточного давления</t>
        </is>
      </c>
      <c r="C108" s="14" t="inlineStr">
        <is>
          <t>Метран 150 CG</t>
        </is>
      </c>
      <c r="D108" s="14" t="n">
        <v>6104413</v>
      </c>
      <c r="E108" s="15" t="n"/>
      <c r="F108" s="70" t="inlineStr">
        <is>
          <t>0…6,3 кПа</t>
        </is>
      </c>
      <c r="G108" s="14" t="inlineStr">
        <is>
          <t>0.1</t>
        </is>
      </c>
      <c r="H108" s="14" t="inlineStr">
        <is>
          <t>Рв охлаждения кожуха муфты</t>
        </is>
      </c>
      <c r="I108" s="15" t="inlineStr">
        <is>
          <t>Укрытие</t>
        </is>
      </c>
      <c r="J108" s="15" t="inlineStr">
        <is>
          <t>АСУ,А и ТМ (КЦ № 7)</t>
        </is>
      </c>
      <c r="K108" s="179" t="n"/>
      <c r="L108" s="179" t="n"/>
      <c r="M108" s="179" t="n"/>
      <c r="N108" s="179" t="n"/>
      <c r="O108" s="173" t="n"/>
    </row>
    <row r="109" ht="22.5" customHeight="1" s="151">
      <c r="A109" s="15">
        <f>IF(B109&lt;&gt;"", COUNTA($B$2:B109), "")</f>
        <v/>
      </c>
      <c r="B109" s="73" t="inlineStr">
        <is>
          <t>Преобразователь избыточного давления</t>
        </is>
      </c>
      <c r="C109" s="14" t="inlineStr">
        <is>
          <t>Метран 150 TG</t>
        </is>
      </c>
      <c r="D109" s="79" t="n">
        <v>6072975</v>
      </c>
      <c r="E109" s="41" t="n"/>
      <c r="F109" s="39" t="inlineStr">
        <is>
          <t>0…25 МПа</t>
        </is>
      </c>
      <c r="G109" s="14" t="inlineStr">
        <is>
          <t>0.1</t>
        </is>
      </c>
      <c r="H109" s="48" t="inlineStr">
        <is>
          <t>Ртг на входе ГПА</t>
        </is>
      </c>
      <c r="I109" s="41" t="inlineStr">
        <is>
          <t>Укрытие</t>
        </is>
      </c>
      <c r="J109" s="41" t="inlineStr">
        <is>
          <t>АСУ,А и ТМ (КЦ № 7)</t>
        </is>
      </c>
      <c r="K109" s="178" t="n"/>
      <c r="L109" s="179" t="n"/>
      <c r="M109" s="179" t="n"/>
      <c r="N109" s="179" t="n"/>
      <c r="O109" s="178" t="n"/>
    </row>
    <row r="110" ht="22.5" customHeight="1" s="151">
      <c r="A110" s="15">
        <f>IF(B110&lt;&gt;"", COUNTA($B$2:B110), "")</f>
        <v/>
      </c>
      <c r="B110" s="73" t="inlineStr">
        <is>
          <t>Преобразователь избыточного давления</t>
        </is>
      </c>
      <c r="C110" s="14" t="inlineStr">
        <is>
          <t>Метран 150 TG</t>
        </is>
      </c>
      <c r="D110" s="180" t="n">
        <v>6072988</v>
      </c>
      <c r="E110" s="288" t="n">
        <v>43221</v>
      </c>
      <c r="F110" s="39" t="inlineStr">
        <is>
          <t>0…6 МПа</t>
        </is>
      </c>
      <c r="G110" s="14" t="inlineStr">
        <is>
          <t>0.1</t>
        </is>
      </c>
      <c r="H110" s="14" t="inlineStr">
        <is>
          <t>Ртг на выходе из блока фильтров</t>
        </is>
      </c>
      <c r="I110" s="14" t="inlineStr">
        <is>
          <t>Укрытие</t>
        </is>
      </c>
      <c r="J110" s="41" t="inlineStr">
        <is>
          <t>АСУ,А и ТМ (КЦ № 7)</t>
        </is>
      </c>
      <c r="K110" s="179" t="n"/>
      <c r="L110" s="179" t="n"/>
      <c r="M110" s="179" t="n"/>
      <c r="N110" s="179" t="n"/>
      <c r="O110" s="173" t="n"/>
    </row>
    <row r="111" ht="22.5" customHeight="1" s="151">
      <c r="A111" s="15">
        <f>IF(B111&lt;&gt;"", COUNTA($B$2:B111), "")</f>
        <v/>
      </c>
      <c r="B111" s="73" t="inlineStr">
        <is>
          <t>Преобразователь избыточного давления</t>
        </is>
      </c>
      <c r="C111" s="14" t="inlineStr">
        <is>
          <t>Метран 150 TG</t>
        </is>
      </c>
      <c r="D111" s="181" t="n">
        <v>6072987</v>
      </c>
      <c r="E111" s="179" t="n"/>
      <c r="F111" s="39" t="inlineStr">
        <is>
          <t>0…6 МПа</t>
        </is>
      </c>
      <c r="G111" s="14" t="inlineStr">
        <is>
          <t>0.1</t>
        </is>
      </c>
      <c r="H111" s="14" t="inlineStr">
        <is>
          <t xml:space="preserve">Ртг на входе турбоблок </t>
        </is>
      </c>
      <c r="I111" s="175" t="n"/>
      <c r="J111" s="41" t="inlineStr">
        <is>
          <t>АСУ,А и ТМ (КЦ № 7)</t>
        </is>
      </c>
      <c r="K111" s="179" t="n"/>
      <c r="L111" s="179" t="n"/>
      <c r="M111" s="179" t="n"/>
      <c r="N111" s="179" t="n"/>
      <c r="O111" s="173" t="n"/>
    </row>
    <row r="112" ht="22.5" customHeight="1" s="151">
      <c r="A112" s="15">
        <f>IF(B112&lt;&gt;"", COUNTA($B$2:B112), "")</f>
        <v/>
      </c>
      <c r="B112" s="74" t="inlineStr">
        <is>
          <t>Преобразователь избыточного давления</t>
        </is>
      </c>
      <c r="C112" s="14" t="inlineStr">
        <is>
          <t>Метран 150 TG</t>
        </is>
      </c>
      <c r="D112" s="180" t="n">
        <v>6071977</v>
      </c>
      <c r="E112" s="181" t="n">
        <v>2018</v>
      </c>
      <c r="F112" s="70" t="inlineStr">
        <is>
          <t>0…160 кПа</t>
        </is>
      </c>
      <c r="G112" s="14" t="inlineStr">
        <is>
          <t>0.1</t>
        </is>
      </c>
      <c r="H112" s="175" t="inlineStr">
        <is>
          <t>Ртг в буферной полоскости ГМТ</t>
        </is>
      </c>
      <c r="I112" s="14" t="n"/>
      <c r="J112" s="41" t="inlineStr">
        <is>
          <t>АСУ,А и ТМ (КЦ № 7)</t>
        </is>
      </c>
      <c r="K112" s="179" t="n"/>
      <c r="L112" s="179" t="n"/>
      <c r="M112" s="179" t="n"/>
      <c r="N112" s="179" t="n"/>
      <c r="O112" s="178" t="n"/>
    </row>
    <row r="113" ht="22.5" customHeight="1" s="151">
      <c r="A113" s="15">
        <f>IF(B113&lt;&gt;"", COUNTA($B$2:B113), "")</f>
        <v/>
      </c>
      <c r="B113" s="73" t="inlineStr">
        <is>
          <t>Преобразователь избыточного давления</t>
        </is>
      </c>
      <c r="C113" s="14" t="inlineStr">
        <is>
          <t>Метран 150 CD</t>
        </is>
      </c>
      <c r="D113" s="181" t="n">
        <v>6090822</v>
      </c>
      <c r="E113" s="95" t="n"/>
      <c r="F113" s="70" t="inlineStr">
        <is>
          <t>0…250 кПа</t>
        </is>
      </c>
      <c r="G113" s="14" t="inlineStr">
        <is>
          <t>0.1</t>
        </is>
      </c>
      <c r="H113" s="14" t="inlineStr">
        <is>
          <t xml:space="preserve">∆Рм  на фильтрах </t>
        </is>
      </c>
      <c r="I113" s="175" t="n"/>
      <c r="J113" s="41" t="inlineStr">
        <is>
          <t>АСУ,А и ТМ (КЦ № 7)</t>
        </is>
      </c>
      <c r="K113" s="179" t="n"/>
      <c r="L113" s="179" t="n"/>
      <c r="M113" s="179" t="n"/>
      <c r="N113" s="179" t="n"/>
      <c r="O113" s="173" t="n"/>
    </row>
    <row r="114" ht="22.5" customHeight="1" s="151">
      <c r="A114" s="15">
        <f>IF(B114&lt;&gt;"", COUNTA($B$2:B114), "")</f>
        <v/>
      </c>
      <c r="B114" s="74" t="inlineStr">
        <is>
          <t>Преобразователь избыточного давления</t>
        </is>
      </c>
      <c r="C114" s="14" t="inlineStr">
        <is>
          <t>Метран 150 CD</t>
        </is>
      </c>
      <c r="D114" s="180" t="n">
        <v>6067670</v>
      </c>
      <c r="E114" s="181" t="n">
        <v>2018</v>
      </c>
      <c r="F114" s="70" t="inlineStr">
        <is>
          <t>0…6,3 кПа</t>
        </is>
      </c>
      <c r="G114" s="14" t="inlineStr">
        <is>
          <t>0.1</t>
        </is>
      </c>
      <c r="H114" s="14" t="inlineStr">
        <is>
          <t>Разрежение воздуха на фильтрах ВОУ</t>
        </is>
      </c>
      <c r="I114" s="14" t="n"/>
      <c r="J114" s="48" t="inlineStr">
        <is>
          <t>АСУ,А и ТМ (КЦ № 7)</t>
        </is>
      </c>
      <c r="K114" s="179" t="n"/>
      <c r="L114" s="179" t="n"/>
      <c r="M114" s="179" t="n"/>
      <c r="N114" s="179" t="n"/>
      <c r="O114" s="178" t="n"/>
    </row>
    <row r="115" ht="22.5" customHeight="1" s="151">
      <c r="A115" s="15">
        <f>IF(B115&lt;&gt;"", COUNTA($B$2:B115), "")</f>
        <v/>
      </c>
      <c r="B115" s="73" t="inlineStr">
        <is>
          <t>Преобразователь избыточного давления</t>
        </is>
      </c>
      <c r="C115" s="14" t="inlineStr">
        <is>
          <t>Метран 150 CD</t>
        </is>
      </c>
      <c r="D115" s="181" t="n">
        <v>6067873</v>
      </c>
      <c r="E115" s="95" t="n"/>
      <c r="F115" s="70" t="inlineStr">
        <is>
          <t>0…6,3 кПа</t>
        </is>
      </c>
      <c r="G115" s="14" t="inlineStr">
        <is>
          <t>0.1</t>
        </is>
      </c>
      <c r="H115" s="175" t="inlineStr">
        <is>
          <t>Разрежение воздуха в камере всасывания</t>
        </is>
      </c>
      <c r="I115" s="175" t="n"/>
      <c r="J115" s="41" t="inlineStr">
        <is>
          <t>АСУ,А и ТМ (КЦ № 7)</t>
        </is>
      </c>
      <c r="K115" s="179" t="n"/>
      <c r="L115" s="179" t="n"/>
      <c r="M115" s="179" t="n"/>
      <c r="N115" s="179" t="n"/>
      <c r="O115" s="173" t="n"/>
    </row>
    <row r="116" ht="22.5" customHeight="1" s="151">
      <c r="A116" s="15">
        <f>IF(B116&lt;&gt;"", COUNTA($B$2:B116), "")</f>
        <v/>
      </c>
      <c r="B116" s="73" t="inlineStr">
        <is>
          <t>Преобразователь избыточного давления</t>
        </is>
      </c>
      <c r="C116" s="14" t="inlineStr">
        <is>
          <t>Метран 150 CD</t>
        </is>
      </c>
      <c r="D116" s="181" t="n">
        <v>6129353</v>
      </c>
      <c r="E116" s="95" t="n"/>
      <c r="F116" s="70" t="inlineStr">
        <is>
          <t>0…6,3 кПа</t>
        </is>
      </c>
      <c r="G116" s="14" t="inlineStr">
        <is>
          <t>0.1</t>
        </is>
      </c>
      <c r="H116" s="14" t="inlineStr">
        <is>
          <t>∆Р между давлением на выходе из улитки и атмосферой</t>
        </is>
      </c>
      <c r="I116" s="175" t="n"/>
      <c r="J116" s="41" t="inlineStr">
        <is>
          <t>АСУ,А и ТМ (КЦ № 7)</t>
        </is>
      </c>
      <c r="K116" s="179" t="n"/>
      <c r="L116" s="179" t="n"/>
      <c r="M116" s="179" t="n"/>
      <c r="N116" s="179" t="n"/>
      <c r="O116" s="173" t="n"/>
    </row>
    <row r="117" ht="22.5" customHeight="1" s="151">
      <c r="A117" s="15">
        <f>IF(B117&lt;&gt;"", COUNTA($B$2:B117), "")</f>
        <v/>
      </c>
      <c r="B117" s="73" t="inlineStr">
        <is>
          <t>Преобразователь избыточного давления</t>
        </is>
      </c>
      <c r="C117" s="14" t="inlineStr">
        <is>
          <t>Метран 150 ТА</t>
        </is>
      </c>
      <c r="D117" s="181" t="n">
        <v>6080900</v>
      </c>
      <c r="E117" s="295" t="n">
        <v>43282</v>
      </c>
      <c r="F117" s="70" t="inlineStr">
        <is>
          <t>0…160 кПа</t>
        </is>
      </c>
      <c r="G117" s="14" t="inlineStr">
        <is>
          <t>0.1</t>
        </is>
      </c>
      <c r="H117" s="175" t="inlineStr">
        <is>
          <t>барометрическое давление</t>
        </is>
      </c>
      <c r="I117" s="175" t="inlineStr">
        <is>
          <t>САУ</t>
        </is>
      </c>
      <c r="J117" s="41" t="inlineStr">
        <is>
          <t>АСУ,А и ТМ (КЦ № 7)</t>
        </is>
      </c>
      <c r="K117" s="179" t="n"/>
      <c r="L117" s="179" t="n"/>
      <c r="M117" s="179" t="n"/>
      <c r="N117" s="179" t="n"/>
      <c r="O117" s="173" t="n"/>
    </row>
    <row r="118" ht="22.5" customHeight="1" s="151">
      <c r="A118" s="15">
        <f>IF(B118&lt;&gt;"", COUNTA($B$2:B118), "")</f>
        <v/>
      </c>
      <c r="B118" s="73" t="inlineStr">
        <is>
          <t>Преобразователь избыточного давления</t>
        </is>
      </c>
      <c r="C118" s="14" t="inlineStr">
        <is>
          <t>Метран 150 TG</t>
        </is>
      </c>
      <c r="D118" s="183" t="n">
        <v>6072995</v>
      </c>
      <c r="E118" s="184" t="n"/>
      <c r="F118" s="70" t="inlineStr">
        <is>
          <t>0…1 МПа</t>
        </is>
      </c>
      <c r="G118" s="14" t="inlineStr">
        <is>
          <t>0.1</t>
        </is>
      </c>
      <c r="H118" s="122" t="inlineStr">
        <is>
          <t xml:space="preserve">Р защитного воздуха из блока подготовки воздуха </t>
        </is>
      </c>
      <c r="I118" s="14" t="inlineStr">
        <is>
          <t>Укрытие</t>
        </is>
      </c>
      <c r="J118" s="41" t="inlineStr">
        <is>
          <t>АСУ,А и ТМ (КЦ № 7)</t>
        </is>
      </c>
      <c r="K118" s="179" t="n"/>
      <c r="L118" s="179" t="n"/>
      <c r="M118" s="179" t="n"/>
      <c r="N118" s="179" t="n"/>
      <c r="O118" s="173" t="n"/>
    </row>
    <row r="119" ht="22.5" customHeight="1" s="151">
      <c r="A119" s="15">
        <f>IF(B119&lt;&gt;"", COUNTA($B$2:B119), "")</f>
        <v/>
      </c>
      <c r="B119" s="73" t="inlineStr">
        <is>
          <t>Преобразователь избыточного давления</t>
        </is>
      </c>
      <c r="C119" s="14" t="inlineStr">
        <is>
          <t>Метран 150 TG</t>
        </is>
      </c>
      <c r="D119" s="180" t="n">
        <v>6071970</v>
      </c>
      <c r="E119" s="185" t="n"/>
      <c r="F119" s="70" t="inlineStr">
        <is>
          <t>0…160 кПа</t>
        </is>
      </c>
      <c r="G119" s="14" t="inlineStr">
        <is>
          <t>0.1</t>
        </is>
      </c>
      <c r="H119" s="175" t="inlineStr">
        <is>
          <t>Р воздуха на выходе из ГТД</t>
        </is>
      </c>
      <c r="I119" s="14" t="inlineStr">
        <is>
          <t>Укрытие</t>
        </is>
      </c>
      <c r="J119" s="41" t="inlineStr">
        <is>
          <t>АСУ,А и ТМ (КЦ № 7)</t>
        </is>
      </c>
      <c r="K119" s="179" t="n"/>
      <c r="L119" s="179" t="n"/>
      <c r="M119" s="179" t="n"/>
      <c r="N119" s="179" t="n"/>
      <c r="O119" s="173" t="n"/>
    </row>
    <row r="120" ht="22.5" customHeight="1" s="151">
      <c r="A120" s="15">
        <f>IF(B120&lt;&gt;"", COUNTA($B$2:B120), "")</f>
        <v/>
      </c>
      <c r="B120" s="73" t="inlineStr">
        <is>
          <t>Преобразователь избыточного давления</t>
        </is>
      </c>
      <c r="C120" s="14" t="inlineStr">
        <is>
          <t>Метран 150 CD</t>
        </is>
      </c>
      <c r="D120" s="180" t="n">
        <v>6071984</v>
      </c>
      <c r="E120" s="185" t="n"/>
      <c r="F120" s="70" t="inlineStr">
        <is>
          <t>0…25 МПа</t>
        </is>
      </c>
      <c r="G120" s="14" t="inlineStr">
        <is>
          <t>0.1</t>
        </is>
      </c>
      <c r="H120" s="14" t="inlineStr">
        <is>
          <t>∆Р воздуха на фильтре в линии подвода на охлаждение опор ГТД</t>
        </is>
      </c>
      <c r="I120" s="14" t="inlineStr">
        <is>
          <t>Укрытие</t>
        </is>
      </c>
      <c r="J120" s="41" t="inlineStr">
        <is>
          <t>АСУ,А и ТМ (КЦ № 7)</t>
        </is>
      </c>
      <c r="K120" s="179" t="n"/>
      <c r="L120" s="179" t="n"/>
      <c r="M120" s="179" t="n"/>
      <c r="N120" s="179" t="n"/>
      <c r="O120" s="173" t="n"/>
    </row>
    <row r="121" ht="22.5" customHeight="1" s="151">
      <c r="A121" s="15">
        <f>IF(B121&lt;&gt;"", COUNTA($B$2:B121), "")</f>
        <v/>
      </c>
      <c r="B121" s="73" t="inlineStr">
        <is>
          <t>Преобразователь избыточного давления</t>
        </is>
      </c>
      <c r="C121" s="14" t="inlineStr">
        <is>
          <t>Метран 150 TG</t>
        </is>
      </c>
      <c r="D121" s="181" t="n">
        <v>6077544</v>
      </c>
      <c r="E121" s="179" t="n"/>
      <c r="F121" s="70" t="inlineStr">
        <is>
          <t>0…160 кПа</t>
        </is>
      </c>
      <c r="G121" s="14" t="inlineStr">
        <is>
          <t>0.1</t>
        </is>
      </c>
      <c r="H121" s="175" t="inlineStr">
        <is>
          <t>Р воздуха на выходе из оболочки радиального подшипника (ПКВ)</t>
        </is>
      </c>
      <c r="I121" s="15" t="inlineStr">
        <is>
          <t>Укрытие</t>
        </is>
      </c>
      <c r="J121" s="41" t="inlineStr">
        <is>
          <t>АСУ,А и ТМ (КЦ № 7)</t>
        </is>
      </c>
      <c r="K121" s="179" t="n"/>
      <c r="L121" s="179" t="n"/>
      <c r="M121" s="179" t="n"/>
      <c r="N121" s="179" t="n"/>
      <c r="O121" s="173" t="n"/>
    </row>
    <row r="122" ht="22.5" customHeight="1" s="151">
      <c r="A122" s="15">
        <f>IF(B122&lt;&gt;"", COUNTA($B$2:B122), "")</f>
        <v/>
      </c>
      <c r="B122" s="73" t="inlineStr">
        <is>
          <t>Преобразователь избыточного давления</t>
        </is>
      </c>
      <c r="C122" s="14" t="inlineStr">
        <is>
          <t>Метран 150 TG</t>
        </is>
      </c>
      <c r="D122" s="181" t="n">
        <v>6077549</v>
      </c>
      <c r="E122" s="179" t="n"/>
      <c r="F122" s="70" t="inlineStr">
        <is>
          <t>0…160 кПа</t>
        </is>
      </c>
      <c r="G122" s="14" t="inlineStr">
        <is>
          <t>0.1</t>
        </is>
      </c>
      <c r="H122" s="175" t="inlineStr">
        <is>
          <t>Р воздуха на выходе из оболочки радиального подшипника (ЗКВ)</t>
        </is>
      </c>
      <c r="I122" s="15" t="inlineStr">
        <is>
          <t>Укрытие</t>
        </is>
      </c>
      <c r="J122" s="41" t="inlineStr">
        <is>
          <t>АСУ,А и ТМ (КЦ № 7)</t>
        </is>
      </c>
      <c r="K122" s="179" t="n"/>
      <c r="L122" s="179" t="n"/>
      <c r="M122" s="179" t="n"/>
      <c r="N122" s="179" t="n"/>
      <c r="O122" s="173" t="n"/>
    </row>
    <row r="123" ht="33.75" customHeight="1" s="151">
      <c r="A123" s="15">
        <f>IF(B123&lt;&gt;"", COUNTA($B$2:B123), "")</f>
        <v/>
      </c>
      <c r="B123" s="73" t="inlineStr">
        <is>
          <t>Преобразователь избыточного давления</t>
        </is>
      </c>
      <c r="C123" s="14" t="inlineStr">
        <is>
          <t>Метран 150 CD</t>
        </is>
      </c>
      <c r="D123" s="181" t="n">
        <v>6077533</v>
      </c>
      <c r="E123" s="179" t="n"/>
      <c r="F123" s="70" t="inlineStr">
        <is>
          <t>0…250 кПа</t>
        </is>
      </c>
      <c r="G123" s="14" t="inlineStr">
        <is>
          <t>0.1</t>
        </is>
      </c>
      <c r="H123" s="14" t="inlineStr">
        <is>
          <t>∆Р между оболочкой радиального подшипника и второй ступенью ГДУ ( ПКВ)</t>
        </is>
      </c>
      <c r="I123" s="15" t="inlineStr">
        <is>
          <t>Укрытие</t>
        </is>
      </c>
      <c r="J123" s="41" t="inlineStr">
        <is>
          <t>АСУ,А и ТМ (КЦ № 7)</t>
        </is>
      </c>
      <c r="K123" s="179" t="n"/>
      <c r="L123" s="179" t="n"/>
      <c r="M123" s="179" t="n"/>
      <c r="N123" s="179" t="n"/>
      <c r="O123" s="173" t="n"/>
    </row>
    <row r="124" ht="33.75" customHeight="1" s="151">
      <c r="A124" s="15">
        <f>IF(B124&lt;&gt;"", COUNTA($B$2:B124), "")</f>
        <v/>
      </c>
      <c r="B124" s="73" t="inlineStr">
        <is>
          <t>Преобразователь избыточного давления</t>
        </is>
      </c>
      <c r="C124" s="14" t="inlineStr">
        <is>
          <t>Метран 150 CD</t>
        </is>
      </c>
      <c r="D124" s="181" t="n">
        <v>6077540</v>
      </c>
      <c r="E124" s="179" t="n"/>
      <c r="F124" s="70" t="inlineStr">
        <is>
          <t>0…250 кПа</t>
        </is>
      </c>
      <c r="G124" s="14" t="inlineStr">
        <is>
          <t>0.1</t>
        </is>
      </c>
      <c r="H124" s="14" t="inlineStr">
        <is>
          <t>∆Р между оболочкой радиального подшипника и второй ступенью ГДУ ( ЗКВ)</t>
        </is>
      </c>
      <c r="I124" s="15" t="inlineStr">
        <is>
          <t>Укрытие</t>
        </is>
      </c>
      <c r="J124" s="41" t="inlineStr">
        <is>
          <t>АСУ,А и ТМ (КЦ № 7)</t>
        </is>
      </c>
      <c r="K124" s="179" t="n"/>
      <c r="L124" s="179" t="n"/>
      <c r="M124" s="179" t="n"/>
      <c r="N124" s="179" t="n"/>
      <c r="O124" s="173" t="n"/>
    </row>
    <row r="125" ht="22.5" customHeight="1" s="151">
      <c r="A125" s="15">
        <f>IF(B125&lt;&gt;"", COUNTA($B$2:B125), "")</f>
        <v/>
      </c>
      <c r="B125" s="73" t="inlineStr">
        <is>
          <t>Преобразователь избыточного давления</t>
        </is>
      </c>
      <c r="C125" s="14" t="inlineStr">
        <is>
          <t>Метран 150 CD</t>
        </is>
      </c>
      <c r="D125" s="181" t="n">
        <v>6071990</v>
      </c>
      <c r="E125" s="179" t="n"/>
      <c r="F125" s="70" t="inlineStr">
        <is>
          <t>0…250 кПа</t>
        </is>
      </c>
      <c r="G125" s="14" t="inlineStr">
        <is>
          <t>0.1</t>
        </is>
      </c>
      <c r="H125" s="14" t="inlineStr">
        <is>
          <t>∆Р воздуха на фильтре в линии подвода к МП</t>
        </is>
      </c>
      <c r="I125" s="175" t="n"/>
      <c r="J125" s="41" t="inlineStr">
        <is>
          <t>АСУ,А и ТМ (КЦ № 7)</t>
        </is>
      </c>
      <c r="K125" s="179" t="n"/>
      <c r="L125" s="179" t="n"/>
      <c r="M125" s="179" t="n"/>
      <c r="N125" s="179" t="n"/>
      <c r="O125" s="173" t="n"/>
    </row>
    <row r="126" ht="22.5" customHeight="1" s="151">
      <c r="A126" s="15">
        <f>IF(B126&lt;&gt;"", COUNTA($B$2:B126), "")</f>
        <v/>
      </c>
      <c r="B126" s="73" t="inlineStr">
        <is>
          <t>Преобразователь избыточного давления</t>
        </is>
      </c>
      <c r="C126" s="14" t="inlineStr">
        <is>
          <t>Метран 150 CD</t>
        </is>
      </c>
      <c r="D126" s="181" t="n">
        <v>6073562</v>
      </c>
      <c r="E126" s="179" t="n"/>
      <c r="F126" s="70" t="inlineStr">
        <is>
          <t>0…250 кПа</t>
        </is>
      </c>
      <c r="G126" s="14" t="inlineStr">
        <is>
          <t>0.1</t>
        </is>
      </c>
      <c r="H126" s="14" t="inlineStr">
        <is>
          <t>∆Р буферного газа на фильтре грубой очистки</t>
        </is>
      </c>
      <c r="I126" s="175" t="n"/>
      <c r="J126" s="41" t="inlineStr">
        <is>
          <t>АСУ,А и ТМ (КЦ № 7)</t>
        </is>
      </c>
      <c r="K126" s="179" t="n"/>
      <c r="L126" s="179" t="n"/>
      <c r="M126" s="179" t="n"/>
      <c r="N126" s="179" t="n"/>
      <c r="O126" s="173" t="n"/>
    </row>
    <row r="127" ht="22.5" customHeight="1" s="151">
      <c r="A127" s="15">
        <f>IF(B127&lt;&gt;"", COUNTA($B$2:B127), "")</f>
        <v/>
      </c>
      <c r="B127" s="73" t="inlineStr">
        <is>
          <t>Преобразователь избыточного давления</t>
        </is>
      </c>
      <c r="C127" s="14" t="inlineStr">
        <is>
          <t>Метран 150 CD</t>
        </is>
      </c>
      <c r="D127" s="181" t="n">
        <v>6071613</v>
      </c>
      <c r="E127" s="179" t="n"/>
      <c r="F127" s="70" t="inlineStr">
        <is>
          <t>0…250 кПа</t>
        </is>
      </c>
      <c r="G127" s="14" t="inlineStr">
        <is>
          <t>0.1</t>
        </is>
      </c>
      <c r="H127" s="14" t="inlineStr">
        <is>
          <t>∆Рбг  на фильтре тонкой очистки</t>
        </is>
      </c>
      <c r="I127" s="175" t="n"/>
      <c r="J127" s="41" t="inlineStr">
        <is>
          <t>АСУ,А и ТМ (КЦ № 7)</t>
        </is>
      </c>
      <c r="K127" s="179" t="n"/>
      <c r="L127" s="179" t="n"/>
      <c r="M127" s="179" t="n"/>
      <c r="N127" s="179" t="n"/>
      <c r="O127" s="173" t="n"/>
    </row>
    <row r="128" ht="22.5" customHeight="1" s="151">
      <c r="A128" s="15">
        <f>IF(B128&lt;&gt;"", COUNTA($B$2:B128), "")</f>
        <v/>
      </c>
      <c r="B128" s="73" t="inlineStr">
        <is>
          <t>Преобразователь избыточного давления</t>
        </is>
      </c>
      <c r="C128" s="14" t="inlineStr">
        <is>
          <t>Метран 150 CD</t>
        </is>
      </c>
      <c r="D128" s="181" t="n">
        <v>6071607</v>
      </c>
      <c r="E128" s="179" t="n"/>
      <c r="F128" s="70" t="inlineStr">
        <is>
          <t>0…250 кПа</t>
        </is>
      </c>
      <c r="G128" s="14" t="inlineStr">
        <is>
          <t>0.1</t>
        </is>
      </c>
      <c r="H128" s="14" t="inlineStr">
        <is>
          <t>∆Р газ-газ в линии ПКВ</t>
        </is>
      </c>
      <c r="I128" s="15" t="inlineStr">
        <is>
          <t>Укрытие</t>
        </is>
      </c>
      <c r="J128" s="41" t="inlineStr">
        <is>
          <t>АСУ,А и ТМ (КЦ № 7)</t>
        </is>
      </c>
      <c r="K128" s="179" t="n"/>
      <c r="L128" s="179" t="n"/>
      <c r="M128" s="179" t="n"/>
      <c r="N128" s="179" t="n"/>
      <c r="O128" s="173" t="n"/>
    </row>
    <row r="129" ht="22.5" customHeight="1" s="151">
      <c r="A129" s="15">
        <f>IF(B129&lt;&gt;"", COUNTA($B$2:B129), "")</f>
        <v/>
      </c>
      <c r="B129" s="73" t="inlineStr">
        <is>
          <t>Преобразователь избыточного давления</t>
        </is>
      </c>
      <c r="C129" s="14" t="inlineStr">
        <is>
          <t>Метран 150 CD</t>
        </is>
      </c>
      <c r="D129" s="181" t="n">
        <v>6071614</v>
      </c>
      <c r="E129" s="179" t="n"/>
      <c r="F129" s="70" t="inlineStr">
        <is>
          <t>0…250 кПа</t>
        </is>
      </c>
      <c r="G129" s="14" t="inlineStr">
        <is>
          <t>0.1</t>
        </is>
      </c>
      <c r="H129" s="14" t="inlineStr">
        <is>
          <t>∆Р газ-газ в линии ЗКВ</t>
        </is>
      </c>
      <c r="I129" s="15" t="inlineStr">
        <is>
          <t>Укрытие</t>
        </is>
      </c>
      <c r="J129" s="41" t="inlineStr">
        <is>
          <t>АСУ,А и ТМ (КЦ № 7)</t>
        </is>
      </c>
      <c r="K129" s="179" t="n"/>
      <c r="L129" s="179" t="n"/>
      <c r="M129" s="179" t="n"/>
      <c r="N129" s="179" t="n"/>
      <c r="O129" s="173" t="n"/>
    </row>
    <row r="130" ht="22.5" customHeight="1" s="151">
      <c r="A130" s="15">
        <f>IF(B130&lt;&gt;"", COUNTA($B$2:B130), "")</f>
        <v/>
      </c>
      <c r="B130" s="73" t="inlineStr">
        <is>
          <t>Преобразователь избыточного давления</t>
        </is>
      </c>
      <c r="C130" s="14" t="inlineStr">
        <is>
          <t>Метран 150 TG</t>
        </is>
      </c>
      <c r="D130" s="181" t="n">
        <v>6071586</v>
      </c>
      <c r="E130" s="179" t="n"/>
      <c r="F130" s="70" t="inlineStr">
        <is>
          <t>0…1 МПа</t>
        </is>
      </c>
      <c r="G130" s="14" t="inlineStr">
        <is>
          <t>0.1</t>
        </is>
      </c>
      <c r="H130" s="175" t="inlineStr">
        <is>
          <t>Р в линии утечек 1-ой ступени ГДУ ПКВ</t>
        </is>
      </c>
      <c r="I130" s="15" t="inlineStr">
        <is>
          <t>Укрытие</t>
        </is>
      </c>
      <c r="J130" s="41" t="inlineStr">
        <is>
          <t>АСУ,А и ТМ (КЦ № 7)</t>
        </is>
      </c>
      <c r="K130" s="179" t="n"/>
      <c r="L130" s="179" t="n"/>
      <c r="M130" s="179" t="n"/>
      <c r="N130" s="179" t="n"/>
      <c r="O130" s="173" t="n"/>
    </row>
    <row r="131" ht="22.5" customHeight="1" s="151">
      <c r="A131" s="15">
        <f>IF(B131&lt;&gt;"", COUNTA($B$2:B131), "")</f>
        <v/>
      </c>
      <c r="B131" s="73" t="inlineStr">
        <is>
          <t>Преобразователь избыточного давления</t>
        </is>
      </c>
      <c r="C131" s="14" t="inlineStr">
        <is>
          <t>Метран 150 TG</t>
        </is>
      </c>
      <c r="D131" s="181" t="n">
        <v>6072453</v>
      </c>
      <c r="E131" s="179" t="n"/>
      <c r="F131" s="70" t="inlineStr">
        <is>
          <t>0…1 МПа</t>
        </is>
      </c>
      <c r="G131" s="14" t="inlineStr">
        <is>
          <t>0.1</t>
        </is>
      </c>
      <c r="H131" s="175" t="inlineStr">
        <is>
          <t>Р в линии утечек 1-ой ступени ГДУ ЗКВ</t>
        </is>
      </c>
      <c r="I131" s="15" t="inlineStr">
        <is>
          <t>Укрытие</t>
        </is>
      </c>
      <c r="J131" s="41" t="inlineStr">
        <is>
          <t>АСУ,А и ТМ (КЦ № 7)</t>
        </is>
      </c>
      <c r="K131" s="179" t="n"/>
      <c r="L131" s="179" t="n"/>
      <c r="M131" s="179" t="n"/>
      <c r="N131" s="179" t="n"/>
      <c r="O131" s="173" t="n"/>
    </row>
    <row r="132" ht="22.5" customHeight="1" s="151">
      <c r="A132" s="15">
        <f>IF(B132&lt;&gt;"", COUNTA($B$2:B132), "")</f>
        <v/>
      </c>
      <c r="B132" s="73" t="inlineStr">
        <is>
          <t>Преобразователь избыточного давления</t>
        </is>
      </c>
      <c r="C132" s="14" t="inlineStr">
        <is>
          <t>Метран 150 TG</t>
        </is>
      </c>
      <c r="D132" s="181" t="n">
        <v>6129375</v>
      </c>
      <c r="E132" s="179" t="n"/>
      <c r="F132" s="70" t="inlineStr">
        <is>
          <t>0…25 МПа</t>
        </is>
      </c>
      <c r="G132" s="14" t="inlineStr">
        <is>
          <t>0.1</t>
        </is>
      </c>
      <c r="H132" s="175" t="inlineStr">
        <is>
          <t xml:space="preserve">Рг перед конфузором </t>
        </is>
      </c>
      <c r="I132" s="15" t="inlineStr">
        <is>
          <t>Укрытие</t>
        </is>
      </c>
      <c r="J132" s="41" t="inlineStr">
        <is>
          <t>АСУ,А и ТМ (КЦ № 7)</t>
        </is>
      </c>
      <c r="K132" s="179" t="n"/>
      <c r="L132" s="179" t="n"/>
      <c r="M132" s="179" t="n"/>
      <c r="N132" s="179" t="n"/>
      <c r="O132" s="173" t="n"/>
    </row>
    <row r="133" ht="22.5" customHeight="1" s="151">
      <c r="A133" s="15">
        <f>IF(B133&lt;&gt;"", COUNTA($B$2:B133), "")</f>
        <v/>
      </c>
      <c r="B133" s="73" t="inlineStr">
        <is>
          <t>Преобразователь избыточного давления</t>
        </is>
      </c>
      <c r="C133" s="14" t="inlineStr">
        <is>
          <t>Метран 150 TG</t>
        </is>
      </c>
      <c r="D133" s="181" t="n">
        <v>6129376</v>
      </c>
      <c r="E133" s="179" t="n"/>
      <c r="F133" s="70" t="inlineStr">
        <is>
          <t>0…25 МПа</t>
        </is>
      </c>
      <c r="G133" s="14" t="inlineStr">
        <is>
          <t>0.1</t>
        </is>
      </c>
      <c r="H133" s="175" t="inlineStr">
        <is>
          <t>Рг на входе в компрессор                                              ( после конфузора)</t>
        </is>
      </c>
      <c r="I133" s="15" t="inlineStr">
        <is>
          <t>Укрытие</t>
        </is>
      </c>
      <c r="J133" s="41" t="inlineStr">
        <is>
          <t>АСУ,А и ТМ (КЦ № 7)</t>
        </is>
      </c>
      <c r="K133" s="179" t="n"/>
      <c r="L133" s="179" t="n"/>
      <c r="M133" s="179" t="n"/>
      <c r="N133" s="179" t="n"/>
      <c r="O133" s="173" t="n"/>
    </row>
    <row r="134" ht="22.5" customHeight="1" s="151">
      <c r="A134" s="15">
        <f>IF(B134&lt;&gt;"", COUNTA($B$2:B134), "")</f>
        <v/>
      </c>
      <c r="B134" s="73" t="inlineStr">
        <is>
          <t>Преобразователь избыточного давления</t>
        </is>
      </c>
      <c r="C134" s="14" t="inlineStr">
        <is>
          <t>Метран 150 TG</t>
        </is>
      </c>
      <c r="D134" s="181" t="n">
        <v>6129377</v>
      </c>
      <c r="E134" s="179" t="n"/>
      <c r="F134" s="70" t="inlineStr">
        <is>
          <t>0…25 МПа</t>
        </is>
      </c>
      <c r="G134" s="14" t="inlineStr">
        <is>
          <t>0.1</t>
        </is>
      </c>
      <c r="H134" s="175" t="inlineStr">
        <is>
          <t>Рг на выходе из компрессора</t>
        </is>
      </c>
      <c r="I134" s="15" t="inlineStr">
        <is>
          <t>Укрытие</t>
        </is>
      </c>
      <c r="J134" s="41" t="inlineStr">
        <is>
          <t>АСУ,А и ТМ (КЦ № 7)</t>
        </is>
      </c>
      <c r="K134" s="179" t="n"/>
      <c r="L134" s="179" t="n"/>
      <c r="M134" s="179" t="n"/>
      <c r="N134" s="179" t="n"/>
      <c r="O134" s="173" t="n"/>
    </row>
    <row r="135" ht="22.5" customHeight="1" s="151">
      <c r="A135" s="15">
        <f>IF(B135&lt;&gt;"", COUNTA($B$2:B135), "")</f>
        <v/>
      </c>
      <c r="B135" s="73" t="inlineStr">
        <is>
          <t>Преобразователь избыточного давления</t>
        </is>
      </c>
      <c r="C135" s="175" t="inlineStr">
        <is>
          <t>YOKOGAWA EJA110E</t>
        </is>
      </c>
      <c r="D135" s="181" t="inlineStr">
        <is>
          <t>71V907132</t>
        </is>
      </c>
      <c r="E135" s="179" t="n"/>
      <c r="F135" s="70" t="inlineStr">
        <is>
          <t>0…16 МПа</t>
        </is>
      </c>
      <c r="G135" s="14" t="inlineStr">
        <is>
          <t>0.1</t>
        </is>
      </c>
      <c r="H135" s="14" t="inlineStr">
        <is>
          <t>∆Рг на конфузоре</t>
        </is>
      </c>
      <c r="I135" s="15" t="inlineStr">
        <is>
          <t>Укрытие</t>
        </is>
      </c>
      <c r="J135" s="41" t="inlineStr">
        <is>
          <t>АСУ,А и ТМ (КЦ № 7)</t>
        </is>
      </c>
      <c r="K135" s="179" t="n"/>
      <c r="L135" s="179" t="n"/>
      <c r="M135" s="179" t="n"/>
      <c r="N135" s="179" t="n"/>
      <c r="O135" s="173" t="n"/>
    </row>
    <row r="136" ht="22.5" customHeight="1" s="151">
      <c r="A136" s="15">
        <f>IF(B136&lt;&gt;"", COUNTA($B$2:B136), "")</f>
        <v/>
      </c>
      <c r="B136" s="74" t="inlineStr">
        <is>
          <t>Преобразователь избыточного давления</t>
        </is>
      </c>
      <c r="C136" s="14" t="inlineStr">
        <is>
          <t>YOKOGAWA EJA530E</t>
        </is>
      </c>
      <c r="D136" s="180" t="inlineStr">
        <is>
          <t>91TC20785</t>
        </is>
      </c>
      <c r="E136" s="181" t="n">
        <v>2018</v>
      </c>
      <c r="F136" s="17" t="inlineStr">
        <is>
          <t>0…2 МПа</t>
        </is>
      </c>
      <c r="G136" s="14" t="n">
        <v>0.1</v>
      </c>
      <c r="H136" s="14" t="inlineStr">
        <is>
          <t>Давление воздуха после ВВТ1 агрегата БВВТ25</t>
        </is>
      </c>
      <c r="I136" s="14" t="inlineStr">
        <is>
          <t>Укрытие</t>
        </is>
      </c>
      <c r="J136" s="48" t="inlineStr">
        <is>
          <t>АСУ,А и ТМ (КЦ № 7)</t>
        </is>
      </c>
      <c r="K136" s="179" t="n"/>
      <c r="L136" s="179" t="n"/>
      <c r="M136" s="179" t="n"/>
      <c r="N136" s="179" t="n"/>
      <c r="O136" s="173" t="n"/>
    </row>
    <row r="137" ht="22.5" customHeight="1" s="151">
      <c r="A137" s="15">
        <f>IF(B137&lt;&gt;"", COUNTA($B$2:B137), "")</f>
        <v/>
      </c>
      <c r="B137" s="73" t="inlineStr">
        <is>
          <t>Преобразователь избыточного давления</t>
        </is>
      </c>
      <c r="C137" s="14" t="inlineStr">
        <is>
          <t>Метран 150 TG</t>
        </is>
      </c>
      <c r="D137" s="181" t="n">
        <v>1634496</v>
      </c>
      <c r="E137" s="179" t="n"/>
      <c r="F137" s="70" t="inlineStr">
        <is>
          <t>0…16 МПа</t>
        </is>
      </c>
      <c r="G137" s="14" t="inlineStr">
        <is>
          <t>0.1</t>
        </is>
      </c>
      <c r="H137" s="175" t="inlineStr">
        <is>
          <t>Рг на выходе АВО газа</t>
        </is>
      </c>
      <c r="I137" s="175" t="inlineStr">
        <is>
          <t>КЦ</t>
        </is>
      </c>
      <c r="J137" s="41" t="inlineStr">
        <is>
          <t>АСУ,А и ТМ (КЦ № 7)</t>
        </is>
      </c>
      <c r="K137" s="179" t="n"/>
      <c r="L137" s="179" t="n"/>
      <c r="M137" s="179" t="n"/>
      <c r="N137" s="179" t="n"/>
      <c r="O137" s="173" t="n"/>
    </row>
    <row r="138" ht="22.5" customHeight="1" s="151">
      <c r="A138" s="15">
        <f>IF(B138&lt;&gt;"", COUNTA($B$2:B138), "")</f>
        <v/>
      </c>
      <c r="B138" s="73" t="inlineStr">
        <is>
          <t>Преобразователь избыточного давления</t>
        </is>
      </c>
      <c r="C138" s="14" t="inlineStr">
        <is>
          <t>Метран 150 TG</t>
        </is>
      </c>
      <c r="D138" s="181" t="n">
        <v>1635008</v>
      </c>
      <c r="E138" s="179" t="n"/>
      <c r="F138" s="70" t="inlineStr">
        <is>
          <t>0…16 МПа</t>
        </is>
      </c>
      <c r="G138" s="14" t="inlineStr">
        <is>
          <t>0.1</t>
        </is>
      </c>
      <c r="H138" s="175" t="inlineStr">
        <is>
          <t>Рг после крана 2-1</t>
        </is>
      </c>
      <c r="I138" s="175" t="inlineStr">
        <is>
          <t>КЦ</t>
        </is>
      </c>
      <c r="J138" s="41" t="inlineStr">
        <is>
          <t>АСУ,А и ТМ (КЦ № 7)</t>
        </is>
      </c>
      <c r="K138" s="179" t="n"/>
      <c r="L138" s="179" t="n"/>
      <c r="M138" s="179" t="n"/>
      <c r="N138" s="179" t="n"/>
      <c r="O138" s="173" t="n"/>
    </row>
    <row r="139" ht="22.5" customHeight="1" s="151">
      <c r="A139" s="15">
        <f>IF(B139&lt;&gt;"", COUNTA($B$2:B139), "")</f>
        <v/>
      </c>
      <c r="B139" s="73" t="inlineStr">
        <is>
          <t>Преобразователь избыточного давления</t>
        </is>
      </c>
      <c r="C139" s="14" t="inlineStr">
        <is>
          <t>Метран 150 TG</t>
        </is>
      </c>
      <c r="D139" s="181" t="n">
        <v>1635010</v>
      </c>
      <c r="E139" s="179" t="n"/>
      <c r="F139" s="70" t="inlineStr">
        <is>
          <t>0…16 МПа</t>
        </is>
      </c>
      <c r="G139" s="14" t="inlineStr">
        <is>
          <t>0.1</t>
        </is>
      </c>
      <c r="H139" s="175" t="inlineStr">
        <is>
          <t>Рг перед краном 2-1</t>
        </is>
      </c>
      <c r="I139" s="175" t="inlineStr">
        <is>
          <t>КЦ</t>
        </is>
      </c>
      <c r="J139" s="41" t="inlineStr">
        <is>
          <t>АСУ,А и ТМ (КЦ № 7)</t>
        </is>
      </c>
      <c r="K139" s="179" t="n"/>
      <c r="L139" s="179" t="n"/>
      <c r="M139" s="179" t="n"/>
      <c r="N139" s="179" t="n"/>
      <c r="O139" s="173" t="n"/>
    </row>
    <row r="140" ht="22.5" customHeight="1" s="151">
      <c r="A140" s="15">
        <f>IF(B140&lt;&gt;"", COUNTA($B$2:B140), "")</f>
        <v/>
      </c>
      <c r="B140" s="73" t="inlineStr">
        <is>
          <t>Преобразователь избыточного давления</t>
        </is>
      </c>
      <c r="C140" s="14" t="inlineStr">
        <is>
          <t>Метран 150 CD</t>
        </is>
      </c>
      <c r="D140" s="181" t="n">
        <v>1634473</v>
      </c>
      <c r="E140" s="179" t="n"/>
      <c r="F140" s="70" t="inlineStr">
        <is>
          <t>0…10 МПа</t>
        </is>
      </c>
      <c r="G140" s="14" t="inlineStr">
        <is>
          <t>0.1</t>
        </is>
      </c>
      <c r="H140" s="14" t="inlineStr">
        <is>
          <t>∆Рг на кране 1-1</t>
        </is>
      </c>
      <c r="I140" s="175" t="inlineStr">
        <is>
          <t>КЦ</t>
        </is>
      </c>
      <c r="J140" s="41" t="inlineStr">
        <is>
          <t>АСУ,А и ТМ (КЦ № 7)</t>
        </is>
      </c>
      <c r="K140" s="179" t="n"/>
      <c r="L140" s="179" t="n"/>
      <c r="M140" s="179" t="n"/>
      <c r="N140" s="179" t="n"/>
      <c r="O140" s="173" t="n"/>
    </row>
    <row r="141" ht="22.5" customHeight="1" s="151">
      <c r="A141" s="15">
        <f>IF(B141&lt;&gt;"", COUNTA($B$2:B141), "")</f>
        <v/>
      </c>
      <c r="B141" s="73" t="inlineStr">
        <is>
          <t>Преобразователь избыточного давления</t>
        </is>
      </c>
      <c r="C141" s="14" t="inlineStr">
        <is>
          <t>Метран 150 CD</t>
        </is>
      </c>
      <c r="D141" s="181" t="n">
        <v>1634470</v>
      </c>
      <c r="E141" s="179" t="n"/>
      <c r="F141" s="70" t="inlineStr">
        <is>
          <t>0…10 МПа</t>
        </is>
      </c>
      <c r="G141" s="14" t="inlineStr">
        <is>
          <t>0.1</t>
        </is>
      </c>
      <c r="H141" s="14" t="inlineStr">
        <is>
          <t>∆Рг на кране 1</t>
        </is>
      </c>
      <c r="I141" s="175" t="inlineStr">
        <is>
          <t>КЦ</t>
        </is>
      </c>
      <c r="J141" s="41" t="inlineStr">
        <is>
          <t>АСУ,А и ТМ (КЦ № 7)</t>
        </is>
      </c>
      <c r="K141" s="179" t="n"/>
      <c r="L141" s="179" t="n"/>
      <c r="M141" s="179" t="n"/>
      <c r="N141" s="179" t="n"/>
      <c r="O141" s="173" t="n"/>
    </row>
    <row r="142" ht="22.5" customHeight="1" s="151">
      <c r="A142" s="15">
        <f>IF(B142&lt;&gt;"", COUNTA($B$2:B142), "")</f>
        <v/>
      </c>
      <c r="B142" s="73" t="inlineStr">
        <is>
          <t>Преобразователь избыточного давления</t>
        </is>
      </c>
      <c r="C142" s="14" t="inlineStr">
        <is>
          <t>Метран 150 CD</t>
        </is>
      </c>
      <c r="D142" s="181" t="n">
        <v>1634570</v>
      </c>
      <c r="E142" s="179" t="n"/>
      <c r="F142" s="70" t="inlineStr">
        <is>
          <t>0…160 кПа</t>
        </is>
      </c>
      <c r="G142" s="14" t="inlineStr">
        <is>
          <t>0.1</t>
        </is>
      </c>
      <c r="H142" s="14" t="inlineStr">
        <is>
          <t>∆Рг на защитной решетке перед компрессором</t>
        </is>
      </c>
      <c r="I142" s="175" t="inlineStr">
        <is>
          <t>КЦ</t>
        </is>
      </c>
      <c r="J142" s="41" t="inlineStr">
        <is>
          <t>АСУ,А и ТМ (КЦ № 7)</t>
        </is>
      </c>
      <c r="K142" s="179" t="n"/>
      <c r="L142" s="179" t="n"/>
      <c r="M142" s="179" t="n"/>
      <c r="N142" s="179" t="n"/>
      <c r="O142" s="173" t="n"/>
    </row>
    <row r="143" ht="22.5" customHeight="1" s="151">
      <c r="A143" s="15">
        <f>IF(B143&lt;&gt;"", COUNTA($B$2:B143), "")</f>
        <v/>
      </c>
      <c r="B143" s="73" t="inlineStr">
        <is>
          <t>Преобразователь избыточного давления</t>
        </is>
      </c>
      <c r="C143" s="14" t="inlineStr">
        <is>
          <t>Метран 150 CD</t>
        </is>
      </c>
      <c r="D143" s="181" t="n">
        <v>1634575</v>
      </c>
      <c r="E143" s="179" t="n"/>
      <c r="F143" s="70" t="inlineStr">
        <is>
          <t>0…160 кПа</t>
        </is>
      </c>
      <c r="G143" s="14" t="inlineStr">
        <is>
          <t>0.1</t>
        </is>
      </c>
      <c r="H143" s="14" t="inlineStr">
        <is>
          <t>∆Рг на АВО газа</t>
        </is>
      </c>
      <c r="I143" s="175" t="inlineStr">
        <is>
          <t>КЦ</t>
        </is>
      </c>
      <c r="J143" s="41" t="inlineStr">
        <is>
          <t>АСУ,А и ТМ (КЦ № 7)</t>
        </is>
      </c>
      <c r="K143" s="179" t="n"/>
      <c r="L143" s="179" t="n"/>
      <c r="M143" s="179" t="n"/>
      <c r="N143" s="179" t="n"/>
      <c r="O143" s="173" t="n"/>
    </row>
    <row r="144" ht="22.5" customHeight="1" s="151">
      <c r="A144" s="15">
        <f>IF(B144&lt;&gt;"", COUNTA($B$2:B144), "")</f>
        <v/>
      </c>
      <c r="B144" s="73" t="inlineStr">
        <is>
          <t>Преобразователь давления корабельный</t>
        </is>
      </c>
      <c r="C144" s="14" t="inlineStr">
        <is>
          <t>ВАЛКОМ ПДК-ВО-Д-250К-А-2-Б04-Н-01-Д20</t>
        </is>
      </c>
      <c r="D144" s="181" t="inlineStr">
        <is>
          <t>8К10996</t>
        </is>
      </c>
      <c r="E144" s="179" t="n"/>
      <c r="F144" s="70" t="inlineStr">
        <is>
          <t>0…250 кПа</t>
        </is>
      </c>
      <c r="G144" s="179" t="n">
        <v>0.25</v>
      </c>
      <c r="H144" s="14" t="inlineStr">
        <is>
          <t>∆Р на фильтре №1 БФТГ</t>
        </is>
      </c>
      <c r="I144" s="175" t="inlineStr">
        <is>
          <t>КЦ</t>
        </is>
      </c>
      <c r="J144" s="41" t="inlineStr">
        <is>
          <t>АСУ,А и ТМ (КЦ № 7)</t>
        </is>
      </c>
      <c r="K144" s="179" t="n"/>
      <c r="L144" s="179" t="n"/>
      <c r="M144" s="179" t="n"/>
      <c r="N144" s="179" t="n"/>
      <c r="O144" s="173" t="n"/>
    </row>
    <row r="145" ht="22.5" customHeight="1" s="151">
      <c r="A145" s="15">
        <f>IF(B145&lt;&gt;"", COUNTA($B$2:B145), "")</f>
        <v/>
      </c>
      <c r="B145" s="73" t="inlineStr">
        <is>
          <t>Преобразователь давления корабельный</t>
        </is>
      </c>
      <c r="C145" s="14" t="inlineStr">
        <is>
          <t>ВАЛКОМ ПДК-ВО-Д-250К-А-2-Б04-Н-01-Д20</t>
        </is>
      </c>
      <c r="D145" s="181" t="inlineStr">
        <is>
          <t>8К10997</t>
        </is>
      </c>
      <c r="E145" s="179" t="n"/>
      <c r="F145" s="70" t="inlineStr">
        <is>
          <t>0…250 кПа</t>
        </is>
      </c>
      <c r="G145" s="179" t="n">
        <v>0.25</v>
      </c>
      <c r="H145" s="14" t="inlineStr">
        <is>
          <t>∆Р на фильтре №2 БФТГ</t>
        </is>
      </c>
      <c r="I145" s="175" t="inlineStr">
        <is>
          <t>КЦ</t>
        </is>
      </c>
      <c r="J145" s="41" t="inlineStr">
        <is>
          <t>АСУ,А и ТМ (КЦ № 7)</t>
        </is>
      </c>
      <c r="K145" s="179" t="n"/>
      <c r="L145" s="179" t="n"/>
      <c r="M145" s="179" t="n"/>
      <c r="N145" s="179" t="n"/>
      <c r="O145" s="173" t="n"/>
    </row>
    <row r="146" ht="22.5" customHeight="1" s="151">
      <c r="A146" s="15">
        <f>IF(B146&lt;&gt;"", COUNTA($B$2:B146), "")</f>
        <v/>
      </c>
      <c r="B146" s="73" t="inlineStr">
        <is>
          <t>Преобразователь давления корабельный</t>
        </is>
      </c>
      <c r="C146" s="14" t="inlineStr">
        <is>
          <t>ВАЛКОМ ПДК-ВО-Д-250К-А-2-Б04-Н-01-Д20</t>
        </is>
      </c>
      <c r="D146" s="181" t="inlineStr">
        <is>
          <t>8К10981</t>
        </is>
      </c>
      <c r="E146" s="179" t="n"/>
      <c r="F146" s="70" t="inlineStr">
        <is>
          <t>0…250 кПа</t>
        </is>
      </c>
      <c r="G146" s="179" t="n">
        <v>0.25</v>
      </c>
      <c r="H146" s="14" t="inlineStr">
        <is>
          <t>∆Р на фильтре №1 БФБГ</t>
        </is>
      </c>
      <c r="I146" s="175" t="inlineStr">
        <is>
          <t>КЦ</t>
        </is>
      </c>
      <c r="J146" s="41" t="inlineStr">
        <is>
          <t>АСУ,А и ТМ (КЦ № 7)</t>
        </is>
      </c>
      <c r="K146" s="179" t="n"/>
      <c r="L146" s="179" t="n"/>
      <c r="M146" s="179" t="n"/>
      <c r="N146" s="179" t="n"/>
      <c r="O146" s="173" t="n"/>
    </row>
    <row r="147" ht="22.5" customHeight="1" s="151">
      <c r="A147" s="15">
        <f>IF(B147&lt;&gt;"", COUNTA($B$2:B147), "")</f>
        <v/>
      </c>
      <c r="B147" s="73" t="inlineStr">
        <is>
          <t>Преобразователь давления корабельный</t>
        </is>
      </c>
      <c r="C147" s="14" t="inlineStr">
        <is>
          <t>ВАЛКОМ ПДК-ВО-Д-250К-А-2-Б04-Н-01-Д20</t>
        </is>
      </c>
      <c r="D147" s="181" t="inlineStr">
        <is>
          <t>8К10954</t>
        </is>
      </c>
      <c r="E147" s="179" t="n"/>
      <c r="F147" s="70" t="inlineStr">
        <is>
          <t>0…250 кПа</t>
        </is>
      </c>
      <c r="G147" s="179" t="n">
        <v>0.25</v>
      </c>
      <c r="H147" s="14" t="inlineStr">
        <is>
          <t>∆Р на фильтре №2 БФБГ</t>
        </is>
      </c>
      <c r="I147" s="175" t="inlineStr">
        <is>
          <t>КЦ</t>
        </is>
      </c>
      <c r="J147" s="41" t="inlineStr">
        <is>
          <t>АСУ,А и ТМ (КЦ № 7)</t>
        </is>
      </c>
      <c r="K147" s="179" t="n"/>
      <c r="L147" s="179" t="n"/>
      <c r="M147" s="179" t="n"/>
      <c r="N147" s="179" t="n"/>
      <c r="O147" s="173" t="n"/>
    </row>
    <row r="148" ht="22.5" customHeight="1" s="151">
      <c r="A148" s="15">
        <f>IF(B148&lt;&gt;"", COUNTA($B$2:B148), "")</f>
        <v/>
      </c>
      <c r="B148" s="73" t="inlineStr">
        <is>
          <t>Преобразователь избыточного давления</t>
        </is>
      </c>
      <c r="C148" s="14" t="inlineStr">
        <is>
          <t>Метран 150 CD</t>
        </is>
      </c>
      <c r="D148" s="181" t="n">
        <v>6071608</v>
      </c>
      <c r="E148" s="181" t="n">
        <v>2018</v>
      </c>
      <c r="F148" s="70" t="inlineStr">
        <is>
          <t>0…250 кПа</t>
        </is>
      </c>
      <c r="G148" s="14" t="inlineStr">
        <is>
          <t>0.1</t>
        </is>
      </c>
      <c r="H148" s="14" t="inlineStr">
        <is>
          <t>∆Рбг на сепараторе СГУ</t>
        </is>
      </c>
      <c r="I148" s="175" t="n"/>
      <c r="J148" s="41" t="inlineStr">
        <is>
          <t>АСУ,А и ТМ (КЦ № 7)</t>
        </is>
      </c>
      <c r="K148" s="179" t="n"/>
      <c r="L148" s="179" t="n"/>
      <c r="M148" s="179" t="n"/>
      <c r="N148" s="179" t="n"/>
      <c r="O148" s="178" t="n"/>
    </row>
    <row r="149" ht="22.5" customHeight="1" s="151">
      <c r="A149" s="15">
        <f>IF(B149&lt;&gt;"", COUNTA($B$2:B149), "")</f>
        <v/>
      </c>
      <c r="B149" s="73" t="inlineStr">
        <is>
          <t>Преобразователь избыточного давления</t>
        </is>
      </c>
      <c r="C149" s="14" t="inlineStr">
        <is>
          <t>Метран 150 CD</t>
        </is>
      </c>
      <c r="D149" s="181" t="n">
        <v>664460</v>
      </c>
      <c r="E149" s="179" t="n"/>
      <c r="F149" s="70" t="inlineStr">
        <is>
          <t>0…250 кПа</t>
        </is>
      </c>
      <c r="G149" s="14" t="inlineStr">
        <is>
          <t>0.1</t>
        </is>
      </c>
      <c r="H149" s="14" t="inlineStr">
        <is>
          <t>∆Рбг на фильтре-сепараторе</t>
        </is>
      </c>
      <c r="I149" s="175" t="n"/>
      <c r="J149" s="41" t="inlineStr">
        <is>
          <t>АСУ,А и ТМ (КЦ № 7)</t>
        </is>
      </c>
      <c r="K149" s="179" t="n"/>
      <c r="L149" s="179" t="n"/>
      <c r="M149" s="179" t="n"/>
      <c r="N149" s="179" t="n"/>
      <c r="O149" s="173" t="n"/>
    </row>
    <row r="150" ht="22.5" customHeight="1" s="151">
      <c r="A150" s="15">
        <f>IF(B150&lt;&gt;"", COUNTA($B$2:B150), "")</f>
        <v/>
      </c>
      <c r="B150" s="74" t="inlineStr">
        <is>
          <t>Преобразователь избыточного давления</t>
        </is>
      </c>
      <c r="C150" s="14" t="inlineStr">
        <is>
          <t>Метран 150 TG</t>
        </is>
      </c>
      <c r="D150" s="180" t="n">
        <v>6081370</v>
      </c>
      <c r="E150" s="296" t="n">
        <v>43282</v>
      </c>
      <c r="F150" s="70" t="inlineStr">
        <is>
          <t>0…160 кПа</t>
        </is>
      </c>
      <c r="G150" s="14" t="inlineStr">
        <is>
          <t>0.1</t>
        </is>
      </c>
      <c r="H150" s="14" t="inlineStr">
        <is>
          <t>Рв  в установке воздухонагнетателя №1</t>
        </is>
      </c>
      <c r="I150" s="14" t="inlineStr">
        <is>
          <t>БКВ</t>
        </is>
      </c>
      <c r="J150" s="41" t="inlineStr">
        <is>
          <t>АСУ,А и ТМ (КЦ № 7)</t>
        </is>
      </c>
      <c r="K150" s="179" t="n"/>
      <c r="L150" s="179" t="n"/>
      <c r="M150" s="179" t="n"/>
      <c r="N150" s="179" t="n"/>
      <c r="O150" s="173" t="n"/>
    </row>
    <row r="151" ht="22.5" customHeight="1" s="151">
      <c r="A151" s="15">
        <f>IF(B151&lt;&gt;"", COUNTA($B$2:B151), "")</f>
        <v/>
      </c>
      <c r="B151" s="74" t="inlineStr">
        <is>
          <t>Преобразователь избыточного давления</t>
        </is>
      </c>
      <c r="C151" s="14" t="inlineStr">
        <is>
          <t>Метран 150 TG</t>
        </is>
      </c>
      <c r="D151" s="180" t="n">
        <v>6085979</v>
      </c>
      <c r="E151" s="296" t="n">
        <v>43344</v>
      </c>
      <c r="F151" s="70" t="inlineStr">
        <is>
          <t>0…6 МПа</t>
        </is>
      </c>
      <c r="G151" s="14" t="inlineStr">
        <is>
          <t>0.1</t>
        </is>
      </c>
      <c r="H151" s="14" t="inlineStr">
        <is>
          <t>Давление воздуха на линии подвода к ресиверу</t>
        </is>
      </c>
      <c r="I151" s="14" t="inlineStr">
        <is>
          <t>БКВ</t>
        </is>
      </c>
      <c r="J151" s="41" t="inlineStr">
        <is>
          <t>АСУ,А и ТМ (КЦ № 7)</t>
        </is>
      </c>
      <c r="K151" s="179" t="n"/>
      <c r="L151" s="179" t="n"/>
      <c r="M151" s="179" t="n"/>
      <c r="N151" s="179" t="n"/>
      <c r="O151" s="173" t="n"/>
    </row>
    <row r="152" ht="22.5" customHeight="1" s="151">
      <c r="A152" s="15">
        <f>IF(B152&lt;&gt;"", COUNTA($B$2:B152), "")</f>
        <v/>
      </c>
      <c r="B152" s="74" t="inlineStr">
        <is>
          <t>Преобразователь избыточного давления</t>
        </is>
      </c>
      <c r="C152" s="14" t="inlineStr">
        <is>
          <t>Метран 150 TG</t>
        </is>
      </c>
      <c r="D152" s="180" t="n">
        <v>6081372</v>
      </c>
      <c r="E152" s="296" t="n">
        <v>43282</v>
      </c>
      <c r="F152" s="70" t="inlineStr">
        <is>
          <t>0…160 кПа</t>
        </is>
      </c>
      <c r="G152" s="14" t="inlineStr">
        <is>
          <t>0.1</t>
        </is>
      </c>
      <c r="H152" s="14" t="inlineStr">
        <is>
          <t>Рв  в установке воздухонагнетателя №2</t>
        </is>
      </c>
      <c r="I152" s="14" t="inlineStr">
        <is>
          <t>БКВ</t>
        </is>
      </c>
      <c r="J152" s="41" t="inlineStr">
        <is>
          <t>АСУ,А и ТМ (КЦ № 7)</t>
        </is>
      </c>
      <c r="K152" s="179" t="n"/>
      <c r="L152" s="179" t="n"/>
      <c r="M152" s="179" t="n"/>
      <c r="N152" s="179" t="n"/>
      <c r="O152" s="173" t="n"/>
    </row>
    <row r="153" ht="22.5" customHeight="1" s="151">
      <c r="A153" s="15">
        <f>IF(B153&lt;&gt;"", COUNTA($B$2:B153), "")</f>
        <v/>
      </c>
      <c r="B153" s="74" t="inlineStr">
        <is>
          <t>Преобразователь избыточного давления</t>
        </is>
      </c>
      <c r="C153" s="14" t="inlineStr">
        <is>
          <t>Метран 150 TG</t>
        </is>
      </c>
      <c r="D153" s="14" t="n">
        <v>6085986</v>
      </c>
      <c r="E153" s="296" t="n">
        <v>43344</v>
      </c>
      <c r="F153" s="70" t="inlineStr">
        <is>
          <t>0…160 кПа</t>
        </is>
      </c>
      <c r="G153" s="14" t="inlineStr">
        <is>
          <t>0.1</t>
        </is>
      </c>
      <c r="H153" s="14" t="inlineStr">
        <is>
          <t>Рв на выходе из БКВ к укрытию ГПА</t>
        </is>
      </c>
      <c r="I153" s="14" t="inlineStr">
        <is>
          <t>БКВ</t>
        </is>
      </c>
      <c r="J153" s="41" t="inlineStr">
        <is>
          <t>АСУ,А и ТМ (КЦ № 7)</t>
        </is>
      </c>
      <c r="K153" s="179" t="n"/>
      <c r="L153" s="179" t="n"/>
      <c r="M153" s="179" t="n"/>
      <c r="N153" s="179" t="n"/>
      <c r="O153" s="173" t="n"/>
    </row>
    <row r="154" ht="22.5" customHeight="1" s="151">
      <c r="A154" s="15">
        <f>IF(B154&lt;&gt;"", COUNTA($B$2:B154), "")</f>
        <v/>
      </c>
      <c r="B154" s="73" t="inlineStr">
        <is>
          <t>Преобразователь избыточного давления</t>
        </is>
      </c>
      <c r="C154" s="14" t="inlineStr">
        <is>
          <t>Метран 150 CD</t>
        </is>
      </c>
      <c r="D154" s="175" t="n">
        <v>6104420</v>
      </c>
      <c r="E154" s="175" t="n"/>
      <c r="F154" s="70" t="inlineStr">
        <is>
          <t>0…6,3 кПа</t>
        </is>
      </c>
      <c r="G154" s="14" t="inlineStr">
        <is>
          <t>0.1</t>
        </is>
      </c>
      <c r="H154" s="14" t="inlineStr">
        <is>
          <t>∆Р воздуха в выходном воздуховоде БС</t>
        </is>
      </c>
      <c r="I154" s="15" t="n"/>
      <c r="J154" s="41" t="inlineStr">
        <is>
          <t>АСУ,А и ТМ (КЦ № 7)</t>
        </is>
      </c>
      <c r="K154" s="179" t="n"/>
      <c r="L154" s="179" t="n"/>
      <c r="M154" s="179" t="n"/>
      <c r="N154" s="179" t="n"/>
      <c r="O154" s="173" t="n"/>
    </row>
    <row r="155" ht="22.5" customHeight="1" s="151">
      <c r="A155" s="15">
        <f>IF(B155&lt;&gt;"", COUNTA($B$2:B155), "")</f>
        <v/>
      </c>
      <c r="B155" s="73" t="inlineStr">
        <is>
          <t>Термометр сопротивления</t>
        </is>
      </c>
      <c r="C155" s="14" t="inlineStr">
        <is>
          <t>ИПТВ-206</t>
        </is>
      </c>
      <c r="D155" s="181" t="inlineStr">
        <is>
          <t>09-0570</t>
        </is>
      </c>
      <c r="E155" s="181" t="n">
        <v>2018</v>
      </c>
      <c r="F155" s="17" t="inlineStr">
        <is>
          <t>-60…110 °С
0…100%</t>
        </is>
      </c>
      <c r="G155" s="88" t="inlineStr">
        <is>
          <t>± 2%</t>
        </is>
      </c>
      <c r="H155" s="14" t="inlineStr">
        <is>
          <t>Температура и влажность наружного воздуха (МТ2051)</t>
        </is>
      </c>
      <c r="I155" s="175" t="inlineStr">
        <is>
          <t>КЦ</t>
        </is>
      </c>
      <c r="J155" s="41" t="inlineStr">
        <is>
          <t>АСУ,А и ТМ (КЦ № 7)</t>
        </is>
      </c>
      <c r="K155" s="179" t="n"/>
      <c r="L155" s="179" t="n"/>
      <c r="M155" s="179" t="n"/>
      <c r="N155" s="179" t="n"/>
      <c r="O155" s="173" t="n"/>
    </row>
    <row r="156" ht="22.5" customHeight="1" s="151">
      <c r="A156" s="15">
        <f>IF(B156&lt;&gt;"", COUNTA($B$2:B156), "")</f>
        <v/>
      </c>
      <c r="B156" s="73" t="inlineStr">
        <is>
          <t>Термометр сопротивления</t>
        </is>
      </c>
      <c r="C156" s="14" t="inlineStr">
        <is>
          <t>ТСП 012.60</t>
        </is>
      </c>
      <c r="D156" s="181" t="n">
        <v>1120</v>
      </c>
      <c r="E156" s="297" t="n">
        <v>44044</v>
      </c>
      <c r="F156" s="17" t="inlineStr">
        <is>
          <t>-60…200 °С
120 мм</t>
        </is>
      </c>
      <c r="G156" s="181" t="n"/>
      <c r="H156" s="175" t="inlineStr">
        <is>
          <t>Температура масла на входе в ГМТ (ТЕ6003)</t>
        </is>
      </c>
      <c r="I156" s="15" t="inlineStr">
        <is>
          <t>Масленая  консоль</t>
        </is>
      </c>
      <c r="J156" s="41" t="inlineStr">
        <is>
          <t>АСУ,А и ТМ (КЦ № 7)</t>
        </is>
      </c>
      <c r="K156" s="179" t="n"/>
      <c r="L156" s="179" t="n"/>
      <c r="M156" s="179" t="n"/>
      <c r="N156" s="179" t="n"/>
      <c r="O156" s="173" t="n"/>
    </row>
    <row r="157" ht="22.5" customHeight="1" s="151">
      <c r="A157" s="15">
        <f>IF(B157&lt;&gt;"", COUNTA($B$2:B157), "")</f>
        <v/>
      </c>
      <c r="B157" s="73" t="inlineStr">
        <is>
          <t>Термометр сопротивления</t>
        </is>
      </c>
      <c r="C157" s="14" t="inlineStr">
        <is>
          <t>ТСП 012.60</t>
        </is>
      </c>
      <c r="D157" s="181" t="n">
        <v>1122</v>
      </c>
      <c r="E157" s="297" t="n">
        <v>44044</v>
      </c>
      <c r="F157" s="17" t="inlineStr">
        <is>
          <t>-60…200 °С
120 мм</t>
        </is>
      </c>
      <c r="G157" s="181" t="n"/>
      <c r="H157" s="14" t="inlineStr">
        <is>
          <t>Тм после ГМТ (ТЕ6004)</t>
        </is>
      </c>
      <c r="I157" s="15" t="inlineStr">
        <is>
          <t>Масленая  консоль</t>
        </is>
      </c>
      <c r="J157" s="41" t="inlineStr">
        <is>
          <t>АСУ,А и ТМ (КЦ № 7)</t>
        </is>
      </c>
      <c r="K157" s="179" t="n"/>
      <c r="L157" s="179" t="n"/>
      <c r="M157" s="179" t="n"/>
      <c r="N157" s="179" t="n"/>
      <c r="O157" s="173" t="n"/>
    </row>
    <row r="158" ht="22.5" customHeight="1" s="151">
      <c r="A158" s="15">
        <f>IF(B158&lt;&gt;"", COUNTA($B$2:B158), "")</f>
        <v/>
      </c>
      <c r="B158" s="73" t="inlineStr">
        <is>
          <t>Термометр сопротивления</t>
        </is>
      </c>
      <c r="C158" s="14" t="inlineStr">
        <is>
          <t>ТСП 012.60</t>
        </is>
      </c>
      <c r="D158" s="181" t="n">
        <v>1121</v>
      </c>
      <c r="E158" s="297" t="n">
        <v>44044</v>
      </c>
      <c r="F158" s="17" t="inlineStr">
        <is>
          <t>-60…200 °С
120 мм</t>
        </is>
      </c>
      <c r="G158" s="181" t="n"/>
      <c r="H158" s="14" t="inlineStr">
        <is>
          <t>Тм в баке двигателя (ТЕ6005)</t>
        </is>
      </c>
      <c r="I158" s="15" t="inlineStr">
        <is>
          <t>Масленая  консоль</t>
        </is>
      </c>
      <c r="J158" s="41" t="inlineStr">
        <is>
          <t>АСУ,А и ТМ (КЦ № 7)</t>
        </is>
      </c>
      <c r="K158" s="179" t="n"/>
      <c r="L158" s="179" t="n"/>
      <c r="M158" s="179" t="n"/>
      <c r="N158" s="179" t="n"/>
      <c r="O158" s="173" t="n"/>
    </row>
    <row r="159" ht="22.5" customHeight="1" s="151">
      <c r="A159" s="15">
        <f>IF(B159&lt;&gt;"", COUNTA($B$2:B159), "")</f>
        <v/>
      </c>
      <c r="B159" s="73" t="inlineStr">
        <is>
          <t>Термометр сопротивления</t>
        </is>
      </c>
      <c r="C159" s="14" t="inlineStr">
        <is>
          <t>ТСП 012.60</t>
        </is>
      </c>
      <c r="D159" s="181" t="inlineStr">
        <is>
          <t>33+</t>
        </is>
      </c>
      <c r="E159" s="181" t="n">
        <v>2018</v>
      </c>
      <c r="F159" s="17" t="inlineStr">
        <is>
          <t>-60…200 °С
320 мм</t>
        </is>
      </c>
      <c r="G159" s="181" t="inlineStr">
        <is>
          <t>В</t>
        </is>
      </c>
      <c r="H159" s="175" t="inlineStr">
        <is>
          <t>Т воздуха в выходном воздуховоде блока силового (ТЕ4001)</t>
        </is>
      </c>
      <c r="I159" s="15" t="n"/>
      <c r="J159" s="41" t="inlineStr">
        <is>
          <t>АСУ,А и ТМ (КЦ № 7)</t>
        </is>
      </c>
      <c r="K159" s="178" t="n"/>
      <c r="L159" s="179" t="n"/>
      <c r="M159" s="179" t="n"/>
      <c r="N159" s="179" t="n"/>
      <c r="O159" s="178" t="n"/>
    </row>
    <row r="160" ht="22.5" customHeight="1" s="151">
      <c r="A160" s="15">
        <f>IF(B160&lt;&gt;"", COUNTA($B$2:B160), "")</f>
        <v/>
      </c>
      <c r="B160" s="73" t="inlineStr">
        <is>
          <t>Термометр сопротивления</t>
        </is>
      </c>
      <c r="C160" s="14" t="inlineStr">
        <is>
          <t>ТСП 012.60</t>
        </is>
      </c>
      <c r="D160" s="181" t="n">
        <v>791</v>
      </c>
      <c r="E160" s="181" t="n"/>
      <c r="F160" s="17" t="inlineStr">
        <is>
          <t>-60…200 °С
100 мм</t>
        </is>
      </c>
      <c r="G160" s="181" t="n"/>
      <c r="H160" s="175" t="inlineStr">
        <is>
          <t>Тг на входе в ГПА (ТЕ5101)</t>
        </is>
      </c>
      <c r="I160" s="15" t="inlineStr">
        <is>
          <t>Укрытие</t>
        </is>
      </c>
      <c r="J160" s="41" t="inlineStr">
        <is>
          <t>АСУ,А и ТМ (КЦ № 7)</t>
        </is>
      </c>
      <c r="K160" s="179" t="n"/>
      <c r="L160" s="179" t="n"/>
      <c r="M160" s="179" t="n"/>
      <c r="N160" s="179" t="n"/>
      <c r="O160" s="173" t="n"/>
    </row>
    <row r="161" ht="22.5" customHeight="1" s="151">
      <c r="A161" s="15">
        <f>IF(B161&lt;&gt;"", COUNTA($B$2:B161), "")</f>
        <v/>
      </c>
      <c r="B161" s="73" t="inlineStr">
        <is>
          <t>Термометр сопротивления</t>
        </is>
      </c>
      <c r="C161" s="14" t="inlineStr">
        <is>
          <t>ТСП 012.60</t>
        </is>
      </c>
      <c r="D161" s="181" t="n">
        <v>797</v>
      </c>
      <c r="E161" s="181" t="n"/>
      <c r="F161" s="17" t="inlineStr">
        <is>
          <t>-60…200 °С
100 мм</t>
        </is>
      </c>
      <c r="G161" s="181" t="n"/>
      <c r="H161" s="175" t="inlineStr">
        <is>
          <t>Тг на входе в турбоблок (ТЕ5102)</t>
        </is>
      </c>
      <c r="I161" s="15" t="inlineStr">
        <is>
          <t>Укрытие</t>
        </is>
      </c>
      <c r="J161" s="41" t="inlineStr">
        <is>
          <t>АСУ,А и ТМ (КЦ № 7)</t>
        </is>
      </c>
      <c r="K161" s="179" t="n"/>
      <c r="L161" s="179" t="n"/>
      <c r="M161" s="179" t="n"/>
      <c r="N161" s="179" t="n"/>
      <c r="O161" s="173" t="n"/>
    </row>
    <row r="162" ht="22.5" customHeight="1" s="151">
      <c r="A162" s="15">
        <f>IF(B162&lt;&gt;"", COUNTA($B$2:B162), "")</f>
        <v/>
      </c>
      <c r="B162" s="73" t="inlineStr">
        <is>
          <t>Термометр сопротивления</t>
        </is>
      </c>
      <c r="C162" s="14" t="inlineStr">
        <is>
          <t>ТСП 012.60</t>
        </is>
      </c>
      <c r="D162" s="181" t="n">
        <v>800</v>
      </c>
      <c r="E162" s="181" t="n"/>
      <c r="F162" s="17" t="inlineStr">
        <is>
          <t>-60…200 °С
100 мм</t>
        </is>
      </c>
      <c r="G162" s="181" t="n"/>
      <c r="H162" s="175" t="inlineStr">
        <is>
          <t>Тг на выходе подогревателя (ТЕ5103)</t>
        </is>
      </c>
      <c r="I162" s="15" t="n"/>
      <c r="J162" s="41" t="inlineStr">
        <is>
          <t>АСУ,А и ТМ (КЦ № 7)</t>
        </is>
      </c>
      <c r="K162" s="179" t="n"/>
      <c r="L162" s="179" t="n"/>
      <c r="M162" s="179" t="n"/>
      <c r="N162" s="179" t="n"/>
      <c r="O162" s="173" t="n"/>
    </row>
    <row r="163" ht="22.5" customHeight="1" s="151">
      <c r="A163" s="15">
        <f>IF(B163&lt;&gt;"", COUNTA($B$2:B163), "")</f>
        <v/>
      </c>
      <c r="B163" s="73" t="inlineStr">
        <is>
          <t>Термометр сопротивления</t>
        </is>
      </c>
      <c r="C163" s="14" t="inlineStr">
        <is>
          <t>ТСП 012.60</t>
        </is>
      </c>
      <c r="D163" s="175" t="n">
        <v>731</v>
      </c>
      <c r="E163" s="295" t="n">
        <v>43191</v>
      </c>
      <c r="F163" s="17" t="inlineStr">
        <is>
          <t>-60…200 °С
400 мм</t>
        </is>
      </c>
      <c r="G163" s="95" t="inlineStr">
        <is>
          <t>В</t>
        </is>
      </c>
      <c r="H163" s="175" t="inlineStr">
        <is>
          <t>Тв во всасывающей камере (ТЕ2031)</t>
        </is>
      </c>
      <c r="I163" s="175" t="n"/>
      <c r="J163" s="41" t="inlineStr">
        <is>
          <t>АСУ,А и ТМ (КЦ № 7)</t>
        </is>
      </c>
      <c r="K163" s="179" t="n"/>
      <c r="L163" s="179" t="n"/>
      <c r="M163" s="179" t="n"/>
      <c r="N163" s="179" t="n"/>
      <c r="O163" s="173" t="n"/>
    </row>
    <row r="164" ht="22.5" customHeight="1" s="151">
      <c r="A164" s="15">
        <f>IF(B164&lt;&gt;"", COUNTA($B$2:B164), "")</f>
        <v/>
      </c>
      <c r="B164" s="74" t="inlineStr">
        <is>
          <t>Термометр сопротивления</t>
        </is>
      </c>
      <c r="C164" s="14" t="inlineStr">
        <is>
          <t>ТСП 012.08</t>
        </is>
      </c>
      <c r="D164" s="180" t="n">
        <v>583</v>
      </c>
      <c r="E164" s="180" t="n"/>
      <c r="F164" s="17" t="inlineStr">
        <is>
          <t>-60…200 °С
80 мм</t>
        </is>
      </c>
      <c r="G164" s="180" t="n"/>
      <c r="H164" s="175" t="inlineStr">
        <is>
          <t>Тв на выходе из БКВ к укрытию ГПА (ТЕ5302)</t>
        </is>
      </c>
      <c r="I164" s="14" t="n"/>
      <c r="J164" s="41" t="inlineStr">
        <is>
          <t>АСУ,А и ТМ (КЦ № 7)</t>
        </is>
      </c>
      <c r="K164" s="179" t="n"/>
      <c r="L164" s="179" t="n"/>
      <c r="M164" s="179" t="n"/>
      <c r="N164" s="179" t="n"/>
      <c r="O164" s="173" t="n"/>
    </row>
    <row r="165" ht="22.5" customHeight="1" s="151">
      <c r="A165" s="15">
        <f>IF(B165&lt;&gt;"", COUNTA($B$2:B165), "")</f>
        <v/>
      </c>
      <c r="B165" s="74" t="inlineStr">
        <is>
          <t>Термометр сопротивления</t>
        </is>
      </c>
      <c r="C165" s="14" t="inlineStr">
        <is>
          <t>ТСП 012.60</t>
        </is>
      </c>
      <c r="D165" s="180" t="n">
        <v>813</v>
      </c>
      <c r="E165" s="180" t="n"/>
      <c r="F165" s="17" t="inlineStr">
        <is>
          <t>-60…200 °С
60 мм</t>
        </is>
      </c>
      <c r="G165" s="180" t="n"/>
      <c r="H165" s="175" t="inlineStr">
        <is>
          <t>Тв из блока подоготовки на входе в оболчки МП (ТЕ5304)</t>
        </is>
      </c>
      <c r="I165" s="14" t="n"/>
      <c r="J165" s="41" t="inlineStr">
        <is>
          <t>АСУ,А и ТМ (КЦ № 7)</t>
        </is>
      </c>
      <c r="K165" s="179" t="n"/>
      <c r="L165" s="179" t="n"/>
      <c r="M165" s="179" t="n"/>
      <c r="N165" s="179" t="n"/>
      <c r="O165" s="173" t="n"/>
    </row>
    <row r="166" ht="22.5" customHeight="1" s="151">
      <c r="A166" s="15">
        <f>IF(B166&lt;&gt;"", COUNTA($B$2:B166), "")</f>
        <v/>
      </c>
      <c r="B166" s="74" t="inlineStr">
        <is>
          <t>Термометр сопротивления</t>
        </is>
      </c>
      <c r="C166" s="14" t="inlineStr">
        <is>
          <t>ТСП 012.60</t>
        </is>
      </c>
      <c r="D166" s="180" t="n">
        <v>1574</v>
      </c>
      <c r="E166" s="180" t="n">
        <v>2020</v>
      </c>
      <c r="F166" s="17" t="inlineStr">
        <is>
          <t>-60…200 °С
100 мм</t>
        </is>
      </c>
      <c r="G166" s="180" t="n"/>
      <c r="H166" s="175" t="inlineStr">
        <is>
          <t>Тв на выходе из узла отбора (ТЕ5303)</t>
        </is>
      </c>
      <c r="I166" s="14" t="n"/>
      <c r="J166" s="41" t="inlineStr">
        <is>
          <t>АСУ,А и ТМ (КЦ № 7)</t>
        </is>
      </c>
      <c r="K166" s="178" t="n"/>
      <c r="L166" s="179" t="n"/>
      <c r="M166" s="179" t="n"/>
      <c r="N166" s="179" t="n"/>
      <c r="O166" s="178" t="n"/>
    </row>
    <row r="167" ht="22.5" customHeight="1" s="151">
      <c r="A167" s="15">
        <f>IF(B167&lt;&gt;"", COUNTA($B$2:B167), "")</f>
        <v/>
      </c>
      <c r="B167" s="74" t="inlineStr">
        <is>
          <t>Термометр сопротивления</t>
        </is>
      </c>
      <c r="C167" s="14" t="inlineStr">
        <is>
          <t>ТСП 012.60</t>
        </is>
      </c>
      <c r="D167" s="180" t="n">
        <v>915</v>
      </c>
      <c r="E167" s="180" t="n"/>
      <c r="F167" s="17" t="inlineStr">
        <is>
          <t>-60…200 °С
60 мм</t>
        </is>
      </c>
      <c r="G167" s="180" t="n"/>
      <c r="H167" s="175" t="inlineStr">
        <is>
          <t>Тбг на входе в ГДУ ПКВ (ТЕ5203)</t>
        </is>
      </c>
      <c r="I167" s="14" t="n"/>
      <c r="J167" s="41" t="inlineStr">
        <is>
          <t>АСУ,А и ТМ (КЦ № 7)</t>
        </is>
      </c>
      <c r="K167" s="179" t="n"/>
      <c r="L167" s="179" t="n"/>
      <c r="M167" s="179" t="n"/>
      <c r="N167" s="179" t="n"/>
      <c r="O167" s="173" t="n"/>
    </row>
    <row r="168" ht="22.5" customHeight="1" s="151">
      <c r="A168" s="15">
        <f>IF(B168&lt;&gt;"", COUNTA($B$2:B168), "")</f>
        <v/>
      </c>
      <c r="B168" s="74" t="inlineStr">
        <is>
          <t>Термометр сопротивления</t>
        </is>
      </c>
      <c r="C168" s="14" t="inlineStr">
        <is>
          <t>ТСП 012.60</t>
        </is>
      </c>
      <c r="D168" s="180" t="n">
        <v>916</v>
      </c>
      <c r="E168" s="180" t="n"/>
      <c r="F168" s="17" t="inlineStr">
        <is>
          <t>-60…200 °С
60 мм</t>
        </is>
      </c>
      <c r="G168" s="180" t="n"/>
      <c r="H168" s="14" t="inlineStr">
        <is>
          <t>Тбг на входе в ГДУ ЗКВ (ТЕ5204)</t>
        </is>
      </c>
      <c r="I168" s="14" t="n"/>
      <c r="J168" s="41" t="inlineStr">
        <is>
          <t>АСУ,А и ТМ (КЦ № 7)</t>
        </is>
      </c>
      <c r="K168" s="179" t="n"/>
      <c r="L168" s="179" t="n"/>
      <c r="M168" s="179" t="n"/>
      <c r="N168" s="179" t="n"/>
      <c r="O168" s="173" t="n"/>
    </row>
    <row r="169" ht="22.5" customHeight="1" s="151">
      <c r="A169" s="15">
        <f>IF(B169&lt;&gt;"", COUNTA($B$2:B169), "")</f>
        <v/>
      </c>
      <c r="B169" s="74" t="inlineStr">
        <is>
          <t>Термометр сопротивления</t>
        </is>
      </c>
      <c r="C169" s="14" t="inlineStr">
        <is>
          <t>ДТС 214</t>
        </is>
      </c>
      <c r="D169" s="188" t="inlineStr">
        <is>
          <t>61216180507116372</t>
        </is>
      </c>
      <c r="E169" s="188" t="n">
        <v>2018</v>
      </c>
      <c r="F169" s="17" t="inlineStr">
        <is>
          <t>-60…250 °С</t>
        </is>
      </c>
      <c r="G169" s="180" t="n"/>
      <c r="H169" s="14" t="inlineStr">
        <is>
          <t>Т алюминиевого блока подогревателя топливного газа (ТЕ5104)</t>
        </is>
      </c>
      <c r="I169" s="14" t="n"/>
      <c r="J169" s="41" t="inlineStr">
        <is>
          <t>АСУ,А и ТМ (КЦ № 7)</t>
        </is>
      </c>
      <c r="K169" s="179" t="n"/>
      <c r="L169" s="179" t="n"/>
      <c r="M169" s="179" t="n"/>
      <c r="N169" s="179" t="n"/>
      <c r="O169" s="178" t="n"/>
    </row>
    <row r="170" ht="22.5" customHeight="1" s="151">
      <c r="A170" s="15">
        <f>IF(B170&lt;&gt;"", COUNTA($B$2:B170), "")</f>
        <v/>
      </c>
      <c r="B170" s="74" t="inlineStr">
        <is>
          <t>Термометр сопротивления</t>
        </is>
      </c>
      <c r="C170" s="14" t="inlineStr">
        <is>
          <t>ТСП 012.60</t>
        </is>
      </c>
      <c r="D170" s="180" t="n">
        <v>45</v>
      </c>
      <c r="E170" s="180" t="n"/>
      <c r="F170" s="17" t="inlineStr">
        <is>
          <t>-60…200 °С
160 мм</t>
        </is>
      </c>
      <c r="G170" s="180" t="n"/>
      <c r="H170" s="14" t="inlineStr">
        <is>
          <t>Тв на выходе из оболочки радиального подшипника (ПКВ)  (ТЕ5205)</t>
        </is>
      </c>
      <c r="I170" s="14" t="n"/>
      <c r="J170" s="41" t="inlineStr">
        <is>
          <t>АСУ,А и ТМ (КЦ № 7)</t>
        </is>
      </c>
      <c r="K170" s="179" t="n"/>
      <c r="L170" s="179" t="n"/>
      <c r="M170" s="179" t="n"/>
      <c r="N170" s="179" t="n"/>
      <c r="O170" s="173" t="n"/>
    </row>
    <row r="171" ht="22.5" customHeight="1" s="151">
      <c r="A171" s="15">
        <f>IF(B171&lt;&gt;"", COUNTA($B$2:B171), "")</f>
        <v/>
      </c>
      <c r="B171" s="74" t="inlineStr">
        <is>
          <t>Термометр сопротивления</t>
        </is>
      </c>
      <c r="C171" s="14" t="inlineStr">
        <is>
          <t>ТСП 012.52В</t>
        </is>
      </c>
      <c r="D171" s="180" t="n">
        <v>44</v>
      </c>
      <c r="E171" s="180" t="n">
        <v>2018</v>
      </c>
      <c r="F171" s="17" t="inlineStr">
        <is>
          <t>-60…200 °С
160 мм</t>
        </is>
      </c>
      <c r="G171" s="180" t="inlineStr">
        <is>
          <t>В</t>
        </is>
      </c>
      <c r="H171" s="175" t="inlineStr">
        <is>
          <t>Тв на выходе из оболочки радиального подшипника ЗКВ (ТЕ5206)</t>
        </is>
      </c>
      <c r="I171" s="14" t="n"/>
      <c r="J171" s="41" t="inlineStr">
        <is>
          <t>АСУ,А и ТМ (КЦ № 7)</t>
        </is>
      </c>
      <c r="K171" s="189" t="n"/>
      <c r="L171" s="179" t="n"/>
      <c r="M171" s="179" t="n"/>
      <c r="N171" s="179" t="n"/>
      <c r="O171" s="178" t="n"/>
    </row>
    <row r="172" ht="22.5" customHeight="1" s="151">
      <c r="A172" s="15">
        <f>IF(B172&lt;&gt;"", COUNTA($B$2:B172), "")</f>
        <v/>
      </c>
      <c r="B172" s="74" t="inlineStr">
        <is>
          <t>Термометр сопротивления</t>
        </is>
      </c>
      <c r="C172" s="14" t="inlineStr">
        <is>
          <t>ТСП 012.60</t>
        </is>
      </c>
      <c r="D172" s="180" t="n">
        <v>1567</v>
      </c>
      <c r="E172" s="180" t="n"/>
      <c r="F172" s="17" t="inlineStr">
        <is>
          <t>-60…200 °С
400 мм</t>
        </is>
      </c>
      <c r="G172" s="180" t="n"/>
      <c r="H172" s="175" t="inlineStr">
        <is>
          <t>Тг на входе в компрессор (ТЕ8001)</t>
        </is>
      </c>
      <c r="I172" s="14" t="n"/>
      <c r="J172" s="41" t="inlineStr">
        <is>
          <t>АСУ,А и ТМ (КЦ № 7)</t>
        </is>
      </c>
      <c r="K172" s="179" t="n"/>
      <c r="L172" s="179" t="n"/>
      <c r="M172" s="179" t="n"/>
      <c r="N172" s="179" t="n"/>
      <c r="O172" s="173" t="n"/>
    </row>
    <row r="173" ht="22.5" customHeight="1" s="151">
      <c r="A173" s="15">
        <f>IF(B173&lt;&gt;"", COUNTA($B$2:B173), "")</f>
        <v/>
      </c>
      <c r="B173" s="73" t="inlineStr">
        <is>
          <t>Термометр сопротивления</t>
        </is>
      </c>
      <c r="C173" s="14" t="inlineStr">
        <is>
          <t>ТСП 012.60</t>
        </is>
      </c>
      <c r="D173" s="181" t="n">
        <v>801</v>
      </c>
      <c r="E173" s="181" t="n"/>
      <c r="F173" s="17" t="inlineStr">
        <is>
          <t>-60…200 °С
100 мм</t>
        </is>
      </c>
      <c r="G173" s="181" t="n"/>
      <c r="H173" s="175" t="inlineStr">
        <is>
          <t>Тг на выходе из компрессор (ТЕ8002)</t>
        </is>
      </c>
      <c r="I173" s="15" t="n"/>
      <c r="J173" s="41" t="inlineStr">
        <is>
          <t>АСУ,А и ТМ (КЦ № 7)</t>
        </is>
      </c>
      <c r="K173" s="179" t="n"/>
      <c r="L173" s="179" t="n"/>
      <c r="M173" s="179" t="n"/>
      <c r="N173" s="179" t="n"/>
      <c r="O173" s="173" t="n"/>
    </row>
    <row r="174" ht="22.5" customHeight="1" s="151">
      <c r="A174" s="15">
        <f>IF(B174&lt;&gt;"", COUNTA($B$2:B174), "")</f>
        <v/>
      </c>
      <c r="B174" s="74" t="inlineStr">
        <is>
          <t>Термометр сопротивления</t>
        </is>
      </c>
      <c r="C174" s="14" t="inlineStr">
        <is>
          <t>ТСП 012.СП</t>
        </is>
      </c>
      <c r="D174" s="180" t="n">
        <v>598</v>
      </c>
      <c r="E174" s="180" t="n"/>
      <c r="F174" s="17" t="inlineStr">
        <is>
          <t>-60…200 °С
80 мм</t>
        </is>
      </c>
      <c r="G174" s="180" t="n"/>
      <c r="H174" s="175" t="inlineStr">
        <is>
          <t>Тв в БКВ (ТЕ5301)</t>
        </is>
      </c>
      <c r="I174" s="15" t="n"/>
      <c r="J174" s="41" t="inlineStr">
        <is>
          <t>АСУ,А и ТМ (КЦ № 7)</t>
        </is>
      </c>
      <c r="K174" s="179" t="n"/>
      <c r="L174" s="179" t="n"/>
      <c r="M174" s="179" t="n"/>
      <c r="N174" s="179" t="n"/>
      <c r="O174" s="190" t="n"/>
    </row>
    <row r="175" ht="22.5" customHeight="1" s="151">
      <c r="A175" s="15">
        <f>IF(B175&lt;&gt;"", COUNTA($B$2:B175), "")</f>
        <v/>
      </c>
      <c r="B175" s="74" t="inlineStr">
        <is>
          <t>Термометр сопротивления</t>
        </is>
      </c>
      <c r="C175" s="14" t="inlineStr">
        <is>
          <t>ТСП 012.02</t>
        </is>
      </c>
      <c r="D175" s="180" t="n">
        <v>630</v>
      </c>
      <c r="E175" s="180" t="n"/>
      <c r="F175" s="17" t="inlineStr">
        <is>
          <t>-60…200 °С
60 мм</t>
        </is>
      </c>
      <c r="G175" s="180" t="n"/>
      <c r="H175" s="175" t="inlineStr">
        <is>
          <t>Тв в отсеке САУ (ТЕ8101)</t>
        </is>
      </c>
      <c r="I175" s="15" t="n"/>
      <c r="J175" s="41" t="inlineStr">
        <is>
          <t>АСУ,А и ТМ (КЦ № 7)</t>
        </is>
      </c>
      <c r="K175" s="179" t="n"/>
      <c r="L175" s="179" t="n"/>
      <c r="M175" s="179" t="n"/>
      <c r="N175" s="179" t="n"/>
      <c r="O175" s="190" t="n"/>
    </row>
    <row r="176" ht="22.5" customHeight="1" s="151">
      <c r="A176" s="15">
        <f>IF(B176&lt;&gt;"", COUNTA($B$2:B176), "")</f>
        <v/>
      </c>
      <c r="B176" s="74" t="inlineStr">
        <is>
          <t>Термометр сопротивления</t>
        </is>
      </c>
      <c r="C176" s="14" t="inlineStr">
        <is>
          <t>ТСП 012.60</t>
        </is>
      </c>
      <c r="D176" s="180" t="n">
        <v>636</v>
      </c>
      <c r="E176" s="180" t="n"/>
      <c r="F176" s="17" t="inlineStr">
        <is>
          <t>-60…200 °С
60 мм</t>
        </is>
      </c>
      <c r="G176" s="180" t="n"/>
      <c r="H176" s="175" t="inlineStr">
        <is>
          <t>Тв в БЭТ (ТЕ8102)</t>
        </is>
      </c>
      <c r="I176" s="15" t="n"/>
      <c r="J176" s="41" t="inlineStr">
        <is>
          <t>АСУ,А и ТМ (КЦ № 7)</t>
        </is>
      </c>
      <c r="K176" s="179" t="n"/>
      <c r="L176" s="179" t="n"/>
      <c r="M176" s="179" t="n"/>
      <c r="N176" s="179" t="n"/>
      <c r="O176" s="173" t="n"/>
    </row>
    <row r="177" ht="22.5" customHeight="1" s="151">
      <c r="A177" s="15">
        <f>IF(B177&lt;&gt;"", COUNTA($B$2:B177), "")</f>
        <v/>
      </c>
      <c r="B177" s="74" t="inlineStr">
        <is>
          <t>Термометр сопротивления</t>
        </is>
      </c>
      <c r="C177" s="14" t="inlineStr">
        <is>
          <t>ТСП 012.60</t>
        </is>
      </c>
      <c r="D177" s="180" t="n">
        <v>1119</v>
      </c>
      <c r="E177" s="180" t="n">
        <v>2020</v>
      </c>
      <c r="F177" s="17" t="inlineStr">
        <is>
          <t>-60…200 °С
120 мм</t>
        </is>
      </c>
      <c r="G177" s="180" t="inlineStr">
        <is>
          <t>В</t>
        </is>
      </c>
      <c r="H177" s="175" t="inlineStr">
        <is>
          <t>Тм на выходе из двигателя (ТЕ6002)</t>
        </is>
      </c>
      <c r="I177" s="15" t="inlineStr">
        <is>
          <t>Масленая  консоль</t>
        </is>
      </c>
      <c r="J177" s="41" t="inlineStr">
        <is>
          <t>АСУ,А и ТМ (КЦ № 7)</t>
        </is>
      </c>
      <c r="K177" s="178" t="n"/>
      <c r="L177" s="179" t="n"/>
      <c r="M177" s="179" t="n"/>
      <c r="N177" s="179" t="n"/>
      <c r="O177" s="178" t="n"/>
    </row>
    <row r="178" ht="22.5" customHeight="1" s="151">
      <c r="A178" s="15">
        <f>IF(B178&lt;&gt;"", COUNTA($B$2:B178), "")</f>
        <v/>
      </c>
      <c r="B178" s="74" t="inlineStr">
        <is>
          <t>Термометр сопротивления</t>
        </is>
      </c>
      <c r="C178" s="14" t="inlineStr">
        <is>
          <t>ТСПУ 014.52</t>
        </is>
      </c>
      <c r="D178" s="180" t="n">
        <v>76</v>
      </c>
      <c r="E178" s="180" t="n">
        <v>2018</v>
      </c>
      <c r="F178" s="17" t="inlineStr">
        <is>
          <t>-50…150 °С
250 мм</t>
        </is>
      </c>
      <c r="G178" s="191" t="n">
        <v>0.005</v>
      </c>
      <c r="H178" s="14" t="inlineStr">
        <is>
          <t>Тбг после подогревателя в стойке СГУ (ТТ5202)</t>
        </is>
      </c>
      <c r="I178" s="15" t="n"/>
      <c r="J178" s="41" t="inlineStr">
        <is>
          <t>АСУ,А и ТМ (КЦ № 7)</t>
        </is>
      </c>
      <c r="K178" s="179" t="n"/>
      <c r="L178" s="179" t="n"/>
      <c r="M178" s="179" t="n"/>
      <c r="N178" s="179" t="n"/>
      <c r="O178" s="178" t="n"/>
    </row>
    <row r="179" ht="33.75" customHeight="1" s="151">
      <c r="A179" s="15">
        <f>IF(B179&lt;&gt;"", COUNTA($B$2:B179), "")</f>
        <v/>
      </c>
      <c r="B179" s="74" t="inlineStr">
        <is>
          <t>Термометр сопротивления</t>
        </is>
      </c>
      <c r="C179" s="14" t="inlineStr">
        <is>
          <t>ДТС 214</t>
        </is>
      </c>
      <c r="D179" s="188" t="inlineStr">
        <is>
          <t>61216200344079928</t>
        </is>
      </c>
      <c r="E179" s="297" t="n">
        <v>43405</v>
      </c>
      <c r="F179" s="17" t="inlineStr">
        <is>
          <t>-60…250 °С</t>
        </is>
      </c>
      <c r="G179" s="180" t="n"/>
      <c r="H179" s="14" t="inlineStr">
        <is>
          <t>Т алюминиевого блока подогревателя предпусковой подготовки буферного газа (ТТ5206)</t>
        </is>
      </c>
      <c r="I179" s="15" t="n"/>
      <c r="J179" s="41" t="inlineStr">
        <is>
          <t>АСУ,А и ТМ (КЦ № 7)</t>
        </is>
      </c>
      <c r="K179" s="179" t="n"/>
      <c r="L179" s="179" t="n"/>
      <c r="M179" s="179" t="n"/>
      <c r="N179" s="179" t="n"/>
      <c r="O179" s="178" t="n"/>
    </row>
    <row r="180" ht="22.5" customHeight="1" s="151">
      <c r="A180" s="15">
        <f>IF(B180&lt;&gt;"", COUNTA($B$2:B180), "")</f>
        <v/>
      </c>
      <c r="B180" s="74" t="inlineStr">
        <is>
          <t>Термометр сопротивления</t>
        </is>
      </c>
      <c r="C180" s="14" t="inlineStr">
        <is>
          <t>ТСП 012.60</t>
        </is>
      </c>
      <c r="D180" s="180" t="n">
        <v>1803</v>
      </c>
      <c r="E180" s="296" t="n">
        <v>43405</v>
      </c>
      <c r="F180" s="17" t="inlineStr">
        <is>
          <t>-60…200 °С
120 мм</t>
        </is>
      </c>
      <c r="G180" s="180" t="inlineStr">
        <is>
          <t>В</t>
        </is>
      </c>
      <c r="H180" s="175" t="inlineStr">
        <is>
          <t>Тв в блоке маслоочистителя (ТЕ6006)</t>
        </is>
      </c>
      <c r="I180" s="15" t="n"/>
      <c r="J180" s="41" t="inlineStr">
        <is>
          <t>АСУ,А и ТМ (КЦ № 7)</t>
        </is>
      </c>
      <c r="K180" s="179" t="n"/>
      <c r="L180" s="179" t="n"/>
      <c r="M180" s="179" t="n"/>
      <c r="N180" s="179" t="n"/>
      <c r="O180" s="178" t="n"/>
    </row>
    <row r="181" ht="22.5" customHeight="1" s="151">
      <c r="A181" s="15">
        <f>IF(B181&lt;&gt;"", COUNTA($B$2:B181), "")</f>
        <v/>
      </c>
      <c r="B181" s="133" t="inlineStr">
        <is>
          <t>Термометр сопротивления</t>
        </is>
      </c>
      <c r="C181" s="26" t="inlineStr">
        <is>
          <t>ТСП 012.02</t>
        </is>
      </c>
      <c r="D181" s="192" t="n">
        <v>646</v>
      </c>
      <c r="E181" s="192" t="n">
        <v>2018</v>
      </c>
      <c r="F181" s="17" t="inlineStr">
        <is>
          <t>-60…200 °С
60 мм</t>
        </is>
      </c>
      <c r="G181" s="192" t="n"/>
      <c r="H181" s="14" t="inlineStr">
        <is>
          <t>Тв в БЭТ АВОГ (ТЕ8201)</t>
        </is>
      </c>
      <c r="I181" s="15" t="n"/>
      <c r="J181" s="41" t="inlineStr">
        <is>
          <t>АСУ,А и ТМ (КЦ № 7)</t>
        </is>
      </c>
      <c r="K181" s="179" t="n"/>
      <c r="L181" s="179" t="n"/>
      <c r="M181" s="179" t="n"/>
      <c r="N181" s="179" t="n"/>
      <c r="O181" s="173" t="n"/>
    </row>
    <row r="182" ht="22.5" customHeight="1" s="151">
      <c r="A182" s="15">
        <f>IF(B182&lt;&gt;"", COUNTA($B$2:B182), "")</f>
        <v/>
      </c>
      <c r="B182" s="73" t="inlineStr">
        <is>
          <t>Термометр сопротивления</t>
        </is>
      </c>
      <c r="C182" s="14" t="inlineStr">
        <is>
          <t>ТСП 012.60</t>
        </is>
      </c>
      <c r="D182" s="181" t="n">
        <v>1383</v>
      </c>
      <c r="E182" s="297" t="n">
        <v>43221</v>
      </c>
      <c r="F182" s="17" t="inlineStr">
        <is>
          <t>-60…200 °С
60 мм</t>
        </is>
      </c>
      <c r="G182" s="181" t="n"/>
      <c r="H182" s="175" t="inlineStr">
        <is>
          <t>Ттг перед ДГ</t>
        </is>
      </c>
      <c r="I182" s="15" t="n"/>
      <c r="J182" s="15" t="inlineStr">
        <is>
          <t>АСУ,А и ТМ (КЦ № 7)</t>
        </is>
      </c>
      <c r="K182" s="179" t="n"/>
      <c r="L182" s="179" t="n"/>
      <c r="M182" s="179" t="n"/>
      <c r="N182" s="179" t="n"/>
      <c r="O182" s="173" t="n"/>
    </row>
    <row r="183" ht="22.5" customHeight="1" s="151">
      <c r="A183" s="15">
        <f>IF(B183&lt;&gt;"", COUNTA($B$2:B183), "")</f>
        <v/>
      </c>
      <c r="B183" s="73" t="inlineStr">
        <is>
          <t>Термометр сопротивления</t>
        </is>
      </c>
      <c r="C183" s="14" t="inlineStr">
        <is>
          <t>Метран-2700</t>
        </is>
      </c>
      <c r="D183" s="181" t="n">
        <v>2437641</v>
      </c>
      <c r="E183" s="297" t="n">
        <v>43252</v>
      </c>
      <c r="F183" s="17" t="inlineStr">
        <is>
          <t>-50…300 °С
60 мм</t>
        </is>
      </c>
      <c r="G183" s="181" t="n"/>
      <c r="H183" s="14" t="inlineStr">
        <is>
          <t>Тбг на подогревателе СГУ</t>
        </is>
      </c>
      <c r="I183" s="15" t="n"/>
      <c r="J183" s="41" t="inlineStr">
        <is>
          <t>АСУ,А и ТМ (КЦ № 7)</t>
        </is>
      </c>
      <c r="K183" s="179" t="n"/>
      <c r="L183" s="179" t="n"/>
      <c r="M183" s="179" t="n"/>
      <c r="N183" s="179" t="n"/>
      <c r="O183" s="173" t="n"/>
    </row>
    <row r="184" ht="22.5" customHeight="1" s="151">
      <c r="A184" s="15">
        <f>IF(B184&lt;&gt;"", COUNTA($B$2:B184), "")</f>
        <v/>
      </c>
      <c r="B184" s="73" t="inlineStr">
        <is>
          <t>Термометр сопротивления</t>
        </is>
      </c>
      <c r="C184" s="14" t="inlineStr">
        <is>
          <t>ТСП 012.60</t>
        </is>
      </c>
      <c r="D184" s="181" t="n">
        <v>796</v>
      </c>
      <c r="E184" s="181" t="n"/>
      <c r="F184" s="17" t="inlineStr">
        <is>
          <t>-60…200 °С
60 мм</t>
        </is>
      </c>
      <c r="G184" s="181" t="n"/>
      <c r="H184" s="14" t="inlineStr">
        <is>
          <t>Тбг после подогревателя предпусковой подготовки (ТЕ5208)</t>
        </is>
      </c>
      <c r="I184" s="15" t="n"/>
      <c r="J184" s="41" t="inlineStr">
        <is>
          <t>АСУ,А и ТМ (КЦ № 7)</t>
        </is>
      </c>
      <c r="K184" s="179" t="n"/>
      <c r="L184" s="179" t="n"/>
      <c r="M184" s="179" t="n"/>
      <c r="N184" s="179" t="n"/>
      <c r="O184" s="173" t="n"/>
    </row>
    <row r="185" ht="22.5" customHeight="1" s="151">
      <c r="A185" s="15">
        <f>IF(B185&lt;&gt;"", COUNTA($B$2:B185), "")</f>
        <v/>
      </c>
      <c r="B185" s="73" t="inlineStr">
        <is>
          <t>Термометр сопротивления</t>
        </is>
      </c>
      <c r="C185" s="14" t="inlineStr">
        <is>
          <t>ТСП 012.08</t>
        </is>
      </c>
      <c r="D185" s="181" t="inlineStr">
        <is>
          <t>596+</t>
        </is>
      </c>
      <c r="E185" s="181" t="n"/>
      <c r="F185" s="17" t="inlineStr">
        <is>
          <t>-60…200 °С
80 мм</t>
        </is>
      </c>
      <c r="G185" s="181" t="n"/>
      <c r="H185" s="175" t="inlineStr">
        <is>
          <t>Тв подоваемого в воздуходовки (ТЕ5306)</t>
        </is>
      </c>
      <c r="I185" s="15" t="n"/>
      <c r="J185" s="41" t="inlineStr">
        <is>
          <t>АСУ,А и ТМ (КЦ № 7)</t>
        </is>
      </c>
      <c r="K185" s="178" t="n"/>
      <c r="L185" s="179" t="n"/>
      <c r="M185" s="179" t="n"/>
      <c r="N185" s="179" t="n"/>
      <c r="O185" s="173" t="n"/>
    </row>
    <row r="186" ht="22.5" customHeight="1" s="151">
      <c r="A186" s="15">
        <f>IF(B186&lt;&gt;"", COUNTA($B$2:B186), "")</f>
        <v/>
      </c>
      <c r="B186" s="73" t="inlineStr">
        <is>
          <t>Термометр сопротивления</t>
        </is>
      </c>
      <c r="C186" s="14" t="inlineStr">
        <is>
          <t>ТСПУ 031 СК</t>
        </is>
      </c>
      <c r="D186" s="181" t="n">
        <v>104</v>
      </c>
      <c r="E186" s="181" t="n"/>
      <c r="F186" s="17" t="inlineStr">
        <is>
          <t>-50…200 °С
250 мм</t>
        </is>
      </c>
      <c r="G186" s="181" t="n"/>
      <c r="H186" s="175" t="inlineStr">
        <is>
          <t>Тг на выходе АВО перед клапаном 6к (ТТ2)</t>
        </is>
      </c>
      <c r="I186" s="15" t="n"/>
      <c r="J186" s="41" t="inlineStr">
        <is>
          <t>АСУ,А и ТМ (КЦ № 7)</t>
        </is>
      </c>
      <c r="K186" s="179" t="n"/>
      <c r="L186" s="179" t="n"/>
      <c r="M186" s="179" t="n"/>
      <c r="N186" s="179" t="n"/>
      <c r="O186" s="173" t="n"/>
    </row>
    <row r="187" ht="22.5" customHeight="1" s="151">
      <c r="A187" s="15">
        <f>IF(B187&lt;&gt;"", COUNTA($B$2:B187), "")</f>
        <v/>
      </c>
      <c r="B187" s="73" t="inlineStr">
        <is>
          <t>Термометр сопротивления</t>
        </is>
      </c>
      <c r="C187" s="14" t="inlineStr">
        <is>
          <t>ТСПУ 031 СК</t>
        </is>
      </c>
      <c r="D187" s="181" t="n">
        <v>102</v>
      </c>
      <c r="E187" s="181" t="n">
        <v>2018</v>
      </c>
      <c r="F187" s="17" t="inlineStr">
        <is>
          <t>-50…200 °С
250 мм</t>
        </is>
      </c>
      <c r="G187" s="181" t="n">
        <v>0.3</v>
      </c>
      <c r="H187" s="175" t="inlineStr">
        <is>
          <t>Тг на выходе АВО перед клапаном 2 (ТТ1)</t>
        </is>
      </c>
      <c r="I187" s="15" t="n"/>
      <c r="J187" s="41" t="inlineStr">
        <is>
          <t>АСУ,А и ТМ (КЦ № 7)</t>
        </is>
      </c>
      <c r="K187" s="179" t="n"/>
      <c r="L187" s="179" t="n"/>
      <c r="M187" s="179" t="n"/>
      <c r="N187" s="179" t="n"/>
      <c r="O187" s="173" t="n"/>
    </row>
    <row r="188" ht="22.5" customHeight="1" s="151">
      <c r="A188" s="15">
        <f>IF(B188&lt;&gt;"", COUNTA($B$2:B188), "")</f>
        <v/>
      </c>
      <c r="B188" s="74" t="inlineStr">
        <is>
          <t>Термометр сопротивления</t>
        </is>
      </c>
      <c r="C188" s="14" t="inlineStr">
        <is>
          <t>ТСП 012.08</t>
        </is>
      </c>
      <c r="D188" s="14" t="n">
        <v>596</v>
      </c>
      <c r="E188" s="288" t="n">
        <v>43252</v>
      </c>
      <c r="F188" s="17" t="inlineStr">
        <is>
          <t>-50…200 °С
80 мм</t>
        </is>
      </c>
      <c r="G188" s="193" t="n">
        <v>0.0025</v>
      </c>
      <c r="H188" s="14" t="inlineStr">
        <is>
          <t>Тв в общем колекторе</t>
        </is>
      </c>
      <c r="I188" s="175" t="n"/>
      <c r="J188" s="41" t="inlineStr">
        <is>
          <t>АСУ,А и ТМ (КЦ № 7)</t>
        </is>
      </c>
      <c r="K188" s="194" t="n"/>
      <c r="L188" s="179" t="n"/>
      <c r="M188" s="179" t="n"/>
      <c r="N188" s="179" t="n"/>
      <c r="O188" s="173" t="n"/>
    </row>
    <row r="189" ht="22.5" customHeight="1" s="151">
      <c r="A189" s="15">
        <f>IF(B189&lt;&gt;"", COUNTA($B$2:B189), "")</f>
        <v/>
      </c>
      <c r="B189" s="74" t="inlineStr">
        <is>
          <t>Термометр сопротивления</t>
        </is>
      </c>
      <c r="C189" s="14" t="inlineStr">
        <is>
          <t>ТСПУ014.12</t>
        </is>
      </c>
      <c r="D189" s="14" t="n">
        <v>356</v>
      </c>
      <c r="E189" s="288" t="n">
        <v>43252</v>
      </c>
      <c r="F189" s="17" t="inlineStr">
        <is>
          <t>-50…150 °С
80 мм</t>
        </is>
      </c>
      <c r="G189" s="185" t="inlineStr">
        <is>
          <t>В</t>
        </is>
      </c>
      <c r="H189" s="14" t="inlineStr">
        <is>
          <t>Тв в общем колекторе</t>
        </is>
      </c>
      <c r="I189" s="175" t="n"/>
      <c r="J189" s="41" t="inlineStr">
        <is>
          <t>АСУ,А и ТМ (КЦ № 7)</t>
        </is>
      </c>
      <c r="K189" s="194" t="n"/>
      <c r="L189" s="179" t="n"/>
      <c r="M189" s="179" t="n"/>
      <c r="N189" s="179" t="n"/>
      <c r="O189" s="173" t="n"/>
    </row>
    <row r="190" ht="22.5" customHeight="1" s="151">
      <c r="A190" s="15">
        <f>IF(B190&lt;&gt;"", COUNTA($B$2:B190), "")</f>
        <v/>
      </c>
      <c r="B190" s="74" t="inlineStr">
        <is>
          <t>Термометр сопротивления</t>
        </is>
      </c>
      <c r="C190" s="14" t="inlineStr">
        <is>
          <t>Метран-2000 А02 НСХ</t>
        </is>
      </c>
      <c r="D190" s="14" t="n">
        <v>2444276</v>
      </c>
      <c r="E190" s="288" t="n">
        <v>43282</v>
      </c>
      <c r="F190" s="17" t="inlineStr">
        <is>
          <t>-50…200 °С
60 мм</t>
        </is>
      </c>
      <c r="G190" s="185" t="n"/>
      <c r="H190" s="14" t="inlineStr">
        <is>
          <t>Тв на выходе ресивера ГШ5301</t>
        </is>
      </c>
      <c r="I190" s="175" t="n"/>
      <c r="J190" s="41" t="inlineStr">
        <is>
          <t>АСУ,А и ТМ (КЦ № 7)</t>
        </is>
      </c>
      <c r="K190" s="179" t="n"/>
      <c r="L190" s="179" t="n"/>
      <c r="M190" s="179" t="n"/>
      <c r="N190" s="179" t="n"/>
      <c r="O190" s="173" t="n"/>
    </row>
    <row r="191" ht="22.5" customHeight="1" s="151">
      <c r="A191" s="15">
        <f>IF(B191&lt;&gt;"", COUNTA($B$2:B191), "")</f>
        <v/>
      </c>
      <c r="B191" s="74" t="inlineStr">
        <is>
          <t>Термометр сопротивления</t>
        </is>
      </c>
      <c r="C191" s="14" t="inlineStr">
        <is>
          <t>Метран-2000 А02 НСХ</t>
        </is>
      </c>
      <c r="D191" s="14" t="n">
        <v>2443189</v>
      </c>
      <c r="E191" s="288" t="n">
        <v>43282</v>
      </c>
      <c r="F191" s="17" t="inlineStr">
        <is>
          <t>-50…200 °С
60 мм</t>
        </is>
      </c>
      <c r="G191" s="185" t="n"/>
      <c r="H191" s="14" t="inlineStr">
        <is>
          <t>Тм подшипника ВК2 В5301</t>
        </is>
      </c>
      <c r="I191" s="175" t="n"/>
      <c r="J191" s="41" t="inlineStr">
        <is>
          <t>АСУ,А и ТМ (КЦ № 7)</t>
        </is>
      </c>
      <c r="K191" s="179" t="n"/>
      <c r="L191" s="179" t="n"/>
      <c r="M191" s="179" t="n"/>
      <c r="N191" s="179" t="n"/>
      <c r="O191" s="173" t="n"/>
    </row>
    <row r="192" ht="22.5" customHeight="1" s="151">
      <c r="A192" s="15">
        <f>IF(B192&lt;&gt;"", COUNTA($B$2:B192), "")</f>
        <v/>
      </c>
      <c r="B192" s="74" t="inlineStr">
        <is>
          <t>Термометр сопротивления</t>
        </is>
      </c>
      <c r="C192" s="14" t="inlineStr">
        <is>
          <t>Метран-2000 А02 НСХ</t>
        </is>
      </c>
      <c r="D192" s="14" t="n">
        <v>2444559</v>
      </c>
      <c r="E192" s="288" t="n">
        <v>43282</v>
      </c>
      <c r="F192" s="17" t="inlineStr">
        <is>
          <t>-50…200 °С
60 мм</t>
        </is>
      </c>
      <c r="G192" s="185" t="n"/>
      <c r="H192" s="14" t="inlineStr">
        <is>
          <t>Тмподшипника ВК3 В5301</t>
        </is>
      </c>
      <c r="I192" s="175" t="n"/>
      <c r="J192" s="41" t="inlineStr">
        <is>
          <t>АСУ,А и ТМ (КЦ № 7)</t>
        </is>
      </c>
      <c r="K192" s="179" t="n"/>
      <c r="L192" s="179" t="n"/>
      <c r="M192" s="179" t="n"/>
      <c r="N192" s="179" t="n"/>
      <c r="O192" s="173" t="n"/>
    </row>
    <row r="193" ht="22.5" customHeight="1" s="151">
      <c r="A193" s="15">
        <f>IF(B193&lt;&gt;"", COUNTA($B$2:B193), "")</f>
        <v/>
      </c>
      <c r="B193" s="74" t="inlineStr">
        <is>
          <t>Термометр сопротивления</t>
        </is>
      </c>
      <c r="C193" s="14" t="inlineStr">
        <is>
          <t>Метран-2000 А02 НСХ</t>
        </is>
      </c>
      <c r="D193" s="14" t="n">
        <v>2444274</v>
      </c>
      <c r="E193" s="288" t="n">
        <v>43282</v>
      </c>
      <c r="F193" s="17" t="inlineStr">
        <is>
          <t>-50…200 °С
60 мм</t>
        </is>
      </c>
      <c r="G193" s="185" t="n"/>
      <c r="H193" s="14" t="inlineStr">
        <is>
          <t>Тв на выходе ресивера ГШ5302</t>
        </is>
      </c>
      <c r="I193" s="175" t="n"/>
      <c r="J193" s="41" t="inlineStr">
        <is>
          <t>АСУ,А и ТМ (КЦ № 7)</t>
        </is>
      </c>
      <c r="K193" s="179" t="n"/>
      <c r="L193" s="179" t="n"/>
      <c r="M193" s="179" t="n"/>
      <c r="N193" s="179" t="n"/>
      <c r="O193" s="173" t="n"/>
    </row>
    <row r="194" ht="22.5" customHeight="1" s="151">
      <c r="A194" s="15">
        <f>IF(B194&lt;&gt;"", COUNTA($B$2:B194), "")</f>
        <v/>
      </c>
      <c r="B194" s="74" t="inlineStr">
        <is>
          <t>Термометр сопротивления</t>
        </is>
      </c>
      <c r="C194" s="14" t="inlineStr">
        <is>
          <t>Метран-2000 А02 НСХ</t>
        </is>
      </c>
      <c r="D194" s="14" t="n">
        <v>2444561</v>
      </c>
      <c r="E194" s="288" t="n">
        <v>43282</v>
      </c>
      <c r="F194" s="17" t="inlineStr">
        <is>
          <t>-50…200 °С
60 мм</t>
        </is>
      </c>
      <c r="G194" s="185" t="n"/>
      <c r="H194" s="14" t="inlineStr">
        <is>
          <t>Тм подшипника ВК2 В5302</t>
        </is>
      </c>
      <c r="I194" s="175" t="n"/>
      <c r="J194" s="41" t="inlineStr">
        <is>
          <t>АСУ,А и ТМ (КЦ № 7)</t>
        </is>
      </c>
      <c r="K194" s="179" t="n"/>
      <c r="L194" s="179" t="n"/>
      <c r="M194" s="179" t="n"/>
      <c r="N194" s="179" t="n"/>
      <c r="O194" s="173" t="n"/>
    </row>
    <row r="195" ht="22.5" customHeight="1" s="151">
      <c r="A195" s="15">
        <f>IF(B195&lt;&gt;"", COUNTA($B$2:B195), "")</f>
        <v/>
      </c>
      <c r="B195" s="74" t="inlineStr">
        <is>
          <t>Термометр сопротивления</t>
        </is>
      </c>
      <c r="C195" s="14" t="inlineStr">
        <is>
          <t>Метран-2000 А02 НСХ</t>
        </is>
      </c>
      <c r="D195" s="14" t="n">
        <v>2443188</v>
      </c>
      <c r="E195" s="288" t="n">
        <v>43282</v>
      </c>
      <c r="F195" s="17" t="inlineStr">
        <is>
          <t>-50…200 °С
60 мм</t>
        </is>
      </c>
      <c r="G195" s="185" t="n"/>
      <c r="H195" s="14" t="inlineStr">
        <is>
          <t>Тм подшипника ВК3 В5302</t>
        </is>
      </c>
      <c r="I195" s="175" t="n"/>
      <c r="J195" s="41" t="inlineStr">
        <is>
          <t>АСУ,А и ТМ (КЦ № 7)</t>
        </is>
      </c>
      <c r="K195" s="179" t="n"/>
      <c r="L195" s="179" t="n"/>
      <c r="M195" s="179" t="n"/>
      <c r="N195" s="179" t="n"/>
      <c r="O195" s="173" t="n"/>
    </row>
    <row r="196" ht="22.5" customHeight="1" s="151">
      <c r="A196" s="15">
        <f>IF(B196&lt;&gt;"", COUNTA($B$2:B196), "")</f>
        <v/>
      </c>
      <c r="B196" s="175" t="inlineStr">
        <is>
          <t xml:space="preserve"> Расходомер</t>
        </is>
      </c>
      <c r="C196" s="14" t="inlineStr">
        <is>
          <t>Эмис-Вихрь 200 ЭВ-200</t>
        </is>
      </c>
      <c r="D196" s="175" t="n">
        <v>22326</v>
      </c>
      <c r="E196" s="295" t="n">
        <v>43282</v>
      </c>
      <c r="F196" s="70" t="inlineStr">
        <is>
          <t>18…480 м³/ч</t>
        </is>
      </c>
      <c r="G196" s="95" t="n"/>
      <c r="H196" s="175" t="inlineStr">
        <is>
          <t>Qв на выходе из оболочки радиального подшипника ( ПКВ)</t>
        </is>
      </c>
      <c r="I196" s="175" t="n"/>
      <c r="J196" s="41" t="inlineStr">
        <is>
          <t>АСУ,А и ТМ (КЦ № 7)</t>
        </is>
      </c>
      <c r="K196" s="179" t="n"/>
      <c r="L196" s="179" t="n"/>
      <c r="M196" s="179" t="n"/>
      <c r="N196" s="179" t="n"/>
      <c r="O196" s="173" t="n"/>
    </row>
    <row r="197" ht="22.5" customHeight="1" s="151">
      <c r="A197" s="15">
        <f>IF(B197&lt;&gt;"", COUNTA($B$2:B197), "")</f>
        <v/>
      </c>
      <c r="B197" s="175" t="inlineStr">
        <is>
          <t xml:space="preserve"> Расходомер</t>
        </is>
      </c>
      <c r="C197" s="14" t="inlineStr">
        <is>
          <t>Эмис-Вихрь 200 ЭВ-200</t>
        </is>
      </c>
      <c r="D197" s="175" t="n">
        <v>22329</v>
      </c>
      <c r="E197" s="295" t="n">
        <v>43282</v>
      </c>
      <c r="F197" s="70" t="inlineStr">
        <is>
          <t>18…480 м³/ч</t>
        </is>
      </c>
      <c r="G197" s="95" t="n"/>
      <c r="H197" s="175" t="inlineStr">
        <is>
          <t>Qв на выходе из оболочки радиального подшипника ( ЗКВ)</t>
        </is>
      </c>
      <c r="I197" s="175" t="n"/>
      <c r="J197" s="41" t="inlineStr">
        <is>
          <t>АСУ,А и ТМ (КЦ № 7)</t>
        </is>
      </c>
      <c r="K197" s="179" t="n"/>
      <c r="L197" s="179" t="n"/>
      <c r="M197" s="179" t="n"/>
      <c r="N197" s="179" t="n"/>
      <c r="O197" s="173" t="n"/>
    </row>
    <row r="198" ht="22.5" customHeight="1" s="151">
      <c r="A198" s="15">
        <f>IF(B198&lt;&gt;"", COUNTA($B$2:B198), "")</f>
        <v/>
      </c>
      <c r="B198" s="73" t="inlineStr">
        <is>
          <t>Термометр сопротивления</t>
        </is>
      </c>
      <c r="C198" s="175" t="inlineStr">
        <is>
          <t>ТСП 012.08</t>
        </is>
      </c>
      <c r="D198" s="175" t="n">
        <v>596</v>
      </c>
      <c r="E198" s="295" t="n">
        <v>43252</v>
      </c>
      <c r="F198" s="17" t="inlineStr">
        <is>
          <t>-60…200 °С
80 мм</t>
        </is>
      </c>
      <c r="G198" s="95" t="n"/>
      <c r="H198" s="14" t="inlineStr">
        <is>
          <t xml:space="preserve">Тв подоваемого из воздуходовки </t>
        </is>
      </c>
      <c r="I198" s="175" t="n"/>
      <c r="J198" s="41" t="inlineStr">
        <is>
          <t>АСУ,А и ТМ (КЦ № 7)</t>
        </is>
      </c>
      <c r="K198" s="179" t="n"/>
      <c r="L198" s="179" t="n"/>
      <c r="M198" s="179" t="n"/>
      <c r="N198" s="179" t="n"/>
      <c r="O198" s="173" t="n"/>
    </row>
    <row r="199" ht="22.5" customHeight="1" s="151">
      <c r="A199" s="15">
        <f>IF(B199&lt;&gt;"", COUNTA($B$2:B199), "")</f>
        <v/>
      </c>
      <c r="B199" s="175" t="inlineStr">
        <is>
          <t>Сигнализатор уровня</t>
        </is>
      </c>
      <c r="C199" s="14" t="inlineStr">
        <is>
          <t>Валком</t>
        </is>
      </c>
      <c r="D199" s="175" t="inlineStr">
        <is>
          <t>8А10711</t>
        </is>
      </c>
      <c r="E199" s="175" t="n">
        <v>2018</v>
      </c>
      <c r="F199" s="70" t="inlineStr">
        <is>
          <t>200 мм</t>
        </is>
      </c>
      <c r="G199" s="95" t="n"/>
      <c r="H199" s="175" t="inlineStr">
        <is>
          <t>БФБГ-1 (верхний)</t>
        </is>
      </c>
      <c r="I199" s="175" t="inlineStr">
        <is>
          <t>КЦ</t>
        </is>
      </c>
      <c r="J199" s="41" t="inlineStr">
        <is>
          <t>АСУ,А и ТМ (КЦ № 7)</t>
        </is>
      </c>
      <c r="K199" s="179" t="n"/>
      <c r="L199" s="179" t="n"/>
      <c r="M199" s="179" t="n"/>
      <c r="N199" s="179" t="n"/>
      <c r="O199" s="190" t="inlineStr">
        <is>
          <t>не является СИ</t>
        </is>
      </c>
    </row>
    <row r="200" ht="22.5" customHeight="1" s="151">
      <c r="A200" s="15">
        <f>IF(B200&lt;&gt;"", COUNTA($B$2:B200), "")</f>
        <v/>
      </c>
      <c r="B200" s="175" t="inlineStr">
        <is>
          <t>Сигнализатор уровня</t>
        </is>
      </c>
      <c r="C200" s="14" t="inlineStr">
        <is>
          <t>Валком</t>
        </is>
      </c>
      <c r="D200" s="175" t="inlineStr">
        <is>
          <t>8А10731</t>
        </is>
      </c>
      <c r="E200" s="175" t="n">
        <v>2018</v>
      </c>
      <c r="F200" s="70" t="inlineStr">
        <is>
          <t>200 мм</t>
        </is>
      </c>
      <c r="G200" s="95" t="n"/>
      <c r="H200" s="175" t="inlineStr">
        <is>
          <t>БФБГ-1 (нижний)</t>
        </is>
      </c>
      <c r="I200" s="175" t="inlineStr">
        <is>
          <t>КЦ</t>
        </is>
      </c>
      <c r="J200" s="41" t="inlineStr">
        <is>
          <t>АСУ,А и ТМ (КЦ № 7)</t>
        </is>
      </c>
      <c r="K200" s="179" t="n"/>
      <c r="L200" s="179" t="n"/>
      <c r="M200" s="179" t="n"/>
      <c r="N200" s="179" t="n"/>
      <c r="O200" s="190" t="inlineStr">
        <is>
          <t>не является СИ</t>
        </is>
      </c>
    </row>
    <row r="201" ht="22.5" customHeight="1" s="151">
      <c r="A201" s="15">
        <f>IF(B201&lt;&gt;"", COUNTA($B$2:B201), "")</f>
        <v/>
      </c>
      <c r="B201" s="175" t="inlineStr">
        <is>
          <t>Сигнализатор уровня</t>
        </is>
      </c>
      <c r="C201" s="14" t="inlineStr">
        <is>
          <t>Валком</t>
        </is>
      </c>
      <c r="D201" s="175" t="inlineStr">
        <is>
          <t>8А10718</t>
        </is>
      </c>
      <c r="E201" s="175" t="n">
        <v>2018</v>
      </c>
      <c r="F201" s="70" t="inlineStr">
        <is>
          <t>200 мм</t>
        </is>
      </c>
      <c r="G201" s="95" t="n"/>
      <c r="H201" s="175" t="inlineStr">
        <is>
          <t>БФБГ-2 (верхний)</t>
        </is>
      </c>
      <c r="I201" s="175" t="inlineStr">
        <is>
          <t>КЦ</t>
        </is>
      </c>
      <c r="J201" s="41" t="inlineStr">
        <is>
          <t>АСУ,А и ТМ (КЦ № 7)</t>
        </is>
      </c>
      <c r="K201" s="179" t="n"/>
      <c r="L201" s="179" t="n"/>
      <c r="M201" s="179" t="n"/>
      <c r="N201" s="179" t="n"/>
      <c r="O201" s="190" t="inlineStr">
        <is>
          <t>не является СИ</t>
        </is>
      </c>
    </row>
    <row r="202" ht="22.5" customHeight="1" s="151">
      <c r="A202" s="15">
        <f>IF(B202&lt;&gt;"", COUNTA($B$2:B202), "")</f>
        <v/>
      </c>
      <c r="B202" s="175" t="inlineStr">
        <is>
          <t>Сигнализатор уровня</t>
        </is>
      </c>
      <c r="C202" s="14" t="inlineStr">
        <is>
          <t>Валком</t>
        </is>
      </c>
      <c r="D202" s="175" t="inlineStr">
        <is>
          <t>8К10984</t>
        </is>
      </c>
      <c r="E202" s="175" t="n">
        <v>2018</v>
      </c>
      <c r="F202" s="70" t="inlineStr">
        <is>
          <t>200 мм</t>
        </is>
      </c>
      <c r="G202" s="95" t="n"/>
      <c r="H202" s="175" t="inlineStr">
        <is>
          <t>БФБГ-2 (нижний)</t>
        </is>
      </c>
      <c r="I202" s="175" t="inlineStr">
        <is>
          <t>КЦ</t>
        </is>
      </c>
      <c r="J202" s="41" t="inlineStr">
        <is>
          <t>АСУ,А и ТМ (КЦ № 7)</t>
        </is>
      </c>
      <c r="K202" s="179" t="n"/>
      <c r="L202" s="179" t="n"/>
      <c r="M202" s="179" t="n"/>
      <c r="N202" s="179" t="n"/>
      <c r="O202" s="190" t="inlineStr">
        <is>
          <t>не является СИ</t>
        </is>
      </c>
    </row>
    <row r="203" ht="22.5" customHeight="1" s="151">
      <c r="A203" s="15">
        <f>IF(B203&lt;&gt;"", COUNTA($B$2:B203), "")</f>
        <v/>
      </c>
      <c r="B203" s="175" t="inlineStr">
        <is>
          <t>Сигнализатор уровня</t>
        </is>
      </c>
      <c r="C203" s="14" t="inlineStr">
        <is>
          <t>Валком</t>
        </is>
      </c>
      <c r="D203" s="175" t="inlineStr">
        <is>
          <t>8А10743</t>
        </is>
      </c>
      <c r="E203" s="175" t="n">
        <v>2018</v>
      </c>
      <c r="F203" s="70" t="inlineStr">
        <is>
          <t>200 мм</t>
        </is>
      </c>
      <c r="G203" s="95" t="n"/>
      <c r="H203" s="175" t="inlineStr">
        <is>
          <t>БФТГ-1 (верхний)</t>
        </is>
      </c>
      <c r="I203" s="175" t="inlineStr">
        <is>
          <t>КЦ</t>
        </is>
      </c>
      <c r="J203" s="41" t="inlineStr">
        <is>
          <t>АСУ,А и ТМ (КЦ № 7)</t>
        </is>
      </c>
      <c r="K203" s="179" t="n"/>
      <c r="L203" s="179" t="n"/>
      <c r="M203" s="179" t="n"/>
      <c r="N203" s="179" t="n"/>
      <c r="O203" s="190" t="inlineStr">
        <is>
          <t>не является СИ</t>
        </is>
      </c>
    </row>
    <row r="204" ht="22.5" customHeight="1" s="151">
      <c r="A204" s="15">
        <f>IF(B204&lt;&gt;"", COUNTA($B$2:B204), "")</f>
        <v/>
      </c>
      <c r="B204" s="175" t="inlineStr">
        <is>
          <t>Сигнализатор уровня</t>
        </is>
      </c>
      <c r="C204" s="14" t="inlineStr">
        <is>
          <t>Валком</t>
        </is>
      </c>
      <c r="D204" s="175" t="inlineStr">
        <is>
          <t>2К021244</t>
        </is>
      </c>
      <c r="E204" s="175" t="n">
        <v>2018</v>
      </c>
      <c r="F204" s="70" t="inlineStr">
        <is>
          <t>200 мм</t>
        </is>
      </c>
      <c r="G204" s="95" t="n"/>
      <c r="H204" s="175" t="inlineStr">
        <is>
          <t>БФТГ-1 (нижний)</t>
        </is>
      </c>
      <c r="I204" s="175" t="inlineStr">
        <is>
          <t>КЦ</t>
        </is>
      </c>
      <c r="J204" s="41" t="inlineStr">
        <is>
          <t>АСУ,А и ТМ (КЦ № 7)</t>
        </is>
      </c>
      <c r="K204" s="179" t="n"/>
      <c r="L204" s="179" t="n"/>
      <c r="M204" s="179" t="n"/>
      <c r="N204" s="179" t="n"/>
      <c r="O204" s="190" t="inlineStr">
        <is>
          <t>не является СИ</t>
        </is>
      </c>
    </row>
    <row r="205" ht="22.5" customHeight="1" s="151">
      <c r="A205" s="15">
        <f>IF(B205&lt;&gt;"", COUNTA($B$2:B205), "")</f>
        <v/>
      </c>
      <c r="B205" s="175" t="inlineStr">
        <is>
          <t>Сигнализатор уровня</t>
        </is>
      </c>
      <c r="C205" s="14" t="inlineStr">
        <is>
          <t>Валком</t>
        </is>
      </c>
      <c r="D205" s="175" t="inlineStr">
        <is>
          <t>8А10738</t>
        </is>
      </c>
      <c r="E205" s="175" t="n">
        <v>2018</v>
      </c>
      <c r="F205" s="70" t="inlineStr">
        <is>
          <t>200 мм</t>
        </is>
      </c>
      <c r="G205" s="95" t="n"/>
      <c r="H205" s="175" t="inlineStr">
        <is>
          <t>БФТГ-2 (верхний)</t>
        </is>
      </c>
      <c r="I205" s="175" t="inlineStr">
        <is>
          <t>КЦ</t>
        </is>
      </c>
      <c r="J205" s="41" t="inlineStr">
        <is>
          <t>АСУ,А и ТМ (КЦ № 7)</t>
        </is>
      </c>
      <c r="K205" s="179" t="n"/>
      <c r="L205" s="179" t="n"/>
      <c r="M205" s="179" t="n"/>
      <c r="N205" s="179" t="n"/>
      <c r="O205" s="190" t="inlineStr">
        <is>
          <t>не является СИ</t>
        </is>
      </c>
    </row>
    <row r="206" ht="22.5" customHeight="1" s="151">
      <c r="A206" s="15">
        <f>IF(B206&lt;&gt;"", COUNTA($B$2:B206), "")</f>
        <v/>
      </c>
      <c r="B206" s="175" t="inlineStr">
        <is>
          <t>Сигнализатор уровня</t>
        </is>
      </c>
      <c r="C206" s="14" t="inlineStr">
        <is>
          <t>Валком</t>
        </is>
      </c>
      <c r="D206" s="175" t="inlineStr">
        <is>
          <t>8А10749</t>
        </is>
      </c>
      <c r="E206" s="175" t="n">
        <v>2018</v>
      </c>
      <c r="F206" s="70" t="inlineStr">
        <is>
          <t>200 мм</t>
        </is>
      </c>
      <c r="G206" s="95" t="n"/>
      <c r="H206" s="175" t="inlineStr">
        <is>
          <t>БФТГ-2 (нижний)</t>
        </is>
      </c>
      <c r="I206" s="175" t="inlineStr">
        <is>
          <t>КЦ</t>
        </is>
      </c>
      <c r="J206" s="41" t="inlineStr">
        <is>
          <t>АСУ,А и ТМ (КЦ № 7)</t>
        </is>
      </c>
      <c r="K206" s="179" t="n"/>
      <c r="L206" s="179" t="n"/>
      <c r="M206" s="179" t="n"/>
      <c r="N206" s="179" t="n"/>
      <c r="O206" s="190" t="inlineStr">
        <is>
          <t>не является СИ</t>
        </is>
      </c>
    </row>
    <row r="207" ht="22.5" customFormat="1" customHeight="1" s="197">
      <c r="A207" s="15">
        <f>IF(B207&lt;&gt;"", COUNTA($B$2:B207), "")</f>
        <v/>
      </c>
      <c r="B207" s="116" t="inlineStr">
        <is>
          <t>Сигнализатор давления</t>
        </is>
      </c>
      <c r="C207" s="105" t="inlineStr">
        <is>
          <t>Садко 107</t>
        </is>
      </c>
      <c r="D207" s="116" t="n"/>
      <c r="E207" s="116" t="n">
        <v>2018</v>
      </c>
      <c r="F207" s="175" t="inlineStr">
        <is>
          <t>0,09…0,5 МПа</t>
        </is>
      </c>
      <c r="G207" s="132" t="n"/>
      <c r="H207" s="116" t="inlineStr">
        <is>
          <t>PКПВ КВД (А61)</t>
        </is>
      </c>
      <c r="I207" s="116" t="inlineStr">
        <is>
          <t>КЦ</t>
        </is>
      </c>
      <c r="J207" s="128" t="inlineStr">
        <is>
          <t>АСУ,А и ТМ (КЦ № 7)</t>
        </is>
      </c>
      <c r="K207" s="195" t="n"/>
      <c r="L207" s="195" t="n"/>
      <c r="M207" s="195" t="n"/>
      <c r="N207" s="195" t="n"/>
      <c r="O207" s="196" t="inlineStr">
        <is>
          <t>уточнить номер</t>
        </is>
      </c>
    </row>
    <row r="208" ht="22.5" customFormat="1" customHeight="1" s="197">
      <c r="A208" s="15">
        <f>IF(B208&lt;&gt;"", COUNTA($B$2:B208), "")</f>
        <v/>
      </c>
      <c r="B208" s="116" t="inlineStr">
        <is>
          <t>Сигнализатор давления</t>
        </is>
      </c>
      <c r="C208" s="105" t="inlineStr">
        <is>
          <t>Садко 107</t>
        </is>
      </c>
      <c r="D208" s="116" t="n"/>
      <c r="E208" s="116" t="n">
        <v>2019</v>
      </c>
      <c r="F208" s="175" t="inlineStr">
        <is>
          <t>0,09…0,5 МПа</t>
        </is>
      </c>
      <c r="G208" s="132" t="n"/>
      <c r="H208" s="116" t="inlineStr">
        <is>
          <t>Pкпвз (А31)</t>
        </is>
      </c>
      <c r="I208" s="116" t="inlineStr">
        <is>
          <t>КЦ</t>
        </is>
      </c>
      <c r="J208" s="128" t="inlineStr">
        <is>
          <t>АСУ,А и ТМ (КЦ № 7)</t>
        </is>
      </c>
      <c r="K208" s="195" t="n"/>
      <c r="L208" s="195" t="n"/>
      <c r="M208" s="195" t="n"/>
      <c r="N208" s="195" t="n"/>
      <c r="O208" s="196" t="inlineStr">
        <is>
          <t>уточнить номер</t>
        </is>
      </c>
    </row>
    <row r="209" ht="22.5" customHeight="1" s="151">
      <c r="A209" s="15">
        <f>IF(B209&lt;&gt;"", COUNTA($B$2:B209), "")</f>
        <v/>
      </c>
      <c r="B209" s="175" t="inlineStr">
        <is>
          <t>Преобразователь давления</t>
        </is>
      </c>
      <c r="C209" s="14" t="inlineStr">
        <is>
          <t>Yokogawa EJA530E</t>
        </is>
      </c>
      <c r="D209" s="175" t="inlineStr">
        <is>
          <t>91V114491</t>
        </is>
      </c>
      <c r="E209" s="175" t="n">
        <v>2018</v>
      </c>
      <c r="F209" s="175" t="inlineStr">
        <is>
          <t>0…0,6 МПа</t>
        </is>
      </c>
      <c r="G209" s="95" t="n"/>
      <c r="H209" s="175" t="inlineStr">
        <is>
          <t>Pквд (A71)</t>
        </is>
      </c>
      <c r="I209" s="175" t="inlineStr">
        <is>
          <t>КЦ</t>
        </is>
      </c>
      <c r="J209" s="41" t="inlineStr">
        <is>
          <t>АСУ,А и ТМ (КЦ № 7)</t>
        </is>
      </c>
      <c r="K209" s="179" t="n"/>
      <c r="L209" s="179" t="n"/>
      <c r="M209" s="179" t="n"/>
      <c r="N209" s="179" t="n"/>
      <c r="O209" s="173" t="n"/>
    </row>
    <row r="210" ht="22.5" customHeight="1" s="151">
      <c r="A210" s="15">
        <f>IF(B210&lt;&gt;"", COUNTA($B$2:B210), "")</f>
        <v/>
      </c>
      <c r="B210" s="175" t="inlineStr">
        <is>
          <t>Преобразователь давления</t>
        </is>
      </c>
      <c r="C210" s="14" t="inlineStr">
        <is>
          <t>Yokogawa EJA530E</t>
        </is>
      </c>
      <c r="D210" s="175" t="inlineStr">
        <is>
          <t>91UB38703</t>
        </is>
      </c>
      <c r="E210" s="175" t="n">
        <v>2018</v>
      </c>
      <c r="F210" s="175" t="inlineStr">
        <is>
          <t>0…0,16 МПа</t>
        </is>
      </c>
      <c r="G210" s="95" t="n"/>
      <c r="H210" s="175" t="inlineStr">
        <is>
          <t>Pрп квд (A33)</t>
        </is>
      </c>
      <c r="I210" s="175" t="inlineStr">
        <is>
          <t>КЦ</t>
        </is>
      </c>
      <c r="J210" s="41" t="inlineStr">
        <is>
          <t>АСУ,А и ТМ (КЦ № 7)</t>
        </is>
      </c>
      <c r="K210" s="179" t="n"/>
      <c r="L210" s="179" t="n"/>
      <c r="M210" s="179" t="n"/>
      <c r="N210" s="179" t="n"/>
      <c r="O210" s="173" t="n"/>
    </row>
    <row r="211" ht="22.5" customHeight="1" s="151">
      <c r="A211" s="15">
        <f>IF(B211&lt;&gt;"", COUNTA($B$2:B211), "")</f>
        <v/>
      </c>
      <c r="B211" s="175" t="inlineStr">
        <is>
          <t>Преобразователь давления</t>
        </is>
      </c>
      <c r="C211" s="14" t="inlineStr">
        <is>
          <t>Yokogawa EJA530E</t>
        </is>
      </c>
      <c r="D211" s="175" t="inlineStr">
        <is>
          <t>91V114313</t>
        </is>
      </c>
      <c r="E211" s="175" t="n">
        <v>2018</v>
      </c>
      <c r="F211" s="175" t="inlineStr">
        <is>
          <t>0…0,6 МПа</t>
        </is>
      </c>
      <c r="G211" s="95" t="n"/>
      <c r="H211" s="175" t="inlineStr">
        <is>
          <t>P*тнд (A87)</t>
        </is>
      </c>
      <c r="I211" s="175" t="inlineStr">
        <is>
          <t>КЦ</t>
        </is>
      </c>
      <c r="J211" s="41" t="inlineStr">
        <is>
          <t>АСУ,А и ТМ (КЦ № 7)</t>
        </is>
      </c>
      <c r="K211" s="179" t="n"/>
      <c r="L211" s="179" t="n"/>
      <c r="M211" s="179" t="n"/>
      <c r="N211" s="179" t="n"/>
      <c r="O211" s="173" t="n"/>
    </row>
    <row r="212" ht="22.5" customHeight="1" s="151">
      <c r="A212" s="15">
        <f>IF(B212&lt;&gt;"", COUNTA($B$2:B212), "")</f>
        <v/>
      </c>
      <c r="B212" s="175" t="inlineStr">
        <is>
          <t>Преобразователь давления</t>
        </is>
      </c>
      <c r="C212" s="14" t="inlineStr">
        <is>
          <t>Yokogawa EJA530E</t>
        </is>
      </c>
      <c r="D212" s="175" t="inlineStr">
        <is>
          <t>91UC19746</t>
        </is>
      </c>
      <c r="E212" s="175" t="n">
        <v>2018</v>
      </c>
      <c r="F212" s="175" t="inlineStr">
        <is>
          <t>0…0,16 МПа</t>
        </is>
      </c>
      <c r="G212" s="95" t="n"/>
      <c r="H212" s="175" t="inlineStr">
        <is>
          <t>P*охл. тнд (A88)</t>
        </is>
      </c>
      <c r="I212" s="175" t="inlineStr">
        <is>
          <t>КЦ</t>
        </is>
      </c>
      <c r="J212" s="41" t="inlineStr">
        <is>
          <t>АСУ,А и ТМ (КЦ № 7)</t>
        </is>
      </c>
      <c r="K212" s="179" t="n"/>
      <c r="L212" s="179" t="n"/>
      <c r="M212" s="179" t="n"/>
      <c r="N212" s="179" t="n"/>
      <c r="O212" s="173" t="n"/>
    </row>
    <row r="213" ht="22.5" customHeight="1" s="151">
      <c r="A213" s="15">
        <f>IF(B213&lt;&gt;"", COUNTA($B$2:B213), "")</f>
        <v/>
      </c>
      <c r="B213" s="175" t="inlineStr">
        <is>
          <t>Преобразователь давления</t>
        </is>
      </c>
      <c r="C213" s="14" t="inlineStr">
        <is>
          <t>Yokogawa EJA530E</t>
        </is>
      </c>
      <c r="D213" s="175" t="inlineStr">
        <is>
          <t>91V114299</t>
        </is>
      </c>
      <c r="E213" s="175" t="n">
        <v>2018</v>
      </c>
      <c r="F213" s="175" t="inlineStr">
        <is>
          <t>0…0,6 МПа</t>
        </is>
      </c>
      <c r="G213" s="95" t="n"/>
      <c r="H213" s="175" t="inlineStr">
        <is>
          <t>P*твд (A39)</t>
        </is>
      </c>
      <c r="I213" s="175" t="inlineStr">
        <is>
          <t>КЦ</t>
        </is>
      </c>
      <c r="J213" s="41" t="inlineStr">
        <is>
          <t>АСУ,А и ТМ (КЦ № 7)</t>
        </is>
      </c>
      <c r="K213" s="179" t="n"/>
      <c r="L213" s="179" t="n"/>
      <c r="M213" s="179" t="n"/>
      <c r="N213" s="179" t="n"/>
      <c r="O213" s="173" t="n"/>
    </row>
    <row r="214" ht="22.5" customHeight="1" s="151">
      <c r="A214" s="15">
        <f>IF(B214&lt;&gt;"", COUNTA($B$2:B214), "")</f>
        <v/>
      </c>
      <c r="B214" s="175" t="inlineStr">
        <is>
          <t>Преобразователь давления</t>
        </is>
      </c>
      <c r="C214" s="14" t="inlineStr">
        <is>
          <t>Yokogawa EJA530E</t>
        </is>
      </c>
      <c r="D214" s="175" t="inlineStr">
        <is>
          <t>91V114309</t>
        </is>
      </c>
      <c r="E214" s="175" t="n">
        <v>2018</v>
      </c>
      <c r="F214" s="175" t="inlineStr">
        <is>
          <t>0…0,6 МПа</t>
        </is>
      </c>
      <c r="G214" s="95" t="n"/>
      <c r="H214" s="175" t="inlineStr">
        <is>
          <t>Pрп ст (A30)</t>
        </is>
      </c>
      <c r="I214" s="175" t="inlineStr">
        <is>
          <t>КЦ</t>
        </is>
      </c>
      <c r="J214" s="41" t="inlineStr">
        <is>
          <t>АСУ,А и ТМ (КЦ № 7)</t>
        </is>
      </c>
      <c r="K214" s="179" t="n"/>
      <c r="L214" s="179" t="n"/>
      <c r="M214" s="179" t="n"/>
      <c r="N214" s="179" t="n"/>
      <c r="O214" s="173" t="n"/>
    </row>
    <row r="215" ht="22.5" customHeight="1" s="151">
      <c r="A215" s="15">
        <f>IF(B215&lt;&gt;"", COUNTA($B$2:B215), "")</f>
        <v/>
      </c>
      <c r="B215" s="175" t="inlineStr">
        <is>
          <t>Преобразователь давления</t>
        </is>
      </c>
      <c r="C215" s="14" t="inlineStr">
        <is>
          <t>Yokogawa EJA530E</t>
        </is>
      </c>
      <c r="D215" s="175" t="inlineStr">
        <is>
          <t>91V11114745</t>
        </is>
      </c>
      <c r="E215" s="175" t="n">
        <v>2018</v>
      </c>
      <c r="F215" s="175" t="inlineStr">
        <is>
          <t>0…16 кПа</t>
        </is>
      </c>
      <c r="G215" s="95" t="n"/>
      <c r="H215" s="175" t="inlineStr">
        <is>
          <t>P*ст (A81)</t>
        </is>
      </c>
      <c r="I215" s="175" t="inlineStr">
        <is>
          <t>КЦ</t>
        </is>
      </c>
      <c r="J215" s="41" t="inlineStr">
        <is>
          <t>АСУ,А и ТМ (КЦ № 7)</t>
        </is>
      </c>
      <c r="K215" s="179" t="n"/>
      <c r="L215" s="179" t="n"/>
      <c r="M215" s="179" t="n"/>
      <c r="N215" s="179" t="n"/>
      <c r="O215" s="173" t="n"/>
    </row>
    <row r="216" ht="22.5" customHeight="1" s="151">
      <c r="A216" s="15">
        <f>IF(B216&lt;&gt;"", COUNTA($B$2:B216), "")</f>
        <v/>
      </c>
      <c r="B216" s="175" t="inlineStr">
        <is>
          <t>Преобразователь давления</t>
        </is>
      </c>
      <c r="C216" s="14" t="inlineStr">
        <is>
          <t>Yokogawa EJA530E</t>
        </is>
      </c>
      <c r="D216" s="175" t="inlineStr">
        <is>
          <t>91T832296</t>
        </is>
      </c>
      <c r="E216" s="175" t="n">
        <v>2018</v>
      </c>
      <c r="F216" s="175" t="inlineStr">
        <is>
          <t>0…16 МПа</t>
        </is>
      </c>
      <c r="G216" s="95" t="n"/>
      <c r="H216" s="175" t="inlineStr">
        <is>
          <t>Перепад между атмосферным давлением и полным давлением воздуха на входе КНД</t>
        </is>
      </c>
      <c r="I216" s="175" t="inlineStr">
        <is>
          <t>КЦ</t>
        </is>
      </c>
      <c r="J216" s="41" t="inlineStr">
        <is>
          <t>АСУ,А и ТМ (КЦ № 7)</t>
        </is>
      </c>
      <c r="K216" s="179" t="n"/>
      <c r="L216" s="179" t="n"/>
      <c r="M216" s="179" t="n"/>
      <c r="N216" s="179" t="n"/>
      <c r="O216" s="173" t="n"/>
    </row>
    <row r="217" ht="33.75" customHeight="1" s="151">
      <c r="A217" s="15">
        <f>IF(B217&lt;&gt;"", COUNTA($B$2:B217), "")</f>
        <v/>
      </c>
      <c r="B217" s="175" t="inlineStr">
        <is>
          <t>Преобразователь давления</t>
        </is>
      </c>
      <c r="C217" s="14" t="inlineStr">
        <is>
          <t>Yokogawa EJA530E</t>
        </is>
      </c>
      <c r="D217" s="175" t="inlineStr">
        <is>
          <t>91UC19359</t>
        </is>
      </c>
      <c r="E217" s="175" t="n">
        <v>2018</v>
      </c>
      <c r="F217" s="175" t="inlineStr">
        <is>
          <t>0…16 МПа</t>
        </is>
      </c>
      <c r="G217" s="95" t="n"/>
      <c r="H217" s="175" t="inlineStr">
        <is>
          <t>Перепад между атмосферным давлением и статистическим давлением воздуха на входе КНД</t>
        </is>
      </c>
      <c r="I217" s="175" t="inlineStr">
        <is>
          <t>КЦ</t>
        </is>
      </c>
      <c r="J217" s="41" t="inlineStr">
        <is>
          <t>АСУ,А и ТМ (КЦ № 7)</t>
        </is>
      </c>
      <c r="K217" s="179" t="n"/>
      <c r="L217" s="179" t="n"/>
      <c r="M217" s="179" t="n"/>
      <c r="N217" s="179" t="n"/>
      <c r="O217" s="173" t="n"/>
    </row>
    <row r="218" ht="22.5" customHeight="1" s="151">
      <c r="A218" s="15">
        <f>IF(B218&lt;&gt;"", COUNTA($B$2:B218), "")</f>
        <v/>
      </c>
      <c r="B218" s="175" t="inlineStr">
        <is>
          <t>Преобразователь давления</t>
        </is>
      </c>
      <c r="C218" s="14" t="inlineStr">
        <is>
          <t>Yokogawa EJA530E</t>
        </is>
      </c>
      <c r="D218" s="175" t="inlineStr">
        <is>
          <t>91T832328</t>
        </is>
      </c>
      <c r="E218" s="175" t="n">
        <v>2018</v>
      </c>
      <c r="F218" s="175" t="inlineStr">
        <is>
          <t>0…10 МПа</t>
        </is>
      </c>
      <c r="G218" s="95" t="n"/>
      <c r="H218" s="175" t="inlineStr">
        <is>
          <t>Ртг передд ДГ (А72)</t>
        </is>
      </c>
      <c r="I218" s="175" t="inlineStr">
        <is>
          <t>КЦ</t>
        </is>
      </c>
      <c r="J218" s="41" t="inlineStr">
        <is>
          <t>АСУ,А и ТМ (КЦ № 7)</t>
        </is>
      </c>
      <c r="K218" s="179" t="n"/>
      <c r="L218" s="179" t="n"/>
      <c r="M218" s="179" t="n"/>
      <c r="N218" s="179" t="n"/>
      <c r="O218" s="173" t="n"/>
    </row>
    <row r="219" ht="22.5" customHeight="1" s="151">
      <c r="A219" s="15">
        <f>IF(B219&lt;&gt;"", COUNTA($B$2:B219), "")</f>
        <v/>
      </c>
      <c r="B219" s="175" t="inlineStr">
        <is>
          <t>Преобразователь давления</t>
        </is>
      </c>
      <c r="C219" s="14" t="inlineStr">
        <is>
          <t>Yokogawa EJA530E</t>
        </is>
      </c>
      <c r="D219" s="175" t="inlineStr">
        <is>
          <t>91T832325</t>
        </is>
      </c>
      <c r="E219" s="175" t="n">
        <v>2018</v>
      </c>
      <c r="F219" s="175" t="inlineStr">
        <is>
          <t>0…10 МПа</t>
        </is>
      </c>
      <c r="G219" s="95" t="n"/>
      <c r="H219" s="175" t="inlineStr">
        <is>
          <t>Ртг передд СК (А73)</t>
        </is>
      </c>
      <c r="I219" s="175" t="inlineStr">
        <is>
          <t>КЦ</t>
        </is>
      </c>
      <c r="J219" s="41" t="inlineStr">
        <is>
          <t>АСУ,А и ТМ (КЦ № 7)</t>
        </is>
      </c>
      <c r="K219" s="179" t="n"/>
      <c r="L219" s="179" t="n"/>
      <c r="M219" s="179" t="n"/>
      <c r="N219" s="179" t="n"/>
      <c r="O219" s="173" t="n"/>
    </row>
    <row r="220" ht="22.5" customHeight="1" s="151">
      <c r="A220" s="15">
        <f>IF(B220&lt;&gt;"", COUNTA($B$2:B220), "")</f>
        <v/>
      </c>
      <c r="B220" s="175" t="inlineStr">
        <is>
          <t>Преобразователь давления</t>
        </is>
      </c>
      <c r="C220" s="14" t="inlineStr">
        <is>
          <t>Yokogawa EJA530E</t>
        </is>
      </c>
      <c r="D220" s="175" t="inlineStr">
        <is>
          <t>91UC19442</t>
        </is>
      </c>
      <c r="E220" s="175" t="n">
        <v>2018</v>
      </c>
      <c r="F220" s="175" t="inlineStr">
        <is>
          <t>0…0,2 МПа</t>
        </is>
      </c>
      <c r="G220" s="95" t="n"/>
      <c r="H220" s="175" t="inlineStr">
        <is>
          <t>Рв полное за КНД (А86)</t>
        </is>
      </c>
      <c r="I220" s="175" t="inlineStr">
        <is>
          <t>КЦ</t>
        </is>
      </c>
      <c r="J220" s="41" t="inlineStr">
        <is>
          <t>АСУ,А и ТМ (КЦ № 7)</t>
        </is>
      </c>
      <c r="K220" s="179" t="n"/>
      <c r="L220" s="179" t="n"/>
      <c r="M220" s="179" t="n"/>
      <c r="N220" s="179" t="n"/>
      <c r="O220" s="173" t="n"/>
    </row>
    <row r="221" ht="22.5" customHeight="1" s="151">
      <c r="A221" s="15">
        <f>IF(B221&lt;&gt;"", COUNTA($B$2:B221), "")</f>
        <v/>
      </c>
      <c r="B221" s="175" t="inlineStr">
        <is>
          <t>Преобразователь давления</t>
        </is>
      </c>
      <c r="C221" s="14" t="inlineStr">
        <is>
          <t>Yokogawa EJA530E</t>
        </is>
      </c>
      <c r="D221" s="175" t="inlineStr">
        <is>
          <t>91UC19464</t>
        </is>
      </c>
      <c r="E221" s="175" t="n">
        <v>2018</v>
      </c>
      <c r="F221" s="175" t="inlineStr">
        <is>
          <t>0…2 МПа</t>
        </is>
      </c>
      <c r="G221" s="95" t="n"/>
      <c r="H221" s="175" t="inlineStr">
        <is>
          <t>Рм на входе в двигатель (А40)</t>
        </is>
      </c>
      <c r="I221" s="175" t="inlineStr">
        <is>
          <t>КЦ</t>
        </is>
      </c>
      <c r="J221" s="41" t="inlineStr">
        <is>
          <t>АСУ,А и ТМ (КЦ № 7)</t>
        </is>
      </c>
      <c r="K221" s="179" t="n"/>
      <c r="L221" s="179" t="n"/>
      <c r="M221" s="179" t="n"/>
      <c r="N221" s="179" t="n"/>
      <c r="O221" s="173" t="n"/>
    </row>
    <row r="222" ht="22.5" customHeight="1" s="151">
      <c r="A222" s="15">
        <f>IF(B222&lt;&gt;"", COUNTA($B$2:B222), "")</f>
        <v/>
      </c>
      <c r="B222" s="175" t="inlineStr">
        <is>
          <t>Преобразователь давления</t>
        </is>
      </c>
      <c r="C222" s="14" t="inlineStr">
        <is>
          <t>Yokogawa EJA530E</t>
        </is>
      </c>
      <c r="D222" s="175" t="inlineStr">
        <is>
          <t>91UB38698</t>
        </is>
      </c>
      <c r="E222" s="175" t="n">
        <v>2018</v>
      </c>
      <c r="F222" s="175" t="inlineStr">
        <is>
          <t>0…0,2 кПа</t>
        </is>
      </c>
      <c r="G222" s="95" t="n"/>
      <c r="H222" s="175" t="inlineStr">
        <is>
          <t>Давление суфлирования (А43)</t>
        </is>
      </c>
      <c r="I222" s="175" t="inlineStr">
        <is>
          <t>КЦ</t>
        </is>
      </c>
      <c r="J222" s="41" t="inlineStr">
        <is>
          <t>АСУ,А и ТМ (КЦ № 7)</t>
        </is>
      </c>
      <c r="K222" s="179" t="n"/>
      <c r="L222" s="179" t="n"/>
      <c r="M222" s="179" t="n"/>
      <c r="N222" s="179" t="n"/>
      <c r="O222" s="173" t="n"/>
    </row>
    <row r="223" ht="22.5" customHeight="1" s="151">
      <c r="A223" s="15">
        <f>IF(B223&lt;&gt;"", COUNTA($B$2:B223), "")</f>
        <v/>
      </c>
      <c r="B223" s="73" t="inlineStr">
        <is>
          <t>Термометр сопротивления</t>
        </is>
      </c>
      <c r="C223" s="14" t="inlineStr">
        <is>
          <t>ТСП 012.52В</t>
        </is>
      </c>
      <c r="D223" s="181" t="n">
        <v>23</v>
      </c>
      <c r="E223" s="297" t="n">
        <v>43222</v>
      </c>
      <c r="F223" s="17" t="inlineStr">
        <is>
          <t>-60…200 °С
100 мм</t>
        </is>
      </c>
      <c r="G223" s="181" t="n"/>
      <c r="H223" s="175" t="inlineStr">
        <is>
          <t>Тв на выходе из осевого подшипника</t>
        </is>
      </c>
      <c r="I223" s="15" t="n"/>
      <c r="J223" s="15" t="inlineStr">
        <is>
          <t>АСУ,А и ТМ (КЦ № 7)</t>
        </is>
      </c>
      <c r="K223" s="15" t="n"/>
      <c r="L223" s="15" t="n"/>
      <c r="M223" s="3" t="n"/>
      <c r="N223" s="175" t="n"/>
      <c r="O223" s="176" t="n"/>
    </row>
    <row r="224" ht="22.5" customHeight="1" s="151">
      <c r="A224" s="15">
        <f>IF(B224&lt;&gt;"", COUNTA($B$2:B224), "")</f>
        <v/>
      </c>
      <c r="B224" s="74" t="inlineStr">
        <is>
          <t>Термометр сопротивления</t>
        </is>
      </c>
      <c r="C224" s="14" t="inlineStr">
        <is>
          <t>ТСПУ 014.12</t>
        </is>
      </c>
      <c r="D224" s="14" t="n">
        <v>360</v>
      </c>
      <c r="E224" s="17" t="inlineStr">
        <is>
          <t>2018</t>
        </is>
      </c>
      <c r="F224" s="17" t="inlineStr">
        <is>
          <t>-50…150 °С
80 мм</t>
        </is>
      </c>
      <c r="G224" s="193" t="n">
        <v>0.0025</v>
      </c>
      <c r="H224" s="14" t="inlineStr">
        <is>
          <t>Температура воздуха после доохладителя</t>
        </is>
      </c>
      <c r="I224" s="15" t="inlineStr">
        <is>
          <t>БКК 73</t>
        </is>
      </c>
      <c r="J224" s="15" t="inlineStr">
        <is>
          <t>АСУ,А и ТМ (КЦ № 7)</t>
        </is>
      </c>
      <c r="K224" s="15" t="n"/>
      <c r="L224" s="15" t="n"/>
      <c r="M224" s="95" t="n"/>
      <c r="N224" s="175" t="n"/>
      <c r="O224" s="176" t="n"/>
    </row>
    <row r="225" ht="33.75" customHeight="1" s="151">
      <c r="A225" s="15">
        <f>IF(B225&lt;&gt;"", COUNTA($B$2:B225), "")</f>
        <v/>
      </c>
      <c r="B225" s="14" t="inlineStr">
        <is>
          <t xml:space="preserve">Газоанализатор оптический стационарный </t>
        </is>
      </c>
      <c r="C225" s="14" t="inlineStr">
        <is>
          <t>ОГС-ПГП/М</t>
        </is>
      </c>
      <c r="D225" s="198" t="n">
        <v>15312</v>
      </c>
      <c r="E225" s="175" t="n">
        <v>2021</v>
      </c>
      <c r="F225" s="3" t="n"/>
      <c r="G225" s="14" t="n"/>
      <c r="H225" s="14" t="inlineStr">
        <is>
          <t>Измерение уровня загазованности</t>
        </is>
      </c>
      <c r="I225" s="15" t="inlineStr">
        <is>
          <t>ГПА 71 (вход КШТ)</t>
        </is>
      </c>
      <c r="J225" s="15" t="inlineStr">
        <is>
          <t>АСУ,А и ТМ (КЦ № 7)</t>
        </is>
      </c>
      <c r="K225" s="15" t="n"/>
      <c r="L225" s="15" t="n">
        <v>60</v>
      </c>
      <c r="M225" s="3" t="n"/>
      <c r="N225" s="175" t="n"/>
      <c r="O225" s="173" t="n"/>
    </row>
    <row r="226" ht="33.75" customHeight="1" s="151">
      <c r="A226" s="15">
        <f>IF(B226&lt;&gt;"", COUNTA($B$2:B226), "")</f>
        <v/>
      </c>
      <c r="B226" s="14" t="inlineStr">
        <is>
          <t xml:space="preserve">Газоанализатор оптический стационарный </t>
        </is>
      </c>
      <c r="C226" s="14" t="inlineStr">
        <is>
          <t>ОГС-ПГП/М</t>
        </is>
      </c>
      <c r="D226" s="199" t="n">
        <v>15316</v>
      </c>
      <c r="E226" s="175" t="n">
        <v>2021</v>
      </c>
      <c r="F226" s="3" t="n"/>
      <c r="G226" s="14" t="n"/>
      <c r="H226" s="14" t="inlineStr">
        <is>
          <t>Измерение уровня загазованности</t>
        </is>
      </c>
      <c r="I226" s="15" t="inlineStr">
        <is>
          <t>ГПА 71 (выход КШТ)</t>
        </is>
      </c>
      <c r="J226" s="15" t="inlineStr">
        <is>
          <t>АСУ,А и ТМ (КЦ № 7)</t>
        </is>
      </c>
      <c r="K226" s="15" t="n"/>
      <c r="L226" s="15" t="n">
        <v>61</v>
      </c>
      <c r="M226" s="3" t="n"/>
      <c r="N226" s="175" t="n"/>
      <c r="O226" s="173" t="n"/>
    </row>
    <row r="227" ht="33.75" customHeight="1" s="151">
      <c r="A227" s="15">
        <f>IF(B227&lt;&gt;"", COUNTA($B$2:B227), "")</f>
        <v/>
      </c>
      <c r="B227" s="14" t="inlineStr">
        <is>
          <t xml:space="preserve">Газоанализатор оптический стационарный </t>
        </is>
      </c>
      <c r="C227" s="14" t="inlineStr">
        <is>
          <t>ОГС-ПГП/М</t>
        </is>
      </c>
      <c r="D227" s="198" t="n">
        <v>15149</v>
      </c>
      <c r="E227" s="175" t="n">
        <v>2021</v>
      </c>
      <c r="F227" s="3" t="n"/>
      <c r="G227" s="14" t="n"/>
      <c r="H227" s="14" t="inlineStr">
        <is>
          <t>Измерение уровня загазованности</t>
        </is>
      </c>
      <c r="I227" s="15" t="inlineStr">
        <is>
          <t>ГПА 71</t>
        </is>
      </c>
      <c r="J227" s="15" t="inlineStr">
        <is>
          <t>АСУ,А и ТМ (КЦ № 7)</t>
        </is>
      </c>
      <c r="K227" s="15" t="n"/>
      <c r="L227" s="15" t="n">
        <v>62</v>
      </c>
      <c r="M227" s="3" t="n"/>
      <c r="N227" s="175" t="n"/>
      <c r="O227" s="173" t="n"/>
    </row>
    <row r="228" ht="33.75" customHeight="1" s="151">
      <c r="A228" s="15">
        <f>IF(B228&lt;&gt;"", COUNTA($B$2:B228), "")</f>
        <v/>
      </c>
      <c r="B228" s="14" t="inlineStr">
        <is>
          <t xml:space="preserve">Газоанализатор оптический стационарный </t>
        </is>
      </c>
      <c r="C228" s="14" t="inlineStr">
        <is>
          <t>ОГС-ПГП/М</t>
        </is>
      </c>
      <c r="D228" s="199" t="n">
        <v>15157</v>
      </c>
      <c r="E228" s="175" t="n">
        <v>2021</v>
      </c>
      <c r="F228" s="3" t="n"/>
      <c r="G228" s="14" t="n"/>
      <c r="H228" s="14" t="inlineStr">
        <is>
          <t>Измерение уровня загазованности</t>
        </is>
      </c>
      <c r="I228" s="15" t="inlineStr">
        <is>
          <t>ГПА 71</t>
        </is>
      </c>
      <c r="J228" s="15" t="inlineStr">
        <is>
          <t>АСУ,А и ТМ (КЦ № 7)</t>
        </is>
      </c>
      <c r="K228" s="15" t="n"/>
      <c r="L228" s="15" t="n">
        <v>63</v>
      </c>
      <c r="M228" s="3" t="n"/>
      <c r="N228" s="175" t="n"/>
      <c r="O228" s="173" t="n"/>
    </row>
    <row r="229" ht="33.75" customHeight="1" s="151">
      <c r="A229" s="15">
        <f>IF(B229&lt;&gt;"", COUNTA($B$2:B229), "")</f>
        <v/>
      </c>
      <c r="B229" s="14" t="inlineStr">
        <is>
          <t xml:space="preserve">Газоанализатор оптический стационарный </t>
        </is>
      </c>
      <c r="C229" s="14" t="inlineStr">
        <is>
          <t>ОГС-ПГП/М</t>
        </is>
      </c>
      <c r="D229" s="198" t="n">
        <v>15080</v>
      </c>
      <c r="E229" s="175" t="n">
        <v>2021</v>
      </c>
      <c r="F229" s="3" t="n"/>
      <c r="G229" s="14" t="n"/>
      <c r="H229" s="14" t="inlineStr">
        <is>
          <t>Измерение уровня загазованности</t>
        </is>
      </c>
      <c r="I229" s="15" t="inlineStr">
        <is>
          <t>ГПА 71</t>
        </is>
      </c>
      <c r="J229" s="15" t="inlineStr">
        <is>
          <t>АСУ,А и ТМ (КЦ № 7)</t>
        </is>
      </c>
      <c r="K229" s="15" t="n"/>
      <c r="L229" s="15" t="n">
        <v>64</v>
      </c>
      <c r="M229" s="3" t="n"/>
      <c r="N229" s="175" t="n"/>
      <c r="O229" s="173" t="n"/>
    </row>
  </sheetData>
  <conditionalFormatting sqref="M1:M1048576">
    <cfRule type="expression" priority="2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  <pageSetup orientation="portrait" paperSize="9"/>
</worksheet>
</file>

<file path=xl/worksheets/sheet26.xml><?xml version="1.0" encoding="utf-8"?>
<worksheet xmlns="http://schemas.openxmlformats.org/spreadsheetml/2006/main">
  <sheetPr codeName="Лист25">
    <outlinePr summaryBelow="1" summaryRight="1"/>
    <pageSetUpPr/>
  </sheetPr>
  <dimension ref="A1:P56"/>
  <sheetViews>
    <sheetView topLeftCell="B1" zoomScaleNormal="100" workbookViewId="0">
      <pane ySplit="1" topLeftCell="A2" activePane="bottomLeft" state="frozen"/>
      <selection pane="bottomLeft" activeCell="O2" sqref="O2"/>
    </sheetView>
  </sheetViews>
  <sheetFormatPr baseColWidth="8" defaultRowHeight="11.25"/>
  <cols>
    <col width="3.140625" bestFit="1" customWidth="1" style="108" min="1" max="1"/>
    <col width="21.5703125" bestFit="1" customWidth="1" style="108" min="2" max="2"/>
    <col width="17.28515625" bestFit="1" customWidth="1" style="108" min="3" max="3"/>
    <col width="16.28515625" bestFit="1" customWidth="1" style="108" min="4" max="4"/>
    <col width="6.5703125" bestFit="1" customWidth="1" style="108" min="5" max="5"/>
    <col width="10.85546875" bestFit="1" customWidth="1" style="108" min="6" max="6"/>
    <col width="7.42578125" bestFit="1" customWidth="1" style="108" min="7" max="7"/>
    <col width="20.85546875" bestFit="1" customWidth="1" style="108" min="8" max="8"/>
    <col width="14.7109375" bestFit="1" customWidth="1" style="108" min="9" max="9"/>
    <col width="10.42578125" bestFit="1" customWidth="1" style="108" min="10" max="10"/>
    <col width="8" bestFit="1" customWidth="1" style="108" min="11" max="11"/>
    <col width="9" bestFit="1" customWidth="1" style="108" min="12" max="12"/>
    <col width="8.85546875" bestFit="1" customWidth="1" style="108" min="13" max="13"/>
    <col width="9" bestFit="1" customWidth="1" style="108" min="14" max="14"/>
    <col width="11.7109375" customWidth="1" style="107" min="15" max="15"/>
    <col width="23.7109375" customWidth="1" style="108" min="16" max="16"/>
    <col width="9.140625" customWidth="1" style="108" min="17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
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  <c r="O1" s="10" t="inlineStr">
        <is>
          <t>Заменён на:</t>
        </is>
      </c>
    </row>
    <row r="2" ht="22.5" customFormat="1" customHeight="1" s="261">
      <c r="A2" s="252">
        <f>IF(B2&lt;&gt;"", COUNTA($B$2:B2), "")</f>
        <v/>
      </c>
      <c r="B2" s="253" t="inlineStr">
        <is>
          <t>Манометр технический</t>
        </is>
      </c>
      <c r="C2" s="254" t="inlineStr">
        <is>
          <t>МП3-УУХЛ1</t>
        </is>
      </c>
      <c r="D2" s="254" t="inlineStr">
        <is>
          <t>7000149</t>
        </is>
      </c>
      <c r="E2" s="258" t="n">
        <v>2016</v>
      </c>
      <c r="F2" s="256" t="inlineStr">
        <is>
          <t>0..160 кгс/см²</t>
        </is>
      </c>
      <c r="G2" s="254" t="inlineStr">
        <is>
          <t>1</t>
        </is>
      </c>
      <c r="H2" s="257" t="inlineStr">
        <is>
          <t>P г на входе в ПУ1</t>
        </is>
      </c>
      <c r="I2" s="252" t="inlineStr">
        <is>
          <t>Промплощадка</t>
        </is>
      </c>
      <c r="J2" s="252" t="inlineStr">
        <is>
          <t>АСУ,А и ТМ (КЦ № 7)</t>
        </is>
      </c>
      <c r="K2" s="252" t="n"/>
      <c r="L2" s="258" t="n">
        <v>12</v>
      </c>
      <c r="M2" s="259" t="inlineStr">
        <is>
          <t>26ДЯУ</t>
        </is>
      </c>
      <c r="N2" s="260" t="inlineStr">
        <is>
          <t>П</t>
        </is>
      </c>
      <c r="O2" s="269" t="n">
        <v>15551</v>
      </c>
    </row>
    <row r="3" ht="22.5" customHeight="1" s="151">
      <c r="A3" s="15">
        <f>IF(B3&lt;&gt;"", COUNTA($B$2:B3), "")</f>
        <v/>
      </c>
      <c r="B3" s="76" t="inlineStr">
        <is>
          <t>Манометр технический</t>
        </is>
      </c>
      <c r="C3" s="17" t="inlineStr">
        <is>
          <t>МП3-УУХЛ1</t>
        </is>
      </c>
      <c r="D3" s="134" t="inlineStr">
        <is>
          <t xml:space="preserve">7000154                           </t>
        </is>
      </c>
      <c r="E3" s="14" t="n">
        <v>2016</v>
      </c>
      <c r="F3" s="32" t="inlineStr">
        <is>
          <t>0..160 кгс/см²</t>
        </is>
      </c>
      <c r="G3" s="17" t="inlineStr">
        <is>
          <t>1</t>
        </is>
      </c>
      <c r="H3" s="175" t="inlineStr">
        <is>
          <t>P г на входе в ПУ2</t>
        </is>
      </c>
      <c r="I3" s="15" t="inlineStr">
        <is>
          <t>Промплощадка</t>
        </is>
      </c>
      <c r="J3" s="15" t="inlineStr">
        <is>
          <t>АСУ,А и ТМ (КЦ № 7)</t>
        </is>
      </c>
      <c r="K3" s="15" t="n"/>
      <c r="L3" s="14" t="n">
        <v>12</v>
      </c>
      <c r="M3" s="3" t="inlineStr">
        <is>
          <t>26ДЯУ</t>
        </is>
      </c>
      <c r="N3" s="70" t="inlineStr">
        <is>
          <t>П</t>
        </is>
      </c>
      <c r="O3" s="10" t="n"/>
    </row>
    <row r="4" ht="22.5" customHeight="1" s="151">
      <c r="A4" s="15">
        <f>IF(B4&lt;&gt;"", COUNTA($B$2:B4), "")</f>
        <v/>
      </c>
      <c r="B4" s="76" t="inlineStr">
        <is>
          <t>Манометр технический</t>
        </is>
      </c>
      <c r="C4" s="17" t="inlineStr">
        <is>
          <t>МП3-УУХЛ1</t>
        </is>
      </c>
      <c r="D4" s="134" t="inlineStr">
        <is>
          <t xml:space="preserve">7000158           </t>
        </is>
      </c>
      <c r="E4" s="14" t="n">
        <v>2016</v>
      </c>
      <c r="F4" s="32" t="inlineStr">
        <is>
          <t>0..160 кгс/см²</t>
        </is>
      </c>
      <c r="G4" s="17" t="inlineStr">
        <is>
          <t>1</t>
        </is>
      </c>
      <c r="H4" s="175" t="inlineStr">
        <is>
          <t>P г на входе в ПУ3</t>
        </is>
      </c>
      <c r="I4" s="15" t="inlineStr">
        <is>
          <t>Промплощадка</t>
        </is>
      </c>
      <c r="J4" s="15" t="inlineStr">
        <is>
          <t>АСУ,А и ТМ (КЦ № 7)</t>
        </is>
      </c>
      <c r="K4" s="15" t="n"/>
      <c r="L4" s="14" t="n">
        <v>12</v>
      </c>
      <c r="M4" s="3" t="inlineStr">
        <is>
          <t>26ДЯУ</t>
        </is>
      </c>
      <c r="N4" s="70" t="inlineStr">
        <is>
          <t>П</t>
        </is>
      </c>
      <c r="O4" s="10" t="n"/>
    </row>
    <row r="5" ht="22.5" customHeight="1" s="151">
      <c r="A5" s="15">
        <f>IF(B5&lt;&gt;"", COUNTA($B$2:B5), "")</f>
        <v/>
      </c>
      <c r="B5" s="76" t="inlineStr">
        <is>
          <t>Манометр технический</t>
        </is>
      </c>
      <c r="C5" s="17" t="inlineStr">
        <is>
          <t>МП3-УУХЛ1</t>
        </is>
      </c>
      <c r="D5" s="134" t="inlineStr">
        <is>
          <t xml:space="preserve">7000150           </t>
        </is>
      </c>
      <c r="E5" s="14" t="n">
        <v>2016</v>
      </c>
      <c r="F5" s="32" t="inlineStr">
        <is>
          <t>0..160 кгс/см²</t>
        </is>
      </c>
      <c r="G5" s="17" t="inlineStr">
        <is>
          <t>1</t>
        </is>
      </c>
      <c r="H5" s="175" t="inlineStr">
        <is>
          <t>P г на входе в ПУ4</t>
        </is>
      </c>
      <c r="I5" s="15" t="inlineStr">
        <is>
          <t>Промплощадка</t>
        </is>
      </c>
      <c r="J5" s="15" t="inlineStr">
        <is>
          <t>АСУ,А и ТМ (КЦ № 7)</t>
        </is>
      </c>
      <c r="K5" s="15" t="n"/>
      <c r="L5" s="14" t="n">
        <v>12</v>
      </c>
      <c r="M5" s="3" t="inlineStr">
        <is>
          <t>26ДЯУ</t>
        </is>
      </c>
      <c r="N5" s="70" t="inlineStr">
        <is>
          <t>П</t>
        </is>
      </c>
      <c r="O5" s="10" t="n"/>
    </row>
    <row r="6" ht="22.5" customHeight="1" s="151">
      <c r="A6" s="15">
        <f>IF(B6&lt;&gt;"", COUNTA($B$2:B6), "")</f>
        <v/>
      </c>
      <c r="B6" s="76" t="inlineStr">
        <is>
          <t>Манометр технический</t>
        </is>
      </c>
      <c r="C6" s="17" t="inlineStr">
        <is>
          <t>МП3-УУХЛ1</t>
        </is>
      </c>
      <c r="D6" s="17" t="inlineStr">
        <is>
          <t xml:space="preserve">7000152          </t>
        </is>
      </c>
      <c r="E6" s="14" t="n">
        <v>2016</v>
      </c>
      <c r="F6" s="32" t="inlineStr">
        <is>
          <t>0..160 кгс/см²</t>
        </is>
      </c>
      <c r="G6" s="17" t="inlineStr">
        <is>
          <t>1</t>
        </is>
      </c>
      <c r="H6" s="175" t="inlineStr">
        <is>
          <t>P г на входе в ПУ5</t>
        </is>
      </c>
      <c r="I6" s="15" t="inlineStr">
        <is>
          <t>Промплощадка</t>
        </is>
      </c>
      <c r="J6" s="15" t="inlineStr">
        <is>
          <t>АСУ,А и ТМ (КЦ № 7)</t>
        </is>
      </c>
      <c r="K6" s="15" t="n"/>
      <c r="L6" s="14" t="n">
        <v>12</v>
      </c>
      <c r="M6" s="3" t="inlineStr">
        <is>
          <t>26ДЯУ</t>
        </is>
      </c>
      <c r="N6" s="70" t="inlineStr">
        <is>
          <t>П</t>
        </is>
      </c>
      <c r="O6" s="10" t="n"/>
    </row>
    <row r="7" ht="22.5" customHeight="1" s="151">
      <c r="A7" s="15">
        <f>IF(B7&lt;&gt;"", COUNTA($B$2:B7), "")</f>
        <v/>
      </c>
      <c r="B7" s="76" t="inlineStr">
        <is>
          <t>Манометр технический</t>
        </is>
      </c>
      <c r="C7" s="17" t="inlineStr">
        <is>
          <t>МП3-УУХЛ1</t>
        </is>
      </c>
      <c r="D7" s="17" t="inlineStr">
        <is>
          <t xml:space="preserve">7000156                          </t>
        </is>
      </c>
      <c r="E7" s="14" t="n">
        <v>2016</v>
      </c>
      <c r="F7" s="32" t="inlineStr">
        <is>
          <t>0..160 кгс/см²</t>
        </is>
      </c>
      <c r="G7" s="17" t="inlineStr">
        <is>
          <t>1</t>
        </is>
      </c>
      <c r="H7" s="175" t="inlineStr">
        <is>
          <t>P г на входе в ПУ6</t>
        </is>
      </c>
      <c r="I7" s="15" t="inlineStr">
        <is>
          <t>Промплощадка</t>
        </is>
      </c>
      <c r="J7" s="15" t="inlineStr">
        <is>
          <t>АСУ,А и ТМ (КЦ № 7)</t>
        </is>
      </c>
      <c r="K7" s="15" t="n"/>
      <c r="L7" s="14" t="n">
        <v>12</v>
      </c>
      <c r="M7" s="3" t="inlineStr">
        <is>
          <t>26ДЯУ</t>
        </is>
      </c>
      <c r="N7" s="70" t="inlineStr">
        <is>
          <t>П</t>
        </is>
      </c>
      <c r="O7" s="10" t="n"/>
    </row>
    <row r="8" ht="22.5" customHeight="1" s="151">
      <c r="A8" s="15">
        <f>IF(B8&lt;&gt;"", COUNTA($B$2:B8), "")</f>
        <v/>
      </c>
      <c r="B8" s="76" t="inlineStr">
        <is>
          <t>Манометр технический</t>
        </is>
      </c>
      <c r="C8" s="17" t="inlineStr">
        <is>
          <t>ТМ5</t>
        </is>
      </c>
      <c r="D8" s="14" t="n">
        <v>7000119</v>
      </c>
      <c r="E8" s="14" t="n">
        <v>2019</v>
      </c>
      <c r="F8" s="32" t="inlineStr">
        <is>
          <t>0..160 кгс/см²</t>
        </is>
      </c>
      <c r="G8" s="17" t="inlineStr">
        <is>
          <t>1,5</t>
        </is>
      </c>
      <c r="H8" s="175" t="inlineStr">
        <is>
          <t>P г на выходе из ПУ1</t>
        </is>
      </c>
      <c r="I8" s="15" t="inlineStr">
        <is>
          <t>Промплощадка</t>
        </is>
      </c>
      <c r="J8" s="15" t="inlineStr">
        <is>
          <t>АСУ,А и ТМ (КЦ № 7)</t>
        </is>
      </c>
      <c r="K8" s="15" t="n"/>
      <c r="L8" s="14" t="n">
        <v>12</v>
      </c>
      <c r="M8" s="3" t="inlineStr">
        <is>
          <t>26ДЯУ</t>
        </is>
      </c>
      <c r="N8" s="70" t="inlineStr">
        <is>
          <t>П</t>
        </is>
      </c>
      <c r="O8" s="10" t="n"/>
    </row>
    <row r="9" ht="22.5" customHeight="1" s="151">
      <c r="A9" s="15">
        <f>IF(B9&lt;&gt;"", COUNTA($B$2:B9), "")</f>
        <v/>
      </c>
      <c r="B9" s="76" t="inlineStr">
        <is>
          <t>Манометр технический</t>
        </is>
      </c>
      <c r="C9" s="17" t="inlineStr">
        <is>
          <t>МП3-УУХЛ1</t>
        </is>
      </c>
      <c r="D9" s="14" t="n">
        <v>20245</v>
      </c>
      <c r="E9" s="14" t="n"/>
      <c r="F9" s="32" t="inlineStr">
        <is>
          <t>0..160 кгс/см²</t>
        </is>
      </c>
      <c r="G9" s="17" t="inlineStr">
        <is>
          <t>1</t>
        </is>
      </c>
      <c r="H9" s="175" t="inlineStr">
        <is>
          <t>P г на выходе из ПУ2</t>
        </is>
      </c>
      <c r="I9" s="15" t="inlineStr">
        <is>
          <t>Промплощадка</t>
        </is>
      </c>
      <c r="J9" s="15" t="inlineStr">
        <is>
          <t>АСУ,А и ТМ (КЦ № 7)</t>
        </is>
      </c>
      <c r="K9" s="15" t="n"/>
      <c r="L9" s="14" t="n">
        <v>12</v>
      </c>
      <c r="M9" s="3" t="inlineStr">
        <is>
          <t>26ДЯУ</t>
        </is>
      </c>
      <c r="N9" s="70" t="inlineStr">
        <is>
          <t>П</t>
        </is>
      </c>
      <c r="O9" s="10" t="n"/>
    </row>
    <row r="10" ht="22.5" customHeight="1" s="151">
      <c r="A10" s="15">
        <f>IF(B10&lt;&gt;"", COUNTA($B$2:B10), "")</f>
        <v/>
      </c>
      <c r="B10" s="76" t="inlineStr">
        <is>
          <t>Манометр технический</t>
        </is>
      </c>
      <c r="C10" s="17" t="inlineStr">
        <is>
          <t>МП3-УУХЛ1</t>
        </is>
      </c>
      <c r="D10" s="14" t="n">
        <v>7000157</v>
      </c>
      <c r="E10" s="14" t="n"/>
      <c r="F10" s="32" t="inlineStr">
        <is>
          <t>0..160 кгс/см²</t>
        </is>
      </c>
      <c r="G10" s="17" t="inlineStr">
        <is>
          <t>1</t>
        </is>
      </c>
      <c r="H10" s="175" t="inlineStr">
        <is>
          <t>P г на выходе из ПУ3</t>
        </is>
      </c>
      <c r="I10" s="15" t="inlineStr">
        <is>
          <t>Промплощадка</t>
        </is>
      </c>
      <c r="J10" s="15" t="inlineStr">
        <is>
          <t>АСУ,А и ТМ (КЦ № 7)</t>
        </is>
      </c>
      <c r="K10" s="15" t="n"/>
      <c r="L10" s="14" t="n">
        <v>12</v>
      </c>
      <c r="M10" s="3" t="inlineStr">
        <is>
          <t>26ДЯУ</t>
        </is>
      </c>
      <c r="N10" s="70" t="inlineStr">
        <is>
          <t>П</t>
        </is>
      </c>
      <c r="O10" s="10" t="n"/>
    </row>
    <row r="11" ht="22.5" customHeight="1" s="151">
      <c r="A11" s="15">
        <f>IF(B11&lt;&gt;"", COUNTA($B$2:B11), "")</f>
        <v/>
      </c>
      <c r="B11" s="76" t="inlineStr">
        <is>
          <t>Манометр технический</t>
        </is>
      </c>
      <c r="C11" s="17" t="inlineStr">
        <is>
          <t>МП3-УУХЛ1</t>
        </is>
      </c>
      <c r="D11" s="14" t="n">
        <v>20251</v>
      </c>
      <c r="E11" s="14" t="n">
        <v>2017</v>
      </c>
      <c r="F11" s="32" t="inlineStr">
        <is>
          <t>0..160 кгс/см²</t>
        </is>
      </c>
      <c r="G11" s="17" t="inlineStr">
        <is>
          <t>1</t>
        </is>
      </c>
      <c r="H11" s="175" t="inlineStr">
        <is>
          <t>P г на выходе из ПУ4</t>
        </is>
      </c>
      <c r="I11" s="15" t="inlineStr">
        <is>
          <t>Промплощадка</t>
        </is>
      </c>
      <c r="J11" s="15" t="inlineStr">
        <is>
          <t>АСУ,А и ТМ (КЦ № 7)</t>
        </is>
      </c>
      <c r="K11" s="15" t="n"/>
      <c r="L11" s="14" t="n">
        <v>12</v>
      </c>
      <c r="M11" s="3" t="inlineStr">
        <is>
          <t>26ДЯУ</t>
        </is>
      </c>
      <c r="N11" s="70" t="inlineStr">
        <is>
          <t>П</t>
        </is>
      </c>
      <c r="O11" s="10" t="n"/>
    </row>
    <row r="12" ht="22.5" customHeight="1" s="151">
      <c r="A12" s="15">
        <f>IF(B12&lt;&gt;"", COUNTA($B$2:B12), "")</f>
        <v/>
      </c>
      <c r="B12" s="76" t="inlineStr">
        <is>
          <t>Манометр технический</t>
        </is>
      </c>
      <c r="C12" s="17" t="inlineStr">
        <is>
          <t>МП3-УУХЛ1</t>
        </is>
      </c>
      <c r="D12" s="14" t="n">
        <v>7000147</v>
      </c>
      <c r="E12" s="14" t="n">
        <v>2016</v>
      </c>
      <c r="F12" s="32" t="inlineStr">
        <is>
          <t>0..160 кгс/см²</t>
        </is>
      </c>
      <c r="G12" s="17" t="inlineStr">
        <is>
          <t>1</t>
        </is>
      </c>
      <c r="H12" s="175" t="inlineStr">
        <is>
          <t>P г на выходе из ПУ5</t>
        </is>
      </c>
      <c r="I12" s="15" t="inlineStr">
        <is>
          <t>Промплощадка</t>
        </is>
      </c>
      <c r="J12" s="15" t="inlineStr">
        <is>
          <t>АСУ,А и ТМ (КЦ № 7)</t>
        </is>
      </c>
      <c r="K12" s="15" t="n"/>
      <c r="L12" s="14" t="n">
        <v>12</v>
      </c>
      <c r="M12" s="3" t="inlineStr">
        <is>
          <t>26ДЯУ</t>
        </is>
      </c>
      <c r="N12" s="70" t="inlineStr">
        <is>
          <t>П</t>
        </is>
      </c>
      <c r="O12" s="10" t="n"/>
    </row>
    <row r="13" ht="22.5" customFormat="1" customHeight="1" s="261">
      <c r="A13" s="252">
        <f>IF(B13&lt;&gt;"", COUNTA($B$2:B13), "")</f>
        <v/>
      </c>
      <c r="B13" s="253" t="inlineStr">
        <is>
          <t>Манометр технический</t>
        </is>
      </c>
      <c r="C13" s="254" t="inlineStr">
        <is>
          <t>МП3-УУХЛ1</t>
        </is>
      </c>
      <c r="D13" s="258" t="n">
        <v>700010</v>
      </c>
      <c r="E13" s="258" t="n"/>
      <c r="F13" s="256" t="inlineStr">
        <is>
          <t>0..160 кгс/см²</t>
        </is>
      </c>
      <c r="G13" s="254" t="inlineStr">
        <is>
          <t>1</t>
        </is>
      </c>
      <c r="H13" s="257" t="inlineStr">
        <is>
          <t>P г на выходе из ПУ6</t>
        </is>
      </c>
      <c r="I13" s="252" t="inlineStr">
        <is>
          <t>Промплощадка</t>
        </is>
      </c>
      <c r="J13" s="252" t="inlineStr">
        <is>
          <t>АСУ,А и ТМ (КЦ № 7)</t>
        </is>
      </c>
      <c r="K13" s="252" t="n"/>
      <c r="L13" s="258" t="n">
        <v>12</v>
      </c>
      <c r="M13" s="259" t="inlineStr">
        <is>
          <t>26ДЯУ</t>
        </is>
      </c>
      <c r="N13" s="260" t="inlineStr">
        <is>
          <t>П</t>
        </is>
      </c>
      <c r="O13" s="269" t="n">
        <v>212033569</v>
      </c>
    </row>
    <row r="14" ht="22.5" customHeight="1" s="151">
      <c r="A14" s="15">
        <f>IF(B14&lt;&gt;"", COUNTA($B$2:B14), "")</f>
        <v/>
      </c>
      <c r="B14" s="76" t="inlineStr">
        <is>
          <t>Манометр технический</t>
        </is>
      </c>
      <c r="C14" s="15" t="inlineStr">
        <is>
          <t>МП4-УУ2</t>
        </is>
      </c>
      <c r="D14" s="15" t="n">
        <v>7000115</v>
      </c>
      <c r="E14" s="14" t="n"/>
      <c r="F14" s="32" t="inlineStr">
        <is>
          <t>0..160 кгс/см²</t>
        </is>
      </c>
      <c r="G14" s="17" t="inlineStr">
        <is>
          <t>1</t>
        </is>
      </c>
      <c r="H14" s="175" t="inlineStr">
        <is>
          <t>P г до блока ПУ</t>
        </is>
      </c>
      <c r="I14" s="15" t="inlineStr">
        <is>
          <t>Промплощадка</t>
        </is>
      </c>
      <c r="J14" s="15" t="inlineStr">
        <is>
          <t>АСУ,А и ТМ (КЦ № 7)</t>
        </is>
      </c>
      <c r="K14" s="15" t="n"/>
      <c r="L14" s="14" t="n">
        <v>12</v>
      </c>
      <c r="M14" s="3" t="inlineStr">
        <is>
          <t>2К26</t>
        </is>
      </c>
      <c r="N14" s="70" t="inlineStr">
        <is>
          <t>К</t>
        </is>
      </c>
      <c r="O14" s="10" t="n"/>
    </row>
    <row r="15" ht="22.5" customHeight="1" s="151">
      <c r="A15" s="15">
        <f>IF(B15&lt;&gt;"", COUNTA($B$2:B15), "")</f>
        <v/>
      </c>
      <c r="B15" s="76" t="inlineStr">
        <is>
          <t>Манометр технический</t>
        </is>
      </c>
      <c r="C15" s="15" t="inlineStr">
        <is>
          <t>МП4-УУ2</t>
        </is>
      </c>
      <c r="D15" s="15" t="n">
        <v>7000146</v>
      </c>
      <c r="E15" s="14" t="n"/>
      <c r="F15" s="32" t="inlineStr">
        <is>
          <t>0..160 кгс/см²</t>
        </is>
      </c>
      <c r="G15" s="17" t="inlineStr">
        <is>
          <t>1</t>
        </is>
      </c>
      <c r="H15" s="175" t="inlineStr">
        <is>
          <t>P г после блока ПУ</t>
        </is>
      </c>
      <c r="I15" s="15" t="inlineStr">
        <is>
          <t>Промплощадка</t>
        </is>
      </c>
      <c r="J15" s="15" t="inlineStr">
        <is>
          <t>АСУ,А и ТМ (КЦ № 7)</t>
        </is>
      </c>
      <c r="K15" s="15" t="n"/>
      <c r="L15" s="14" t="n">
        <v>12</v>
      </c>
      <c r="M15" s="3" t="inlineStr">
        <is>
          <t>2К26</t>
        </is>
      </c>
      <c r="N15" s="70" t="inlineStr">
        <is>
          <t>К</t>
        </is>
      </c>
      <c r="O15" s="10" t="n"/>
    </row>
    <row r="16" ht="22.5" customHeight="1" s="151">
      <c r="A16" s="15">
        <f>IF(B16&lt;&gt;"", COUNTA($B$2:B16), "")</f>
        <v/>
      </c>
      <c r="B16" s="76" t="inlineStr">
        <is>
          <t>Манометр технический</t>
        </is>
      </c>
      <c r="C16" s="17" t="inlineStr">
        <is>
          <t>ТМ5</t>
        </is>
      </c>
      <c r="D16" s="15" t="n">
        <v>700032</v>
      </c>
      <c r="E16" s="15" t="n"/>
      <c r="F16" s="70" t="inlineStr">
        <is>
          <t>0..16 МПа</t>
        </is>
      </c>
      <c r="G16" s="71" t="n">
        <v>1.5</v>
      </c>
      <c r="H16" s="175" t="inlineStr">
        <is>
          <t>P имп. г крана 36к</t>
        </is>
      </c>
      <c r="I16" s="15" t="inlineStr">
        <is>
          <t>Промплощадка</t>
        </is>
      </c>
      <c r="J16" s="15" t="inlineStr">
        <is>
          <t>АСУ,А и ТМ (КЦ № 7)</t>
        </is>
      </c>
      <c r="K16" s="15" t="n"/>
      <c r="L16" s="14" t="n">
        <v>12</v>
      </c>
      <c r="M16" s="3" t="inlineStr">
        <is>
          <t>2К26</t>
        </is>
      </c>
      <c r="N16" s="70" t="inlineStr">
        <is>
          <t>К</t>
        </is>
      </c>
      <c r="O16" s="10" t="n"/>
    </row>
    <row r="17" ht="22.5" customHeight="1" s="151">
      <c r="A17" s="15">
        <f>IF(B17&lt;&gt;"", COUNTA($B$2:B17), "")</f>
        <v/>
      </c>
      <c r="B17" s="280" t="inlineStr">
        <is>
          <t>Манометр технический</t>
        </is>
      </c>
      <c r="C17" s="14" t="inlineStr">
        <is>
          <t>МП4-УУ2</t>
        </is>
      </c>
      <c r="D17" s="17" t="inlineStr">
        <is>
          <t>7000121</t>
        </is>
      </c>
      <c r="E17" s="70" t="n"/>
      <c r="F17" s="70" t="inlineStr">
        <is>
          <t>0..16 МПа</t>
        </is>
      </c>
      <c r="G17" s="71" t="n">
        <v>1.5</v>
      </c>
      <c r="H17" s="175" t="inlineStr">
        <is>
          <t>P г до крана 87</t>
        </is>
      </c>
      <c r="I17" s="15" t="inlineStr">
        <is>
          <t>Промплощадка</t>
        </is>
      </c>
      <c r="J17" s="15" t="inlineStr">
        <is>
          <t>АСУ,А и ТМ (КЦ № 7)</t>
        </is>
      </c>
      <c r="K17" s="15" t="n"/>
      <c r="L17" s="15" t="n">
        <v>12</v>
      </c>
      <c r="M17" s="3" t="inlineStr">
        <is>
          <t>2К26</t>
        </is>
      </c>
      <c r="N17" s="70" t="inlineStr">
        <is>
          <t>К</t>
        </is>
      </c>
      <c r="O17" s="10" t="n"/>
    </row>
    <row r="18" ht="22.5" customHeight="1" s="151">
      <c r="A18" s="15">
        <f>IF(B18&lt;&gt;"", COUNTA($B$2:B18), "")</f>
        <v/>
      </c>
      <c r="B18" s="280" t="inlineStr">
        <is>
          <t>Манометр технический</t>
        </is>
      </c>
      <c r="C18" s="14" t="inlineStr">
        <is>
          <t>МП4-УУ2</t>
        </is>
      </c>
      <c r="D18" s="17" t="inlineStr">
        <is>
          <t>7000302</t>
        </is>
      </c>
      <c r="E18" s="70" t="n"/>
      <c r="F18" s="70" t="inlineStr">
        <is>
          <t>0..16 МПа</t>
        </is>
      </c>
      <c r="G18" s="71" t="n">
        <v>1</v>
      </c>
      <c r="H18" s="175" t="inlineStr">
        <is>
          <t>P г после крана 87</t>
        </is>
      </c>
      <c r="I18" s="15" t="inlineStr">
        <is>
          <t>Промплощадка</t>
        </is>
      </c>
      <c r="J18" s="15" t="inlineStr">
        <is>
          <t>АСУ,А и ТМ (КЦ № 7)</t>
        </is>
      </c>
      <c r="K18" s="15" t="n"/>
      <c r="L18" s="15" t="n">
        <v>12</v>
      </c>
      <c r="M18" s="3" t="inlineStr">
        <is>
          <t>2К26</t>
        </is>
      </c>
      <c r="N18" s="70" t="inlineStr">
        <is>
          <t>К</t>
        </is>
      </c>
      <c r="O18" s="10" t="n"/>
    </row>
    <row r="19" ht="22.5" customHeight="1" s="151">
      <c r="A19" s="15">
        <f>IF(B19&lt;&gt;"", COUNTA($B$2:B19), "")</f>
        <v/>
      </c>
      <c r="B19" s="280" t="inlineStr">
        <is>
          <t>Манометр технический</t>
        </is>
      </c>
      <c r="C19" s="14" t="inlineStr">
        <is>
          <t>МП4-УУ2</t>
        </is>
      </c>
      <c r="D19" s="17" t="inlineStr">
        <is>
          <t>700293</t>
        </is>
      </c>
      <c r="E19" s="70" t="n"/>
      <c r="F19" s="70" t="inlineStr">
        <is>
          <t>0..16 МПа</t>
        </is>
      </c>
      <c r="G19" s="71" t="n">
        <v>1</v>
      </c>
      <c r="H19" s="175" t="inlineStr">
        <is>
          <t>P г после крана 77</t>
        </is>
      </c>
      <c r="I19" s="15" t="inlineStr">
        <is>
          <t>Промплощадка</t>
        </is>
      </c>
      <c r="J19" s="15" t="inlineStr">
        <is>
          <t>АСУ,А и ТМ (КЦ № 7)</t>
        </is>
      </c>
      <c r="K19" s="15" t="n"/>
      <c r="L19" s="15" t="n">
        <v>12</v>
      </c>
      <c r="M19" s="3" t="inlineStr">
        <is>
          <t>2К26</t>
        </is>
      </c>
      <c r="N19" s="70" t="inlineStr">
        <is>
          <t>К</t>
        </is>
      </c>
      <c r="O19" s="10" t="n"/>
    </row>
    <row r="20" ht="22.5" customHeight="1" s="151">
      <c r="A20" s="15">
        <f>IF(B20&lt;&gt;"", COUNTA($B$2:B20), "")</f>
        <v/>
      </c>
      <c r="B20" s="280" t="inlineStr">
        <is>
          <t>Манометр технический</t>
        </is>
      </c>
      <c r="C20" s="14" t="inlineStr">
        <is>
          <t>МП4-УУ2</t>
        </is>
      </c>
      <c r="D20" s="17" t="inlineStr">
        <is>
          <t>7000124</t>
        </is>
      </c>
      <c r="E20" s="70" t="n"/>
      <c r="F20" s="70" t="inlineStr">
        <is>
          <t>0..16 МПа</t>
        </is>
      </c>
      <c r="G20" s="71" t="n">
        <v>1.5</v>
      </c>
      <c r="H20" s="175" t="inlineStr">
        <is>
          <t>P г до крана 77</t>
        </is>
      </c>
      <c r="I20" s="15" t="inlineStr">
        <is>
          <t>Промплощадка</t>
        </is>
      </c>
      <c r="J20" s="15" t="inlineStr">
        <is>
          <t>АСУ,А и ТМ (КЦ № 7)</t>
        </is>
      </c>
      <c r="K20" s="15" t="n"/>
      <c r="L20" s="15" t="n">
        <v>12</v>
      </c>
      <c r="M20" s="3" t="inlineStr">
        <is>
          <t>2К26</t>
        </is>
      </c>
      <c r="N20" s="70" t="inlineStr">
        <is>
          <t>К</t>
        </is>
      </c>
      <c r="O20" s="10" t="n"/>
    </row>
    <row r="21" ht="22.5" customHeight="1" s="151">
      <c r="A21" s="15">
        <f>IF(B21&lt;&gt;"", COUNTA($B$2:B21), "")</f>
        <v/>
      </c>
      <c r="B21" s="280" t="inlineStr">
        <is>
          <t>Манометр технический</t>
        </is>
      </c>
      <c r="C21" s="14" t="inlineStr">
        <is>
          <t>ТМ5</t>
        </is>
      </c>
      <c r="D21" s="17" t="inlineStr">
        <is>
          <t>700033</t>
        </is>
      </c>
      <c r="E21" s="70" t="n"/>
      <c r="F21" s="70" t="inlineStr">
        <is>
          <t>0..16 МПа</t>
        </is>
      </c>
      <c r="G21" s="71" t="n">
        <v>1.5</v>
      </c>
      <c r="H21" s="175" t="inlineStr">
        <is>
          <t>P технологичского газа в коллекторах</t>
        </is>
      </c>
      <c r="I21" s="15" t="inlineStr">
        <is>
          <t>Промплощадка</t>
        </is>
      </c>
      <c r="J21" s="15" t="inlineStr">
        <is>
          <t>АСУ,А и ТМ (КЦ № 7)</t>
        </is>
      </c>
      <c r="K21" s="15" t="n"/>
      <c r="L21" s="15" t="n">
        <v>12</v>
      </c>
      <c r="M21" s="3" t="inlineStr">
        <is>
          <t>2К26</t>
        </is>
      </c>
      <c r="N21" s="70" t="inlineStr">
        <is>
          <t>К</t>
        </is>
      </c>
      <c r="O21" s="10" t="n"/>
    </row>
    <row r="22" ht="22.5" customFormat="1" customHeight="1" s="261">
      <c r="A22" s="252">
        <f>IF(B22&lt;&gt;"", COUNTA($B$2:B22), "")</f>
        <v/>
      </c>
      <c r="B22" s="262" t="inlineStr">
        <is>
          <t>Манометр технический</t>
        </is>
      </c>
      <c r="C22" s="258" t="inlineStr">
        <is>
          <t>МП4-УУ2</t>
        </is>
      </c>
      <c r="D22" s="263" t="inlineStr">
        <is>
          <t>15250</t>
        </is>
      </c>
      <c r="E22" s="260" t="n"/>
      <c r="F22" s="256" t="inlineStr">
        <is>
          <t>0..10 кгс/см²</t>
        </is>
      </c>
      <c r="G22" s="264" t="n">
        <v>1</v>
      </c>
      <c r="H22" s="257" t="inlineStr">
        <is>
          <t>P в блоке ёмкости Е-2</t>
        </is>
      </c>
      <c r="I22" s="252" t="inlineStr">
        <is>
          <t>Промплощадка</t>
        </is>
      </c>
      <c r="J22" s="252" t="inlineStr">
        <is>
          <t>АСУ,А и ТМ (КЦ № 7)</t>
        </is>
      </c>
      <c r="K22" s="252" t="n"/>
      <c r="L22" s="252" t="n">
        <v>12</v>
      </c>
      <c r="M22" s="259" t="inlineStr">
        <is>
          <t>26ДЯУ</t>
        </is>
      </c>
      <c r="N22" s="260" t="inlineStr">
        <is>
          <t>П</t>
        </is>
      </c>
      <c r="O22" s="269" t="n">
        <v>15644</v>
      </c>
    </row>
    <row r="23" ht="22.5" customHeight="1" s="151">
      <c r="A23" s="15">
        <f>IF(B23&lt;&gt;"", COUNTA($B$2:B23), "")</f>
        <v/>
      </c>
      <c r="B23" s="280" t="inlineStr">
        <is>
          <t>Манометр технический</t>
        </is>
      </c>
      <c r="C23" s="14" t="inlineStr">
        <is>
          <t>ТМ5</t>
        </is>
      </c>
      <c r="D23" s="29" t="inlineStr">
        <is>
          <t>700031</t>
        </is>
      </c>
      <c r="E23" s="70" t="n"/>
      <c r="F23" s="70" t="inlineStr">
        <is>
          <t>0..16 МПа</t>
        </is>
      </c>
      <c r="G23" s="71" t="n">
        <v>1.5</v>
      </c>
      <c r="H23" s="175" t="inlineStr">
        <is>
          <t>P после клапана 101</t>
        </is>
      </c>
      <c r="I23" s="15" t="inlineStr">
        <is>
          <t>Промплощадка</t>
        </is>
      </c>
      <c r="J23" s="15" t="inlineStr">
        <is>
          <t>АСУ,А и ТМ (КЦ № 7)</t>
        </is>
      </c>
      <c r="K23" s="15" t="n"/>
      <c r="L23" s="15" t="n">
        <v>12</v>
      </c>
      <c r="M23" s="3" t="inlineStr">
        <is>
          <t>2К26</t>
        </is>
      </c>
      <c r="N23" s="70" t="inlineStr">
        <is>
          <t>К</t>
        </is>
      </c>
      <c r="O23" s="10" t="n"/>
    </row>
    <row r="24" ht="22.5" customHeight="1" s="151">
      <c r="A24" s="15">
        <f>IF(B24&lt;&gt;"", COUNTA($B$2:B24), "")</f>
        <v/>
      </c>
      <c r="B24" s="76" t="inlineStr">
        <is>
          <t>Термометр биметаллический</t>
        </is>
      </c>
      <c r="C24" s="14" t="inlineStr">
        <is>
          <t>БТ5</t>
        </is>
      </c>
      <c r="D24" s="29" t="inlineStr">
        <is>
          <t>7000206</t>
        </is>
      </c>
      <c r="E24" s="70" t="n"/>
      <c r="F24" s="17" t="inlineStr">
        <is>
          <t>-30..+50 °С</t>
        </is>
      </c>
      <c r="G24" s="71" t="n">
        <v>1.5</v>
      </c>
      <c r="H24" s="175" t="inlineStr">
        <is>
          <t>T в блоке ёмкости Е-2</t>
        </is>
      </c>
      <c r="I24" s="15" t="inlineStr">
        <is>
          <t>Промплощадка</t>
        </is>
      </c>
      <c r="J24" s="15" t="inlineStr">
        <is>
          <t>АСУ,А и ТМ (КЦ № 7)</t>
        </is>
      </c>
      <c r="K24" s="15" t="n"/>
      <c r="L24" s="15" t="n">
        <v>24</v>
      </c>
      <c r="M24" s="22" t="inlineStr">
        <is>
          <t>3к26</t>
        </is>
      </c>
      <c r="N24" s="70" t="inlineStr">
        <is>
          <t>К</t>
        </is>
      </c>
      <c r="O24" s="10" t="n"/>
    </row>
    <row r="25" ht="22.5" customHeight="1" s="151">
      <c r="A25" s="15">
        <f>IF(B25&lt;&gt;"", COUNTA($B$2:B25), "")</f>
        <v/>
      </c>
      <c r="B25" s="76" t="inlineStr">
        <is>
          <t>Термометр биметаллический</t>
        </is>
      </c>
      <c r="C25" s="14" t="inlineStr">
        <is>
          <t>ТБ-2</t>
        </is>
      </c>
      <c r="D25" s="29" t="inlineStr">
        <is>
          <t>1938</t>
        </is>
      </c>
      <c r="E25" s="70" t="n"/>
      <c r="F25" s="17" t="inlineStr">
        <is>
          <t>-50..+100 °С</t>
        </is>
      </c>
      <c r="G25" s="71" t="n">
        <v>1</v>
      </c>
      <c r="H25" s="175" t="inlineStr">
        <is>
          <t>T в блоке ПУ</t>
        </is>
      </c>
      <c r="I25" s="15" t="inlineStr">
        <is>
          <t>Промплощадка</t>
        </is>
      </c>
      <c r="J25" s="15" t="inlineStr">
        <is>
          <t>АСУ,А и ТМ (КЦ № 7)</t>
        </is>
      </c>
      <c r="K25" s="15" t="n"/>
      <c r="L25" s="15" t="n">
        <v>24</v>
      </c>
      <c r="M25" s="3" t="inlineStr">
        <is>
          <t>2к26</t>
        </is>
      </c>
      <c r="N25" s="70" t="inlineStr">
        <is>
          <t>К</t>
        </is>
      </c>
      <c r="O25" s="10" t="n"/>
    </row>
    <row r="26" ht="22.5" customHeight="1" s="151">
      <c r="A26" s="15">
        <f>IF(B26&lt;&gt;"", COUNTA($B$2:B26), "")</f>
        <v/>
      </c>
      <c r="B26" s="76" t="inlineStr">
        <is>
          <t>Термометр биметаллический</t>
        </is>
      </c>
      <c r="C26" s="14" t="inlineStr">
        <is>
          <t>ТБ-2</t>
        </is>
      </c>
      <c r="D26" s="29" t="inlineStr">
        <is>
          <t>1954</t>
        </is>
      </c>
      <c r="E26" s="70" t="n"/>
      <c r="F26" s="17" t="inlineStr">
        <is>
          <t>-50..+100 °С</t>
        </is>
      </c>
      <c r="G26" s="71" t="n">
        <v>1</v>
      </c>
      <c r="H26" s="175" t="inlineStr">
        <is>
          <t>T в блоке ПУ</t>
        </is>
      </c>
      <c r="I26" s="15" t="inlineStr">
        <is>
          <t>Промплощадка</t>
        </is>
      </c>
      <c r="J26" s="15" t="inlineStr">
        <is>
          <t>АСУ,А и ТМ (КЦ № 7)</t>
        </is>
      </c>
      <c r="K26" s="15" t="n"/>
      <c r="L26" s="15" t="n">
        <v>24</v>
      </c>
      <c r="M26" s="3" t="inlineStr">
        <is>
          <t>2к26</t>
        </is>
      </c>
      <c r="N26" s="70" t="inlineStr">
        <is>
          <t>К</t>
        </is>
      </c>
      <c r="O26" s="10" t="n"/>
    </row>
    <row r="27" ht="22.5" customHeight="1" s="151">
      <c r="A27" s="15">
        <f>IF(B27&lt;&gt;"", COUNTA($B$2:B27), "")</f>
        <v/>
      </c>
      <c r="B27" s="76" t="inlineStr">
        <is>
          <t>Термометр биметаллический</t>
        </is>
      </c>
      <c r="C27" s="14" t="inlineStr">
        <is>
          <t>ТБ-2</t>
        </is>
      </c>
      <c r="D27" s="29" t="inlineStr">
        <is>
          <t>1931</t>
        </is>
      </c>
      <c r="E27" s="70" t="n"/>
      <c r="F27" s="17" t="inlineStr">
        <is>
          <t>-50..+100 °С</t>
        </is>
      </c>
      <c r="G27" s="71" t="n">
        <v>1</v>
      </c>
      <c r="H27" s="175" t="inlineStr">
        <is>
          <t>T в блоке ПУ</t>
        </is>
      </c>
      <c r="I27" s="15" t="inlineStr">
        <is>
          <t>Промплощадка</t>
        </is>
      </c>
      <c r="J27" s="15" t="inlineStr">
        <is>
          <t>АСУ,А и ТМ (КЦ № 7)</t>
        </is>
      </c>
      <c r="K27" s="15" t="n"/>
      <c r="L27" s="15" t="n">
        <v>24</v>
      </c>
      <c r="M27" s="3" t="inlineStr">
        <is>
          <t>2к26</t>
        </is>
      </c>
      <c r="N27" s="70" t="inlineStr">
        <is>
          <t>К</t>
        </is>
      </c>
      <c r="O27" s="10" t="n"/>
    </row>
    <row r="28" ht="22.5" customHeight="1" s="151">
      <c r="A28" s="15">
        <f>IF(B28&lt;&gt;"", COUNTA($B$2:B28), "")</f>
        <v/>
      </c>
      <c r="B28" s="76" t="inlineStr">
        <is>
          <t>Термометр биметаллический</t>
        </is>
      </c>
      <c r="C28" s="14" t="inlineStr">
        <is>
          <t>ТБ-2</t>
        </is>
      </c>
      <c r="D28" s="29" t="inlineStr">
        <is>
          <t>1947</t>
        </is>
      </c>
      <c r="E28" s="70" t="n"/>
      <c r="F28" s="17" t="inlineStr">
        <is>
          <t>-50..+100 °С</t>
        </is>
      </c>
      <c r="G28" s="71" t="n">
        <v>1</v>
      </c>
      <c r="H28" s="175" t="inlineStr">
        <is>
          <t>T в блоке ПУ</t>
        </is>
      </c>
      <c r="I28" s="15" t="inlineStr">
        <is>
          <t>Промплощадка</t>
        </is>
      </c>
      <c r="J28" s="15" t="inlineStr">
        <is>
          <t>АСУ,А и ТМ (КЦ № 7)</t>
        </is>
      </c>
      <c r="K28" s="15" t="n"/>
      <c r="L28" s="15" t="n">
        <v>24</v>
      </c>
      <c r="M28" s="3" t="inlineStr">
        <is>
          <t>2к26</t>
        </is>
      </c>
      <c r="N28" s="70" t="inlineStr">
        <is>
          <t>К</t>
        </is>
      </c>
      <c r="O28" s="10" t="n"/>
    </row>
    <row r="29" ht="22.5" customHeight="1" s="151">
      <c r="A29" s="15">
        <f>IF(B29&lt;&gt;"", COUNTA($B$2:B29), "")</f>
        <v/>
      </c>
      <c r="B29" s="76" t="inlineStr">
        <is>
          <t>Термометр биметаллический</t>
        </is>
      </c>
      <c r="C29" s="14" t="inlineStr">
        <is>
          <t>ТБ-2</t>
        </is>
      </c>
      <c r="D29" s="29" t="inlineStr">
        <is>
          <t>1956</t>
        </is>
      </c>
      <c r="E29" s="70" t="n"/>
      <c r="F29" s="17" t="inlineStr">
        <is>
          <t>-50..+100 °С</t>
        </is>
      </c>
      <c r="G29" s="71" t="n">
        <v>1</v>
      </c>
      <c r="H29" s="175" t="inlineStr">
        <is>
          <t>T в блоке ПУ</t>
        </is>
      </c>
      <c r="I29" s="15" t="inlineStr">
        <is>
          <t>Промплощадка</t>
        </is>
      </c>
      <c r="J29" s="15" t="inlineStr">
        <is>
          <t>АСУ,А и ТМ (КЦ № 7)</t>
        </is>
      </c>
      <c r="K29" s="15" t="n"/>
      <c r="L29" s="15" t="n">
        <v>24</v>
      </c>
      <c r="M29" s="3" t="inlineStr">
        <is>
          <t>2к26</t>
        </is>
      </c>
      <c r="N29" s="70" t="inlineStr">
        <is>
          <t>К</t>
        </is>
      </c>
      <c r="O29" s="10" t="n"/>
    </row>
    <row r="30" ht="22.5" customHeight="1" s="151">
      <c r="A30" s="15">
        <f>IF(B30&lt;&gt;"", COUNTA($B$2:B30), "")</f>
        <v/>
      </c>
      <c r="B30" s="76" t="inlineStr">
        <is>
          <t>Термометр биметаллический</t>
        </is>
      </c>
      <c r="C30" s="14" t="inlineStr">
        <is>
          <t>ТБ-2</t>
        </is>
      </c>
      <c r="D30" s="29" t="inlineStr">
        <is>
          <t>1948</t>
        </is>
      </c>
      <c r="E30" s="70" t="n"/>
      <c r="F30" s="17" t="inlineStr">
        <is>
          <t>-50..+100 °С</t>
        </is>
      </c>
      <c r="G30" s="71" t="n">
        <v>1</v>
      </c>
      <c r="H30" s="175" t="inlineStr">
        <is>
          <t>T в блоке ПУ</t>
        </is>
      </c>
      <c r="I30" s="15" t="inlineStr">
        <is>
          <t>Промплощадка</t>
        </is>
      </c>
      <c r="J30" s="15" t="inlineStr">
        <is>
          <t>АСУ,А и ТМ (КЦ № 7)</t>
        </is>
      </c>
      <c r="K30" s="15" t="n"/>
      <c r="L30" s="15" t="n">
        <v>24</v>
      </c>
      <c r="M30" s="3" t="inlineStr">
        <is>
          <t>2к26</t>
        </is>
      </c>
      <c r="N30" s="70" t="inlineStr">
        <is>
          <t>К</t>
        </is>
      </c>
      <c r="O30" s="10" t="n"/>
    </row>
    <row r="31" ht="33.75" customHeight="1" s="151">
      <c r="A31" s="15">
        <f>IF(B31&lt;&gt;"", COUNTA($B$2:B31), "")</f>
        <v/>
      </c>
      <c r="B31" s="280" t="inlineStr">
        <is>
          <t>Газоанализатор стационарный одноканальный</t>
        </is>
      </c>
      <c r="C31" s="14" t="inlineStr">
        <is>
          <t>Сенсор-СВ-5031-СТ</t>
        </is>
      </c>
      <c r="D31" s="29" t="inlineStr">
        <is>
          <t>19100330</t>
        </is>
      </c>
      <c r="E31" s="70" t="n"/>
      <c r="F31" s="32" t="n"/>
      <c r="G31" s="71" t="n"/>
      <c r="H31" s="15" t="inlineStr">
        <is>
          <t>Загазованность по дизтопливу QISA-1</t>
        </is>
      </c>
      <c r="I31" s="15" t="inlineStr">
        <is>
          <t>Промплощадка</t>
        </is>
      </c>
      <c r="J31" s="15" t="inlineStr">
        <is>
          <t>АСУ,А и ТМ (КЦ № 7)</t>
        </is>
      </c>
      <c r="K31" s="15" t="n"/>
      <c r="L31" s="15" t="n">
        <v>60</v>
      </c>
      <c r="M31" s="3" t="n"/>
      <c r="N31" s="70" t="n"/>
      <c r="O31" s="10" t="n"/>
      <c r="P31" s="10" t="inlineStr">
        <is>
          <t>не является средством измерения</t>
        </is>
      </c>
    </row>
    <row r="32" ht="33.75" customHeight="1" s="151">
      <c r="A32" s="15">
        <f>IF(B32&lt;&gt;"", COUNTA($B$2:B32), "")</f>
        <v/>
      </c>
      <c r="B32" s="280" t="inlineStr">
        <is>
          <t>Газоанализатор стационарный одноканальный</t>
        </is>
      </c>
      <c r="C32" s="14" t="inlineStr">
        <is>
          <t>Сенсор-СВ-5031-СТ</t>
        </is>
      </c>
      <c r="D32" s="29" t="inlineStr">
        <is>
          <t>19100331</t>
        </is>
      </c>
      <c r="E32" s="70" t="n"/>
      <c r="F32" s="32" t="n"/>
      <c r="G32" s="71" t="n"/>
      <c r="H32" s="15" t="inlineStr">
        <is>
          <t>Загазованность по дизтопливу QISA-2</t>
        </is>
      </c>
      <c r="I32" s="15" t="inlineStr">
        <is>
          <t>Промплощадка</t>
        </is>
      </c>
      <c r="J32" s="15" t="inlineStr">
        <is>
          <t>АСУ,А и ТМ (КЦ № 7)</t>
        </is>
      </c>
      <c r="K32" s="15" t="n"/>
      <c r="L32" s="15" t="n">
        <v>60</v>
      </c>
      <c r="M32" s="3" t="n"/>
      <c r="N32" s="70" t="n"/>
      <c r="O32" s="10" t="n"/>
      <c r="P32" s="10" t="inlineStr">
        <is>
          <t>не является средством измерения</t>
        </is>
      </c>
    </row>
    <row r="33" ht="33.75" customHeight="1" s="151">
      <c r="A33" s="15">
        <f>IF(B33&lt;&gt;"", COUNTA($B$2:B33), "")</f>
        <v/>
      </c>
      <c r="B33" s="280" t="inlineStr">
        <is>
          <t>Газоанализатор стационарный одноканальный</t>
        </is>
      </c>
      <c r="C33" s="14" t="inlineStr">
        <is>
          <t>Сенсор-СВ-5031-СТ</t>
        </is>
      </c>
      <c r="D33" s="29" t="inlineStr">
        <is>
          <t>19100332</t>
        </is>
      </c>
      <c r="E33" s="70" t="n"/>
      <c r="F33" s="32" t="n"/>
      <c r="G33" s="71" t="n"/>
      <c r="H33" s="15" t="inlineStr">
        <is>
          <t>Загазованность по дизтопливу QISA-3</t>
        </is>
      </c>
      <c r="I33" s="15" t="inlineStr">
        <is>
          <t>Промплощадка</t>
        </is>
      </c>
      <c r="J33" s="15" t="inlineStr">
        <is>
          <t>АСУ,А и ТМ (КЦ № 7)</t>
        </is>
      </c>
      <c r="K33" s="15" t="n"/>
      <c r="L33" s="15" t="n">
        <v>60</v>
      </c>
      <c r="M33" s="3" t="n"/>
      <c r="N33" s="70" t="n"/>
      <c r="O33" s="10" t="n"/>
      <c r="P33" s="10" t="inlineStr">
        <is>
          <t>не является средством измерения</t>
        </is>
      </c>
    </row>
    <row r="34" ht="22.5" customHeight="1" s="151">
      <c r="A34" s="15">
        <f>IF(B34&lt;&gt;"", COUNTA($B$2:B34), "")</f>
        <v/>
      </c>
      <c r="B34" s="76" t="inlineStr">
        <is>
          <t>Термометр сопротивления</t>
        </is>
      </c>
      <c r="C34" s="17" t="inlineStr">
        <is>
          <t>ТСПУ 031П</t>
        </is>
      </c>
      <c r="D34" s="3" t="inlineStr">
        <is>
          <t>44</t>
        </is>
      </c>
      <c r="E34" s="14" t="n"/>
      <c r="F34" s="17" t="n"/>
      <c r="G34" s="17" t="inlineStr">
        <is>
          <t>0,5</t>
        </is>
      </c>
      <c r="H34" s="17" t="inlineStr">
        <is>
          <t>Температура газа на входе КЦ</t>
        </is>
      </c>
      <c r="I34" s="15" t="inlineStr">
        <is>
          <t>КЦ</t>
        </is>
      </c>
      <c r="J34" s="15" t="inlineStr">
        <is>
          <t>АСУ,А и ТМ (КЦ № 7)</t>
        </is>
      </c>
      <c r="K34" s="15" t="n"/>
      <c r="L34" s="14" t="n">
        <v>60</v>
      </c>
      <c r="M34" s="3" t="n"/>
      <c r="N34" s="70" t="n"/>
      <c r="O34" s="10" t="n"/>
    </row>
    <row r="35" ht="22.5" customHeight="1" s="151">
      <c r="A35" s="15">
        <f>IF(B35&lt;&gt;"", COUNTA($B$2:B35), "")</f>
        <v/>
      </c>
      <c r="B35" s="76" t="inlineStr">
        <is>
          <t>Термометр сопротивления</t>
        </is>
      </c>
      <c r="C35" s="17" t="inlineStr">
        <is>
          <t>ТСПУ 031П</t>
        </is>
      </c>
      <c r="D35" s="3" t="inlineStr">
        <is>
          <t>42</t>
        </is>
      </c>
      <c r="E35" s="14" t="n"/>
      <c r="F35" s="17" t="inlineStr">
        <is>
          <t>-50..+100 °С</t>
        </is>
      </c>
      <c r="G35" s="17" t="inlineStr">
        <is>
          <t>0,5</t>
        </is>
      </c>
      <c r="H35" s="17" t="inlineStr">
        <is>
          <t>Температура газа на входе КЦ</t>
        </is>
      </c>
      <c r="I35" s="15" t="inlineStr">
        <is>
          <t>КЦ</t>
        </is>
      </c>
      <c r="J35" s="15" t="inlineStr">
        <is>
          <t>АСУ,А и ТМ (КЦ № 7)</t>
        </is>
      </c>
      <c r="K35" s="15" t="n"/>
      <c r="L35" s="14" t="n">
        <v>60</v>
      </c>
      <c r="M35" s="3" t="n"/>
      <c r="N35" s="70" t="n"/>
      <c r="O35" s="10" t="n"/>
    </row>
    <row r="36" ht="22.5" customHeight="1" s="151">
      <c r="A36" s="15">
        <f>IF(B36&lt;&gt;"", COUNTA($B$2:B36), "")</f>
        <v/>
      </c>
      <c r="B36" s="76" t="inlineStr">
        <is>
          <t>Термометр сопротивления</t>
        </is>
      </c>
      <c r="C36" s="17" t="inlineStr">
        <is>
          <t>ТСПУ 031П</t>
        </is>
      </c>
      <c r="D36" s="3" t="inlineStr">
        <is>
          <t>43</t>
        </is>
      </c>
      <c r="E36" s="14" t="n"/>
      <c r="F36" s="17" t="inlineStr">
        <is>
          <t>-50..+100 °С</t>
        </is>
      </c>
      <c r="G36" s="17" t="inlineStr">
        <is>
          <t>0,5</t>
        </is>
      </c>
      <c r="H36" s="17" t="inlineStr">
        <is>
          <t>Температура газа на выходе КЦ</t>
        </is>
      </c>
      <c r="I36" s="15" t="inlineStr">
        <is>
          <t>КЦ</t>
        </is>
      </c>
      <c r="J36" s="15" t="inlineStr">
        <is>
          <t>АСУ,А и ТМ (КЦ № 7)</t>
        </is>
      </c>
      <c r="K36" s="15" t="n"/>
      <c r="L36" s="14" t="n">
        <v>60</v>
      </c>
      <c r="M36" s="3" t="n"/>
      <c r="N36" s="70" t="n"/>
      <c r="O36" s="10" t="n"/>
    </row>
    <row r="37" ht="22.5" customHeight="1" s="151">
      <c r="A37" s="15">
        <f>IF(B37&lt;&gt;"", COUNTA($B$2:B37), "")</f>
        <v/>
      </c>
      <c r="B37" s="76" t="inlineStr">
        <is>
          <t>Термометр сопротивления</t>
        </is>
      </c>
      <c r="C37" s="17" t="inlineStr">
        <is>
          <t>ТСПУ 031П</t>
        </is>
      </c>
      <c r="D37" s="3" t="inlineStr">
        <is>
          <t>45</t>
        </is>
      </c>
      <c r="E37" s="14" t="n"/>
      <c r="F37" s="17" t="inlineStr">
        <is>
          <t>-50..+100 °С</t>
        </is>
      </c>
      <c r="G37" s="17" t="inlineStr">
        <is>
          <t>0,5</t>
        </is>
      </c>
      <c r="H37" s="17" t="inlineStr">
        <is>
          <t>Температура газа на выходе КЦ</t>
        </is>
      </c>
      <c r="I37" s="15" t="inlineStr">
        <is>
          <t>КЦ</t>
        </is>
      </c>
      <c r="J37" s="15" t="inlineStr">
        <is>
          <t>АСУ,А и ТМ (КЦ № 7)</t>
        </is>
      </c>
      <c r="K37" s="15" t="n"/>
      <c r="L37" s="14" t="n">
        <v>60</v>
      </c>
      <c r="M37" s="3" t="n"/>
      <c r="N37" s="70" t="n"/>
      <c r="O37" s="10" t="n"/>
    </row>
    <row r="38" ht="22.5" customHeight="1" s="151">
      <c r="A38" s="15">
        <f>IF(B38&lt;&gt;"", COUNTA($B$2:B38), "")</f>
        <v/>
      </c>
      <c r="B38" s="73" t="inlineStr">
        <is>
          <t>Преобразователь избыточного давления</t>
        </is>
      </c>
      <c r="C38" s="15" t="inlineStr">
        <is>
          <t>Метран-150</t>
        </is>
      </c>
      <c r="D38" s="15" t="n">
        <v>1634479</v>
      </c>
      <c r="E38" s="14" t="n"/>
      <c r="F38" s="14" t="inlineStr">
        <is>
          <t>0..10 MPa</t>
        </is>
      </c>
      <c r="G38" s="20" t="n">
        <v>0.001</v>
      </c>
      <c r="H38" s="15" t="inlineStr">
        <is>
          <t>Давление газа на входе в КЦ</t>
        </is>
      </c>
      <c r="I38" s="15" t="inlineStr">
        <is>
          <t>КЦ</t>
        </is>
      </c>
      <c r="J38" s="15" t="inlineStr">
        <is>
          <t>АСУ,А и ТМ (КЦ № 7)</t>
        </is>
      </c>
      <c r="K38" s="15" t="n"/>
      <c r="L38" s="14" t="n">
        <v>60</v>
      </c>
      <c r="M38" s="3" t="n"/>
      <c r="N38" s="70" t="n"/>
      <c r="O38" s="10" t="n"/>
    </row>
    <row r="39" ht="22.5" customHeight="1" s="151">
      <c r="A39" s="15">
        <f>IF(B39&lt;&gt;"", COUNTA($B$2:B39), "")</f>
        <v/>
      </c>
      <c r="B39" s="73" t="inlineStr">
        <is>
          <t>Преобразователь избыточного давления</t>
        </is>
      </c>
      <c r="C39" s="15" t="inlineStr">
        <is>
          <t>Метран-150</t>
        </is>
      </c>
      <c r="D39" s="15" t="n">
        <v>1634482</v>
      </c>
      <c r="E39" s="14" t="n"/>
      <c r="F39" s="14" t="inlineStr">
        <is>
          <t>0..10 MPa</t>
        </is>
      </c>
      <c r="G39" s="20" t="n">
        <v>0.001</v>
      </c>
      <c r="H39" s="15" t="inlineStr">
        <is>
          <t>Давление газа на входе в КЦ</t>
        </is>
      </c>
      <c r="I39" s="15" t="inlineStr">
        <is>
          <t>КЦ</t>
        </is>
      </c>
      <c r="J39" s="15" t="inlineStr">
        <is>
          <t>АСУ,А и ТМ (КЦ № 7)</t>
        </is>
      </c>
      <c r="K39" s="15" t="n"/>
      <c r="L39" s="14" t="n">
        <v>60</v>
      </c>
      <c r="M39" s="3" t="n"/>
      <c r="N39" s="70" t="n"/>
      <c r="O39" s="10" t="n"/>
    </row>
    <row r="40" ht="22.5" customHeight="1" s="151">
      <c r="A40" s="15">
        <f>IF(B40&lt;&gt;"", COUNTA($B$2:B40), "")</f>
        <v/>
      </c>
      <c r="B40" s="73" t="inlineStr">
        <is>
          <t>Преобразователь избыточного давления</t>
        </is>
      </c>
      <c r="C40" s="15" t="inlineStr">
        <is>
          <t>Метран-150</t>
        </is>
      </c>
      <c r="D40" s="15" t="n">
        <v>1634477</v>
      </c>
      <c r="E40" s="14" t="n"/>
      <c r="F40" s="14" t="inlineStr">
        <is>
          <t>0..10 MPa</t>
        </is>
      </c>
      <c r="G40" s="20" t="n">
        <v>0.001</v>
      </c>
      <c r="H40" s="15" t="inlineStr">
        <is>
          <t>Давление газа на выходе из КЦ</t>
        </is>
      </c>
      <c r="I40" s="15" t="inlineStr">
        <is>
          <t>КЦ</t>
        </is>
      </c>
      <c r="J40" s="15" t="inlineStr">
        <is>
          <t>АСУ,А и ТМ (КЦ № 7)</t>
        </is>
      </c>
      <c r="K40" s="15" t="n"/>
      <c r="L40" s="14" t="n">
        <v>60</v>
      </c>
      <c r="M40" s="3" t="n"/>
      <c r="N40" s="70" t="n"/>
      <c r="O40" s="10" t="n"/>
    </row>
    <row r="41" ht="22.5" customHeight="1" s="151">
      <c r="A41" s="15">
        <f>IF(B41&lt;&gt;"", COUNTA($B$2:B41), "")</f>
        <v/>
      </c>
      <c r="B41" s="73" t="inlineStr">
        <is>
          <t>Преобразователь избыточного давления</t>
        </is>
      </c>
      <c r="C41" s="15" t="inlineStr">
        <is>
          <t>Метран-150</t>
        </is>
      </c>
      <c r="D41" s="15" t="n">
        <v>1634481</v>
      </c>
      <c r="E41" s="14" t="n"/>
      <c r="F41" s="14" t="inlineStr">
        <is>
          <t>0..10 MPa</t>
        </is>
      </c>
      <c r="G41" s="20" t="n">
        <v>0.001</v>
      </c>
      <c r="H41" s="15" t="inlineStr">
        <is>
          <t>Давление газа на выходе из КЦ</t>
        </is>
      </c>
      <c r="I41" s="15" t="inlineStr">
        <is>
          <t>КЦ</t>
        </is>
      </c>
      <c r="J41" s="15" t="inlineStr">
        <is>
          <t>АСУ,А и ТМ (КЦ № 7)</t>
        </is>
      </c>
      <c r="K41" s="15" t="n"/>
      <c r="L41" s="14" t="n">
        <v>60</v>
      </c>
      <c r="M41" s="3" t="n"/>
      <c r="N41" s="70" t="n"/>
      <c r="O41" s="10" t="n"/>
    </row>
    <row r="42" ht="22.5" customHeight="1" s="151">
      <c r="A42" s="15">
        <f>IF(B42&lt;&gt;"", COUNTA($B$2:B42), "")</f>
        <v/>
      </c>
      <c r="B42" s="73" t="inlineStr">
        <is>
          <t>Преобразователь избыточного давления</t>
        </is>
      </c>
      <c r="C42" s="15" t="inlineStr">
        <is>
          <t>Метран-150</t>
        </is>
      </c>
      <c r="D42" s="15" t="n">
        <v>1637863</v>
      </c>
      <c r="E42" s="14" t="n"/>
      <c r="F42" s="14" t="inlineStr">
        <is>
          <t>0..10 MPa</t>
        </is>
      </c>
      <c r="G42" s="20" t="n">
        <v>0.001</v>
      </c>
      <c r="H42" s="15" t="inlineStr">
        <is>
          <t>Давление компримируемого газа</t>
        </is>
      </c>
      <c r="I42" s="15" t="inlineStr">
        <is>
          <t>КЦ</t>
        </is>
      </c>
      <c r="J42" s="15" t="inlineStr">
        <is>
          <t>АСУ,А и ТМ (КЦ № 7)</t>
        </is>
      </c>
      <c r="K42" s="15" t="n"/>
      <c r="L42" s="14" t="n">
        <v>60</v>
      </c>
      <c r="M42" s="3" t="n"/>
      <c r="N42" s="70" t="n"/>
      <c r="O42" s="10" t="n"/>
    </row>
    <row r="43" ht="22.5" customHeight="1" s="151">
      <c r="A43" s="15">
        <f>IF(B43&lt;&gt;"", COUNTA($B$2:B43), "")</f>
        <v/>
      </c>
      <c r="B43" s="73" t="inlineStr">
        <is>
          <t>Преобразователь избыточного давления</t>
        </is>
      </c>
      <c r="C43" s="15" t="inlineStr">
        <is>
          <t>Метран-150</t>
        </is>
      </c>
      <c r="D43" s="15" t="n">
        <v>1635007</v>
      </c>
      <c r="E43" s="14" t="n"/>
      <c r="F43" s="14" t="inlineStr">
        <is>
          <t>0..10 MPa</t>
        </is>
      </c>
      <c r="G43" s="20" t="n">
        <v>0.001</v>
      </c>
      <c r="H43" s="15" t="inlineStr">
        <is>
          <t>Давление газа в коллекторе сбора дренажа (Е-1)</t>
        </is>
      </c>
      <c r="I43" s="15" t="inlineStr">
        <is>
          <t>КЦ</t>
        </is>
      </c>
      <c r="J43" s="15" t="inlineStr">
        <is>
          <t>АСУ,А и ТМ (КЦ № 7)</t>
        </is>
      </c>
      <c r="K43" s="15" t="n"/>
      <c r="L43" s="14" t="n">
        <v>60</v>
      </c>
      <c r="M43" s="3" t="n"/>
      <c r="N43" s="70" t="n"/>
      <c r="O43" s="10" t="n"/>
    </row>
    <row r="44" ht="22.5" customHeight="1" s="151">
      <c r="A44" s="15">
        <f>IF(B44&lt;&gt;"", COUNTA($B$2:B44), "")</f>
        <v/>
      </c>
      <c r="B44" s="73" t="inlineStr">
        <is>
          <t>Преобразователь избыточного давления</t>
        </is>
      </c>
      <c r="C44" s="15" t="inlineStr">
        <is>
          <t>Метран-150</t>
        </is>
      </c>
      <c r="D44" s="15" t="n">
        <v>1634573</v>
      </c>
      <c r="E44" s="14" t="n"/>
      <c r="F44" s="14" t="inlineStr">
        <is>
          <t xml:space="preserve">0...160 кPa </t>
        </is>
      </c>
      <c r="G44" s="20" t="n">
        <v>0.0004</v>
      </c>
      <c r="H44" s="15" t="inlineStr">
        <is>
          <t>Перепад давления на установке очистки газа</t>
        </is>
      </c>
      <c r="I44" s="15" t="inlineStr">
        <is>
          <t>КЦ</t>
        </is>
      </c>
      <c r="J44" s="15" t="inlineStr">
        <is>
          <t>АСУ,А и ТМ (КЦ № 7)</t>
        </is>
      </c>
      <c r="K44" s="15" t="n"/>
      <c r="L44" s="14" t="n">
        <v>60</v>
      </c>
      <c r="M44" s="3" t="n"/>
      <c r="N44" s="70" t="n"/>
      <c r="O44" s="10" t="n"/>
    </row>
    <row r="45" ht="22.5" customHeight="1" s="151">
      <c r="A45" s="15">
        <f>IF(B45&lt;&gt;"", COUNTA($B$2:B45), "")</f>
        <v/>
      </c>
      <c r="B45" s="73" t="inlineStr">
        <is>
          <t>Преобразователь избыточного давления</t>
        </is>
      </c>
      <c r="C45" s="15" t="inlineStr">
        <is>
          <t>YOKOGAWA EJX110A</t>
        </is>
      </c>
      <c r="D45" s="15" t="inlineStr">
        <is>
          <t>91M439691 217</t>
        </is>
      </c>
      <c r="E45" s="14" t="n"/>
      <c r="F45" s="14" t="inlineStr">
        <is>
          <t xml:space="preserve">0...160 кPa </t>
        </is>
      </c>
      <c r="G45" s="20" t="n">
        <v>0.0004</v>
      </c>
      <c r="H45" s="15" t="inlineStr">
        <is>
          <t>Перепад давления на кране 76</t>
        </is>
      </c>
      <c r="I45" s="15" t="inlineStr">
        <is>
          <t>КЦ</t>
        </is>
      </c>
      <c r="J45" s="15" t="inlineStr">
        <is>
          <t>АСУ,А и ТМ (КЦ № 7)</t>
        </is>
      </c>
      <c r="K45" s="15" t="n"/>
      <c r="L45" s="14" t="n">
        <v>60</v>
      </c>
      <c r="M45" s="3" t="n"/>
      <c r="N45" s="70" t="n"/>
      <c r="O45" s="10" t="n"/>
    </row>
    <row r="46" ht="22.5" customHeight="1" s="151">
      <c r="A46" s="15">
        <f>IF(B46&lt;&gt;"", COUNTA($B$2:B46), "")</f>
        <v/>
      </c>
      <c r="B46" s="73" t="inlineStr">
        <is>
          <t>Преобразователь избыточного давления</t>
        </is>
      </c>
      <c r="C46" s="15" t="inlineStr">
        <is>
          <t>YOKOGAWA EJX110A</t>
        </is>
      </c>
      <c r="D46" s="15" t="inlineStr">
        <is>
          <t>91M439684 217</t>
        </is>
      </c>
      <c r="E46" s="14" t="n"/>
      <c r="F46" s="14" t="inlineStr">
        <is>
          <t xml:space="preserve">0...160 кPa </t>
        </is>
      </c>
      <c r="G46" s="20" t="n">
        <v>0.0004</v>
      </c>
      <c r="H46" s="15" t="inlineStr">
        <is>
          <t>Перепад давления на кране 86</t>
        </is>
      </c>
      <c r="I46" s="15" t="inlineStr">
        <is>
          <t>КЦ</t>
        </is>
      </c>
      <c r="J46" s="15" t="inlineStr">
        <is>
          <t>АСУ,А и ТМ (КЦ № 7)</t>
        </is>
      </c>
      <c r="K46" s="15" t="n"/>
      <c r="L46" s="14" t="n">
        <v>60</v>
      </c>
      <c r="M46" s="3" t="n"/>
      <c r="N46" s="70" t="n"/>
      <c r="O46" s="10" t="n"/>
    </row>
    <row r="47" ht="22.5" customHeight="1" s="151">
      <c r="A47" s="15">
        <f>IF(B47&lt;&gt;"", COUNTA($B$2:B47), "")</f>
        <v/>
      </c>
      <c r="B47" s="3" t="inlineStr">
        <is>
          <t xml:space="preserve">Расходомер                 </t>
        </is>
      </c>
      <c r="C47" s="15" t="inlineStr">
        <is>
          <t>ПИР RG704</t>
        </is>
      </c>
      <c r="D47" s="15" t="n">
        <v>70426529</v>
      </c>
      <c r="E47" s="14" t="n">
        <v>2019</v>
      </c>
      <c r="F47" s="14" t="inlineStr">
        <is>
          <t>0,15…35 м/с</t>
        </is>
      </c>
      <c r="G47" s="20" t="n">
        <v>0.01</v>
      </c>
      <c r="H47" s="15" t="inlineStr">
        <is>
          <t>Расход технологического газа</t>
        </is>
      </c>
      <c r="I47" s="15" t="inlineStr">
        <is>
          <t>КЦ</t>
        </is>
      </c>
      <c r="J47" s="15" t="inlineStr">
        <is>
          <t>АСУ,А и ТМ (КЦ № 7)</t>
        </is>
      </c>
      <c r="K47" s="15" t="n"/>
      <c r="L47" s="14" t="n">
        <v>48</v>
      </c>
      <c r="M47" s="3" t="n"/>
      <c r="N47" s="70" t="n"/>
      <c r="O47" s="10" t="n"/>
    </row>
    <row r="48" ht="22.5" customHeight="1" s="151">
      <c r="A48" s="15">
        <f>IF(B48&lt;&gt;"", COUNTA($B$2:B48), "")</f>
        <v/>
      </c>
      <c r="B48" s="73" t="inlineStr">
        <is>
          <t>Преобразователь избыточного давления</t>
        </is>
      </c>
      <c r="C48" s="15" t="inlineStr">
        <is>
          <t>Метран-150</t>
        </is>
      </c>
      <c r="D48" s="15" t="n">
        <v>6093599</v>
      </c>
      <c r="E48" s="15" t="n"/>
      <c r="F48" s="15" t="inlineStr">
        <is>
          <t>0..1 MPa</t>
        </is>
      </c>
      <c r="G48" s="20" t="n">
        <v>0.0015</v>
      </c>
      <c r="H48" s="15" t="inlineStr">
        <is>
          <t>Давление в емкости   Е-3</t>
        </is>
      </c>
      <c r="I48" s="15" t="inlineStr">
        <is>
          <t>КЦ</t>
        </is>
      </c>
      <c r="J48" s="15" t="inlineStr">
        <is>
          <t>АСУ,А и ТМ (КЦ № 7)</t>
        </is>
      </c>
      <c r="K48" s="15" t="n"/>
      <c r="L48" s="14" t="n">
        <v>24</v>
      </c>
      <c r="M48" s="3" t="n"/>
      <c r="N48" s="70" t="n"/>
      <c r="O48" s="10" t="n"/>
    </row>
    <row r="49" ht="22.5" customHeight="1" s="151">
      <c r="A49" s="15">
        <f>IF(B49&lt;&gt;"", COUNTA($B$2:B49), "")</f>
        <v/>
      </c>
      <c r="B49" s="73" t="inlineStr">
        <is>
          <t>Преобразователь избыточного давления</t>
        </is>
      </c>
      <c r="C49" s="15" t="inlineStr">
        <is>
          <t>ПМП-062</t>
        </is>
      </c>
      <c r="D49" s="15" t="n">
        <v>139588</v>
      </c>
      <c r="E49" s="14" t="n"/>
      <c r="F49" s="14" t="inlineStr">
        <is>
          <t>0..1000 мм</t>
        </is>
      </c>
      <c r="G49" s="20" t="n">
        <v>0.005</v>
      </c>
      <c r="H49" s="15" t="inlineStr">
        <is>
          <t>Уровень конденсата в емкости Е-3</t>
        </is>
      </c>
      <c r="I49" s="15" t="inlineStr">
        <is>
          <t>КЦ</t>
        </is>
      </c>
      <c r="J49" s="15" t="inlineStr">
        <is>
          <t>АСУ,А и ТМ (КЦ № 7)</t>
        </is>
      </c>
      <c r="K49" s="15" t="n"/>
      <c r="L49" s="14" t="n">
        <v>24</v>
      </c>
      <c r="M49" s="3" t="n"/>
      <c r="N49" s="70" t="n"/>
      <c r="O49" s="10" t="n"/>
    </row>
    <row r="50" ht="22.5" customHeight="1" s="151">
      <c r="A50" s="15">
        <f>IF(B50&lt;&gt;"", COUNTA($B$2:B50), "")</f>
        <v/>
      </c>
      <c r="B50" s="76" t="inlineStr">
        <is>
          <t>Термометр сопротивления</t>
        </is>
      </c>
      <c r="C50" s="17" t="inlineStr">
        <is>
          <t>ТСП 012.52</t>
        </is>
      </c>
      <c r="D50" s="14" t="n">
        <v>1372</v>
      </c>
      <c r="E50" s="15" t="n"/>
      <c r="F50" s="17" t="inlineStr">
        <is>
          <t>-60..+200 °С</t>
        </is>
      </c>
      <c r="G50" s="17" t="inlineStr">
        <is>
          <t>B</t>
        </is>
      </c>
      <c r="H50" s="15" t="inlineStr">
        <is>
          <t>Т компремируемого газа</t>
        </is>
      </c>
      <c r="I50" s="15" t="inlineStr">
        <is>
          <t>Промплощадка</t>
        </is>
      </c>
      <c r="J50" s="15" t="inlineStr">
        <is>
          <t>АСУ,А и ТМ (КЦ № 7)</t>
        </is>
      </c>
      <c r="K50" s="15" t="n"/>
      <c r="L50" s="14" t="n">
        <v>36</v>
      </c>
      <c r="M50" s="3" t="n"/>
      <c r="N50" s="70" t="n"/>
      <c r="O50" s="10" t="n"/>
    </row>
    <row r="51" ht="33.75" customHeight="1" s="151">
      <c r="A51" s="15">
        <f>IF(B51&lt;&gt;"", COUNTA($B$2:B51), "")</f>
        <v/>
      </c>
      <c r="B51" s="280" t="inlineStr">
        <is>
          <t>Преобразователь давления корабельный</t>
        </is>
      </c>
      <c r="C51" s="14" t="inlineStr">
        <is>
          <t>ВАЛКОМ ПДК-ВО-Д-63К0-А-2-Б01-Н-02-Д20</t>
        </is>
      </c>
      <c r="D51" s="29" t="inlineStr">
        <is>
          <t>2К021246</t>
        </is>
      </c>
      <c r="E51" s="70" t="n">
        <v>2022</v>
      </c>
      <c r="F51" s="32" t="inlineStr">
        <is>
          <t>0…63 кПа</t>
        </is>
      </c>
      <c r="G51" s="101" t="n">
        <v>0.0025</v>
      </c>
      <c r="H51" s="15" t="inlineStr">
        <is>
          <t>Перепад давления на пылеуловителе №1</t>
        </is>
      </c>
      <c r="I51" s="15" t="inlineStr">
        <is>
          <t>УОГ</t>
        </is>
      </c>
      <c r="J51" s="15" t="inlineStr">
        <is>
          <t>АСУ,А и ТМ (КЦ № 7)</t>
        </is>
      </c>
      <c r="K51" s="15" t="n"/>
      <c r="L51" s="15" t="n">
        <v>60</v>
      </c>
      <c r="M51" s="3" t="n"/>
      <c r="N51" s="70" t="n"/>
      <c r="O51" s="10" t="n"/>
    </row>
    <row r="52" ht="33.75" customHeight="1" s="151">
      <c r="A52" s="15">
        <f>IF(B52&lt;&gt;"", COUNTA($B$2:B52), "")</f>
        <v/>
      </c>
      <c r="B52" s="280" t="inlineStr">
        <is>
          <t>Преобразователь давления корабельный</t>
        </is>
      </c>
      <c r="C52" s="14" t="inlineStr">
        <is>
          <t>ВАЛКОМ ПДК-ВО-Д-63К0-А-2-Б01-Н-02-Д20</t>
        </is>
      </c>
      <c r="D52" s="29" t="inlineStr">
        <is>
          <t>2К021248</t>
        </is>
      </c>
      <c r="E52" s="70" t="n">
        <v>2022</v>
      </c>
      <c r="F52" s="32" t="inlineStr">
        <is>
          <t>0…63 кПа</t>
        </is>
      </c>
      <c r="G52" s="101" t="n">
        <v>0.0025</v>
      </c>
      <c r="H52" s="15" t="inlineStr">
        <is>
          <t>Перепад давления на пылеуловителе №2</t>
        </is>
      </c>
      <c r="I52" s="15" t="inlineStr">
        <is>
          <t>УОГ</t>
        </is>
      </c>
      <c r="J52" s="15" t="inlineStr">
        <is>
          <t>АСУ,А и ТМ (КЦ № 7)</t>
        </is>
      </c>
      <c r="K52" s="15" t="n"/>
      <c r="L52" s="15" t="n">
        <v>60</v>
      </c>
      <c r="M52" s="3" t="n"/>
      <c r="N52" s="70" t="n"/>
      <c r="O52" s="10" t="n"/>
    </row>
    <row r="53" ht="33.75" customHeight="1" s="151">
      <c r="A53" s="15">
        <f>IF(B53&lt;&gt;"", COUNTA($B$2:B53), "")</f>
        <v/>
      </c>
      <c r="B53" s="280" t="inlineStr">
        <is>
          <t>Преобразователь давления корабельный</t>
        </is>
      </c>
      <c r="C53" s="14" t="inlineStr">
        <is>
          <t>ВАЛКОМ ПДК-ВО-Д-63К0-А-2-Б01-Н-02-Д20</t>
        </is>
      </c>
      <c r="D53" s="29" t="inlineStr">
        <is>
          <t>2К021250</t>
        </is>
      </c>
      <c r="E53" s="70" t="n">
        <v>2022</v>
      </c>
      <c r="F53" s="32" t="inlineStr">
        <is>
          <t>0…63 кПа</t>
        </is>
      </c>
      <c r="G53" s="101" t="n">
        <v>0.0025</v>
      </c>
      <c r="H53" s="15" t="inlineStr">
        <is>
          <t>Перепад давления на пылеуловителе №3</t>
        </is>
      </c>
      <c r="I53" s="15" t="inlineStr">
        <is>
          <t>УОГ</t>
        </is>
      </c>
      <c r="J53" s="15" t="inlineStr">
        <is>
          <t>АСУ,А и ТМ (КЦ № 7)</t>
        </is>
      </c>
      <c r="K53" s="15" t="n"/>
      <c r="L53" s="15" t="n">
        <v>60</v>
      </c>
      <c r="M53" s="3" t="n"/>
      <c r="N53" s="70" t="n"/>
      <c r="O53" s="10" t="n"/>
    </row>
    <row r="54" ht="33.75" customHeight="1" s="151">
      <c r="A54" s="15">
        <f>IF(B54&lt;&gt;"", COUNTA($B$2:B54), "")</f>
        <v/>
      </c>
      <c r="B54" s="280" t="inlineStr">
        <is>
          <t>Преобразователь давления корабельный</t>
        </is>
      </c>
      <c r="C54" s="14" t="inlineStr">
        <is>
          <t>ВАЛКОМ ПДК-ВО-Д-63К0-А-2-Б01-Н-02-Д20</t>
        </is>
      </c>
      <c r="D54" s="29" t="inlineStr">
        <is>
          <t>2К021245</t>
        </is>
      </c>
      <c r="E54" s="70" t="n">
        <v>2022</v>
      </c>
      <c r="F54" s="32" t="inlineStr">
        <is>
          <t>0…63 кПа</t>
        </is>
      </c>
      <c r="G54" s="101" t="n">
        <v>0.0025</v>
      </c>
      <c r="H54" s="15" t="inlineStr">
        <is>
          <t>Перепад давления на пылеуловителе №4</t>
        </is>
      </c>
      <c r="I54" s="15" t="inlineStr">
        <is>
          <t>УОГ</t>
        </is>
      </c>
      <c r="J54" s="15" t="inlineStr">
        <is>
          <t>АСУ,А и ТМ (КЦ № 7)</t>
        </is>
      </c>
      <c r="K54" s="15" t="n"/>
      <c r="L54" s="15" t="n">
        <v>60</v>
      </c>
      <c r="M54" s="3" t="n"/>
      <c r="N54" s="70" t="n"/>
      <c r="O54" s="10" t="n"/>
    </row>
    <row r="55" ht="33.75" customHeight="1" s="151">
      <c r="A55" s="15">
        <f>IF(B55&lt;&gt;"", COUNTA($B$2:B55), "")</f>
        <v/>
      </c>
      <c r="B55" s="280" t="inlineStr">
        <is>
          <t>Преобразователь давления корабельный</t>
        </is>
      </c>
      <c r="C55" s="14" t="inlineStr">
        <is>
          <t>ВАЛКОМ ПДК-ВО-Д-63К0-А-2-Б01-Н-02-Д20</t>
        </is>
      </c>
      <c r="D55" s="29" t="inlineStr">
        <is>
          <t>2К021247</t>
        </is>
      </c>
      <c r="E55" s="70" t="n">
        <v>2022</v>
      </c>
      <c r="F55" s="32" t="inlineStr">
        <is>
          <t>0…63 кПа</t>
        </is>
      </c>
      <c r="G55" s="101" t="n">
        <v>0.0025</v>
      </c>
      <c r="H55" s="15" t="inlineStr">
        <is>
          <t>Перепад давления на пылеуловителе №5</t>
        </is>
      </c>
      <c r="I55" s="15" t="inlineStr">
        <is>
          <t>УОГ</t>
        </is>
      </c>
      <c r="J55" s="15" t="inlineStr">
        <is>
          <t>АСУ,А и ТМ (КЦ № 7)</t>
        </is>
      </c>
      <c r="K55" s="15" t="n"/>
      <c r="L55" s="15" t="n">
        <v>60</v>
      </c>
      <c r="M55" s="3" t="n"/>
      <c r="N55" s="70" t="n"/>
      <c r="O55" s="10" t="n"/>
    </row>
    <row r="56" ht="33.75" customHeight="1" s="151">
      <c r="A56" s="15">
        <f>IF(B56&lt;&gt;"", COUNTA($B$2:B56), "")</f>
        <v/>
      </c>
      <c r="B56" s="280" t="inlineStr">
        <is>
          <t>Преобразователь давления корабельный</t>
        </is>
      </c>
      <c r="C56" s="14" t="inlineStr">
        <is>
          <t>ВАЛКОМ ПДК-ВО-Д-63К0-А-2-Б01-Н-02-Д20</t>
        </is>
      </c>
      <c r="D56" s="29" t="inlineStr">
        <is>
          <t>2К021249</t>
        </is>
      </c>
      <c r="E56" s="70" t="n">
        <v>2022</v>
      </c>
      <c r="F56" s="32" t="inlineStr">
        <is>
          <t>0…63 кПа</t>
        </is>
      </c>
      <c r="G56" s="101" t="n">
        <v>0.0025</v>
      </c>
      <c r="H56" s="15" t="inlineStr">
        <is>
          <t>Перепад давления на пылеуловителе №6</t>
        </is>
      </c>
      <c r="I56" s="15" t="inlineStr">
        <is>
          <t>УОГ</t>
        </is>
      </c>
      <c r="J56" s="15" t="inlineStr">
        <is>
          <t>АСУ,А и ТМ (КЦ № 7)</t>
        </is>
      </c>
      <c r="K56" s="15" t="n"/>
      <c r="L56" s="15" t="n">
        <v>60</v>
      </c>
      <c r="M56" s="3" t="n"/>
      <c r="N56" s="70" t="n"/>
      <c r="O56" s="10" t="n"/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>
  <sheetPr codeName="Лист26"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B1" sqref="A1:O33"/>
    </sheetView>
  </sheetViews>
  <sheetFormatPr baseColWidth="8" defaultRowHeight="15"/>
  <cols>
    <col width="3.140625" bestFit="1" customWidth="1" style="151" min="1" max="1"/>
    <col width="22.5703125" bestFit="1" customWidth="1" style="151" min="2" max="2"/>
    <col width="13.42578125" bestFit="1" customWidth="1" style="151" min="3" max="3"/>
    <col width="9.5703125" bestFit="1" customWidth="1" style="151" min="4" max="4"/>
    <col width="6.5703125" bestFit="1" customWidth="1" style="151" min="5" max="5"/>
    <col width="10.42578125" bestFit="1" customWidth="1" style="151" min="6" max="6"/>
    <col width="7.42578125" bestFit="1" customWidth="1" style="151" min="7" max="7"/>
    <col width="13.85546875" bestFit="1" customWidth="1" style="151" min="8" max="8"/>
    <col width="8" bestFit="1" customWidth="1" style="151" min="9" max="9"/>
    <col width="11.42578125" customWidth="1" style="151" min="10" max="10"/>
    <col width="8" bestFit="1" customWidth="1" style="151" min="11" max="11"/>
    <col width="9" bestFit="1" customWidth="1" style="151" min="12" max="12"/>
    <col width="8.85546875" bestFit="1" customWidth="1" style="151" min="13" max="13"/>
    <col width="9" bestFit="1" customWidth="1" style="151" min="14" max="14"/>
    <col width="9.140625" customWidth="1" style="151" min="15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
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  <c r="O1" s="72" t="n"/>
    </row>
    <row r="2" ht="22.5" customHeight="1" s="151">
      <c r="A2" s="15">
        <f>IF(B2&lt;&gt;"", COUNTA($B$2:B2), "")</f>
        <v/>
      </c>
      <c r="B2" s="280" t="inlineStr">
        <is>
          <t>Манометр технический</t>
        </is>
      </c>
      <c r="C2" s="17" t="inlineStr">
        <is>
          <t>EN 837-1</t>
        </is>
      </c>
      <c r="D2" s="3" t="inlineStr">
        <is>
          <t>700230</t>
        </is>
      </c>
      <c r="E2" s="14" t="n"/>
      <c r="F2" s="14" t="inlineStr">
        <is>
          <t>0..10 бар</t>
        </is>
      </c>
      <c r="G2" s="17" t="inlineStr">
        <is>
          <t>1</t>
        </is>
      </c>
      <c r="H2" s="17" t="inlineStr">
        <is>
          <t>Рв в камеру сгорания</t>
        </is>
      </c>
      <c r="I2" s="15" t="inlineStr">
        <is>
          <t>УТО</t>
        </is>
      </c>
      <c r="J2" s="15" t="inlineStr">
        <is>
          <t>АСУ,А и ТМ (КЦ № 7)</t>
        </is>
      </c>
      <c r="K2" s="15" t="n"/>
      <c r="L2" s="14" t="n">
        <v>12</v>
      </c>
      <c r="M2" s="3" t="inlineStr">
        <is>
          <t>2К26</t>
        </is>
      </c>
      <c r="N2" s="70" t="inlineStr">
        <is>
          <t>К</t>
        </is>
      </c>
      <c r="O2" s="72" t="n"/>
    </row>
    <row r="3" ht="22.5" customHeight="1" s="151">
      <c r="A3" s="15">
        <f>IF(B3&lt;&gt;"", COUNTA($B$2:B3), "")</f>
        <v/>
      </c>
      <c r="B3" s="280" t="inlineStr">
        <is>
          <t>Манометр технический</t>
        </is>
      </c>
      <c r="C3" s="17" t="inlineStr">
        <is>
          <t>EN 837-1</t>
        </is>
      </c>
      <c r="D3" s="3" t="inlineStr">
        <is>
          <t>700232</t>
        </is>
      </c>
      <c r="E3" s="14" t="n"/>
      <c r="F3" s="14" t="inlineStr">
        <is>
          <t>0..6 бар</t>
        </is>
      </c>
      <c r="G3" s="17" t="inlineStr">
        <is>
          <t>1</t>
        </is>
      </c>
      <c r="H3" s="17" t="inlineStr">
        <is>
          <t>Рж.т  в камеру сгорания</t>
        </is>
      </c>
      <c r="I3" s="15" t="inlineStr">
        <is>
          <t>УТО</t>
        </is>
      </c>
      <c r="J3" s="15" t="inlineStr">
        <is>
          <t>АСУ,А и ТМ (КЦ № 7)</t>
        </is>
      </c>
      <c r="K3" s="15" t="n"/>
      <c r="L3" s="14" t="n">
        <v>12</v>
      </c>
      <c r="M3" s="3" t="inlineStr">
        <is>
          <t>2К26</t>
        </is>
      </c>
      <c r="N3" s="70" t="inlineStr">
        <is>
          <t>К</t>
        </is>
      </c>
      <c r="O3" s="72" t="n"/>
    </row>
    <row r="4" ht="22.5" customHeight="1" s="151">
      <c r="A4" s="15">
        <f>IF(B4&lt;&gt;"", COUNTA($B$2:B4), "")</f>
        <v/>
      </c>
      <c r="B4" s="280" t="inlineStr">
        <is>
          <t>Манометр технический</t>
        </is>
      </c>
      <c r="C4" s="17" t="inlineStr">
        <is>
          <t>МП3-УУХЛ1</t>
        </is>
      </c>
      <c r="D4" s="3" t="inlineStr">
        <is>
          <t>15669</t>
        </is>
      </c>
      <c r="E4" s="14" t="n"/>
      <c r="F4" s="70" t="inlineStr">
        <is>
          <t>0..0,6 кгс/см2</t>
        </is>
      </c>
      <c r="G4" s="17" t="inlineStr">
        <is>
          <t>1,5</t>
        </is>
      </c>
      <c r="H4" s="17" t="inlineStr">
        <is>
          <t>Р после   регулятора 2</t>
        </is>
      </c>
      <c r="I4" s="15" t="inlineStr">
        <is>
          <t>УТО</t>
        </is>
      </c>
      <c r="J4" s="15" t="inlineStr">
        <is>
          <t>АСУ,А и ТМ (КЦ № 7)</t>
        </is>
      </c>
      <c r="K4" s="15" t="n"/>
      <c r="L4" s="14" t="n">
        <v>12</v>
      </c>
      <c r="M4" s="3" t="inlineStr">
        <is>
          <t>2К26</t>
        </is>
      </c>
      <c r="N4" s="70" t="inlineStr">
        <is>
          <t>К</t>
        </is>
      </c>
      <c r="O4" s="72" t="n"/>
    </row>
    <row r="5" ht="22.5" customHeight="1" s="151">
      <c r="A5" s="15">
        <f>IF(B5&lt;&gt;"", COUNTA($B$2:B5), "")</f>
        <v/>
      </c>
      <c r="B5" s="280" t="inlineStr">
        <is>
          <t>Манометр технический</t>
        </is>
      </c>
      <c r="C5" s="17" t="inlineStr">
        <is>
          <t>МП3-УУХЛ1</t>
        </is>
      </c>
      <c r="D5" s="3" t="inlineStr">
        <is>
          <t>15670</t>
        </is>
      </c>
      <c r="E5" s="14" t="n"/>
      <c r="F5" s="70" t="inlineStr">
        <is>
          <t>0..0,6 кгс/см2</t>
        </is>
      </c>
      <c r="G5" s="17" t="inlineStr">
        <is>
          <t>1,5</t>
        </is>
      </c>
      <c r="H5" s="17" t="inlineStr">
        <is>
          <t>Р после   регулятора 1</t>
        </is>
      </c>
      <c r="I5" s="15" t="inlineStr">
        <is>
          <t>УТО</t>
        </is>
      </c>
      <c r="J5" s="15" t="inlineStr">
        <is>
          <t>АСУ,А и ТМ (КЦ № 7)</t>
        </is>
      </c>
      <c r="K5" s="15" t="n"/>
      <c r="L5" s="14" t="n">
        <v>12</v>
      </c>
      <c r="M5" s="3" t="inlineStr">
        <is>
          <t>2К26</t>
        </is>
      </c>
      <c r="N5" s="70" t="inlineStr">
        <is>
          <t>К</t>
        </is>
      </c>
      <c r="O5" s="72" t="n"/>
    </row>
    <row r="6" ht="22.5" customHeight="1" s="151">
      <c r="A6" s="15">
        <f>IF(B6&lt;&gt;"", COUNTA($B$2:B6), "")</f>
        <v/>
      </c>
      <c r="B6" s="73" t="inlineStr">
        <is>
          <t>Преобразователь избыточного давления</t>
        </is>
      </c>
      <c r="C6" s="14" t="inlineStr">
        <is>
          <t>Метран 150 TG</t>
        </is>
      </c>
      <c r="D6" s="15" t="n">
        <v>6117878</v>
      </c>
      <c r="E6" s="14" t="n">
        <v>2019</v>
      </c>
      <c r="F6" s="14" t="inlineStr">
        <is>
          <t>0..160 кПa</t>
        </is>
      </c>
      <c r="G6" s="20" t="n">
        <v>0.001</v>
      </c>
      <c r="H6" s="15" t="inlineStr">
        <is>
          <t>Давление перед газовой рампой</t>
        </is>
      </c>
      <c r="I6" s="15" t="inlineStr">
        <is>
          <t>УТО</t>
        </is>
      </c>
      <c r="J6" s="15" t="inlineStr">
        <is>
          <t>АСУ,А и ТМ (КЦ № 7)</t>
        </is>
      </c>
      <c r="K6" s="15" t="n"/>
      <c r="L6" s="14" t="n">
        <v>60</v>
      </c>
      <c r="M6" s="3" t="n"/>
      <c r="N6" s="70" t="n"/>
      <c r="O6" s="72" t="n"/>
    </row>
    <row r="7" ht="22.5" customHeight="1" s="151">
      <c r="A7" s="15">
        <f>IF(B7&lt;&gt;"", COUNTA($B$2:B7), "")</f>
        <v/>
      </c>
      <c r="B7" s="73" t="inlineStr">
        <is>
          <t>Преобразователь избыточного давления</t>
        </is>
      </c>
      <c r="C7" s="15" t="inlineStr">
        <is>
          <t>Метран-75</t>
        </is>
      </c>
      <c r="D7" s="15" t="n">
        <v>1622744</v>
      </c>
      <c r="E7" s="14" t="n">
        <v>2019</v>
      </c>
      <c r="F7" s="14" t="inlineStr">
        <is>
          <t>0..200 кПa</t>
        </is>
      </c>
      <c r="G7" s="20" t="n">
        <v>0.001</v>
      </c>
      <c r="H7" s="15" t="inlineStr">
        <is>
          <t>Давление в инсинераторе</t>
        </is>
      </c>
      <c r="I7" s="15" t="inlineStr">
        <is>
          <t>УТО</t>
        </is>
      </c>
      <c r="J7" s="15" t="inlineStr">
        <is>
          <t>АСУ,А и ТМ (КЦ № 7)</t>
        </is>
      </c>
      <c r="K7" s="15" t="n"/>
      <c r="L7" s="14" t="n">
        <v>60</v>
      </c>
      <c r="M7" s="3" t="n"/>
      <c r="N7" s="70" t="n"/>
      <c r="O7" s="72" t="n"/>
    </row>
    <row r="8" ht="22.5" customHeight="1" s="151">
      <c r="A8" s="15">
        <f>IF(B8&lt;&gt;"", COUNTA($B$2:B8), "")</f>
        <v/>
      </c>
      <c r="B8" s="73" t="inlineStr">
        <is>
          <t>Преобразователь избыточного давления</t>
        </is>
      </c>
      <c r="C8" s="14" t="inlineStr">
        <is>
          <t>Метран 150 TG</t>
        </is>
      </c>
      <c r="D8" s="15" t="n">
        <v>6117876</v>
      </c>
      <c r="E8" s="14" t="n">
        <v>2019</v>
      </c>
      <c r="F8" s="14" t="inlineStr">
        <is>
          <t>0..160 кПa</t>
        </is>
      </c>
      <c r="G8" s="20" t="n">
        <v>0.001</v>
      </c>
      <c r="H8" s="15" t="inlineStr">
        <is>
          <t>Давление на входе УТО</t>
        </is>
      </c>
      <c r="I8" s="15" t="inlineStr">
        <is>
          <t>УТО</t>
        </is>
      </c>
      <c r="J8" s="15" t="inlineStr">
        <is>
          <t>АСУ,А и ТМ (КЦ № 7)</t>
        </is>
      </c>
      <c r="K8" s="15" t="n"/>
      <c r="L8" s="14" t="n">
        <v>60</v>
      </c>
      <c r="M8" s="3" t="n"/>
      <c r="N8" s="70" t="n"/>
      <c r="O8" s="72" t="n"/>
    </row>
    <row r="9" ht="33.75" customHeight="1" s="151">
      <c r="A9" s="15">
        <f>IF(B9&lt;&gt;"", COUNTA($B$2:B9), "")</f>
        <v/>
      </c>
      <c r="B9" s="73" t="inlineStr">
        <is>
          <t>Преобразователь избыточного давления</t>
        </is>
      </c>
      <c r="C9" s="14" t="inlineStr">
        <is>
          <t>Метран 150 TG</t>
        </is>
      </c>
      <c r="D9" s="15" t="n">
        <v>6148576</v>
      </c>
      <c r="E9" s="14" t="n">
        <v>2020</v>
      </c>
      <c r="F9" s="14" t="inlineStr">
        <is>
          <t>0..1 МПa</t>
        </is>
      </c>
      <c r="G9" s="20" t="n">
        <v>0.001</v>
      </c>
      <c r="H9" s="15" t="inlineStr">
        <is>
          <t>Давление перед переносным насосом</t>
        </is>
      </c>
      <c r="I9" s="15" t="inlineStr">
        <is>
          <t>УТО</t>
        </is>
      </c>
      <c r="J9" s="15" t="inlineStr">
        <is>
          <t>АСУ,А и ТМ (КЦ № 7)</t>
        </is>
      </c>
      <c r="K9" s="15" t="n"/>
      <c r="L9" s="14" t="n">
        <v>60</v>
      </c>
      <c r="M9" s="3" t="n"/>
      <c r="N9" s="70" t="n"/>
      <c r="O9" s="72" t="n"/>
    </row>
    <row r="10" ht="22.5" customHeight="1" s="151">
      <c r="A10" s="15">
        <f>IF(B10&lt;&gt;"", COUNTA($B$2:B10), "")</f>
        <v/>
      </c>
      <c r="B10" s="73" t="inlineStr">
        <is>
          <t>Преобразователь избыточного давления</t>
        </is>
      </c>
      <c r="C10" s="14" t="inlineStr">
        <is>
          <t>Метран 150 TG</t>
        </is>
      </c>
      <c r="D10" s="15" t="n">
        <v>6148569</v>
      </c>
      <c r="E10" s="14" t="n">
        <v>2020</v>
      </c>
      <c r="F10" s="14" t="inlineStr">
        <is>
          <t>0..1 МПa</t>
        </is>
      </c>
      <c r="G10" s="20" t="n">
        <v>0.001</v>
      </c>
      <c r="H10" s="15" t="inlineStr">
        <is>
          <t>Давление после   №1</t>
        </is>
      </c>
      <c r="I10" s="15" t="inlineStr">
        <is>
          <t>УТО</t>
        </is>
      </c>
      <c r="J10" s="15" t="inlineStr">
        <is>
          <t>АСУ,А и ТМ (КЦ № 7)</t>
        </is>
      </c>
      <c r="K10" s="15" t="n"/>
      <c r="L10" s="14" t="n">
        <v>60</v>
      </c>
      <c r="M10" s="3" t="n"/>
      <c r="N10" s="70" t="n"/>
      <c r="O10" s="72" t="n"/>
    </row>
    <row r="11" ht="22.5" customHeight="1" s="151">
      <c r="A11" s="15">
        <f>IF(B11&lt;&gt;"", COUNTA($B$2:B11), "")</f>
        <v/>
      </c>
      <c r="B11" s="73" t="inlineStr">
        <is>
          <t>Преобразователь избыточного давления</t>
        </is>
      </c>
      <c r="C11" s="14" t="inlineStr">
        <is>
          <t>Метран 150 TG</t>
        </is>
      </c>
      <c r="D11" s="15" t="n">
        <v>6148570</v>
      </c>
      <c r="E11" s="14" t="n">
        <v>2020</v>
      </c>
      <c r="F11" s="14" t="inlineStr">
        <is>
          <t>0..1 МПa</t>
        </is>
      </c>
      <c r="G11" s="20" t="n">
        <v>0.001</v>
      </c>
      <c r="H11" s="15" t="inlineStr">
        <is>
          <t>Давление перед фильтром №2</t>
        </is>
      </c>
      <c r="I11" s="15" t="inlineStr">
        <is>
          <t>УТО</t>
        </is>
      </c>
      <c r="J11" s="15" t="inlineStr">
        <is>
          <t>АСУ,А и ТМ (КЦ № 7)</t>
        </is>
      </c>
      <c r="K11" s="15" t="n"/>
      <c r="L11" s="14" t="n">
        <v>60</v>
      </c>
      <c r="M11" s="3" t="n"/>
      <c r="N11" s="70" t="n"/>
      <c r="O11" s="72" t="n"/>
    </row>
    <row r="12" ht="33.75" customHeight="1" s="151">
      <c r="A12" s="15">
        <f>IF(B12&lt;&gt;"", COUNTA($B$2:B12), "")</f>
        <v/>
      </c>
      <c r="B12" s="73" t="inlineStr">
        <is>
          <t>Преобразователь избыточного давления</t>
        </is>
      </c>
      <c r="C12" s="14" t="inlineStr">
        <is>
          <t>Метран 150 CD</t>
        </is>
      </c>
      <c r="D12" s="15" t="n">
        <v>6148573</v>
      </c>
      <c r="E12" s="14" t="n">
        <v>2020</v>
      </c>
      <c r="F12" s="14" t="inlineStr">
        <is>
          <t>0..0,63 кПa</t>
        </is>
      </c>
      <c r="G12" s="20" t="n">
        <v>0.001</v>
      </c>
      <c r="H12" s="15" t="inlineStr">
        <is>
          <t>Перепад давления на фильтре           №1</t>
        </is>
      </c>
      <c r="I12" s="15" t="inlineStr">
        <is>
          <t>УТО</t>
        </is>
      </c>
      <c r="J12" s="15" t="inlineStr">
        <is>
          <t>АСУ,А и ТМ (КЦ № 7)</t>
        </is>
      </c>
      <c r="K12" s="15" t="n"/>
      <c r="L12" s="14" t="n">
        <v>60</v>
      </c>
      <c r="M12" s="3" t="n"/>
      <c r="N12" s="70" t="n"/>
      <c r="O12" s="72" t="n"/>
    </row>
    <row r="13" ht="33.75" customHeight="1" s="151">
      <c r="A13" s="15">
        <f>IF(B13&lt;&gt;"", COUNTA($B$2:B13), "")</f>
        <v/>
      </c>
      <c r="B13" s="73" t="inlineStr">
        <is>
          <t>Преобразователь избыточного давления</t>
        </is>
      </c>
      <c r="C13" s="14" t="inlineStr">
        <is>
          <t>Метран 150 CD</t>
        </is>
      </c>
      <c r="D13" s="15" t="n">
        <v>6148574</v>
      </c>
      <c r="E13" s="14" t="n">
        <v>2020</v>
      </c>
      <c r="F13" s="14" t="inlineStr">
        <is>
          <t>0..0,63 кПa</t>
        </is>
      </c>
      <c r="G13" s="20" t="n">
        <v>0.001</v>
      </c>
      <c r="H13" s="15" t="inlineStr">
        <is>
          <t>Перепад давления на фильтре           №2</t>
        </is>
      </c>
      <c r="I13" s="15" t="inlineStr">
        <is>
          <t>УТО</t>
        </is>
      </c>
      <c r="J13" s="15" t="inlineStr">
        <is>
          <t>АСУ,А и ТМ (КЦ № 7)</t>
        </is>
      </c>
      <c r="K13" s="15" t="n"/>
      <c r="L13" s="14" t="n">
        <v>60</v>
      </c>
      <c r="M13" s="3" t="n"/>
      <c r="N13" s="70" t="n"/>
      <c r="O13" s="72" t="n"/>
    </row>
    <row r="14" ht="22.5" customHeight="1" s="151">
      <c r="A14" s="15">
        <f>IF(B14&lt;&gt;"", COUNTA($B$2:B14), "")</f>
        <v/>
      </c>
      <c r="B14" s="76" t="inlineStr">
        <is>
          <t>Термометр сопротивления</t>
        </is>
      </c>
      <c r="C14" s="15" t="inlineStr">
        <is>
          <t>Метран-2700</t>
        </is>
      </c>
      <c r="D14" s="15" t="n">
        <v>2494086</v>
      </c>
      <c r="E14" s="14" t="n">
        <v>2019</v>
      </c>
      <c r="F14" s="17" t="inlineStr">
        <is>
          <t>-50..+200 °С</t>
        </is>
      </c>
      <c r="G14" s="20" t="n">
        <v>0.0025</v>
      </c>
      <c r="H14" s="15" t="inlineStr">
        <is>
          <t>Т перед вкнтилятором</t>
        </is>
      </c>
      <c r="I14" s="15" t="inlineStr">
        <is>
          <t>УТО</t>
        </is>
      </c>
      <c r="J14" s="15" t="inlineStr">
        <is>
          <t>АСУ,А и ТМ (КЦ № 7)</t>
        </is>
      </c>
      <c r="K14" s="15" t="n"/>
      <c r="L14" s="14" t="n">
        <v>60</v>
      </c>
      <c r="M14" s="3" t="n"/>
      <c r="N14" s="70" t="n"/>
      <c r="O14" s="72" t="n"/>
    </row>
    <row r="15" ht="22.5" customHeight="1" s="151">
      <c r="A15" s="15">
        <f>IF(B15&lt;&gt;"", COUNTA($B$2:B15), "")</f>
        <v/>
      </c>
      <c r="B15" s="76" t="inlineStr">
        <is>
          <t>Термометр сопротивления</t>
        </is>
      </c>
      <c r="C15" s="15" t="inlineStr">
        <is>
          <t>Метран-2700</t>
        </is>
      </c>
      <c r="D15" s="15" t="n">
        <v>2494229</v>
      </c>
      <c r="E15" s="14" t="n">
        <v>2019</v>
      </c>
      <c r="F15" s="17" t="inlineStr">
        <is>
          <t>-50..+500 °С</t>
        </is>
      </c>
      <c r="G15" s="20" t="n">
        <v>0.0025</v>
      </c>
      <c r="H15" s="15" t="inlineStr">
        <is>
          <t>Т после пылеуловителя</t>
        </is>
      </c>
      <c r="I15" s="15" t="inlineStr">
        <is>
          <t>УТО</t>
        </is>
      </c>
      <c r="J15" s="15" t="inlineStr">
        <is>
          <t>АСУ,А и ТМ (КЦ № 7)</t>
        </is>
      </c>
      <c r="K15" s="15" t="n"/>
      <c r="L15" s="14" t="n">
        <v>60</v>
      </c>
      <c r="M15" s="3" t="n"/>
      <c r="N15" s="70" t="n"/>
      <c r="O15" s="72" t="n"/>
    </row>
    <row r="16" ht="22.5" customHeight="1" s="151">
      <c r="A16" s="15">
        <f>IF(B16&lt;&gt;"", COUNTA($B$2:B16), "")</f>
        <v/>
      </c>
      <c r="B16" s="76" t="inlineStr">
        <is>
          <t>Термометр сопротивления</t>
        </is>
      </c>
      <c r="C16" s="15" t="inlineStr">
        <is>
          <t>Элемер ТПУ 0304/М1</t>
        </is>
      </c>
      <c r="D16" s="15" t="n">
        <v>5853</v>
      </c>
      <c r="E16" s="15" t="n">
        <v>2019</v>
      </c>
      <c r="F16" s="17" t="inlineStr">
        <is>
          <t>-50..+1300 °С</t>
        </is>
      </c>
      <c r="G16" s="20" t="n">
        <v>0.0025</v>
      </c>
      <c r="H16" s="15" t="inlineStr">
        <is>
          <t>Т в камере   поджига</t>
        </is>
      </c>
      <c r="I16" s="15" t="inlineStr">
        <is>
          <t>УТО</t>
        </is>
      </c>
      <c r="J16" s="15" t="inlineStr">
        <is>
          <t>АСУ,А и ТМ (КЦ № 7)</t>
        </is>
      </c>
      <c r="K16" s="15" t="n"/>
      <c r="L16" s="14" t="n">
        <v>60</v>
      </c>
      <c r="M16" s="3" t="n"/>
      <c r="N16" s="70" t="n"/>
      <c r="O16" s="72" t="n"/>
    </row>
    <row r="17" ht="22.5" customHeight="1" s="151">
      <c r="A17" s="15">
        <f>IF(B17&lt;&gt;"", COUNTA($B$2:B17), "")</f>
        <v/>
      </c>
      <c r="B17" s="76" t="inlineStr">
        <is>
          <t>Термометр сопротивления</t>
        </is>
      </c>
      <c r="C17" s="15" t="inlineStr">
        <is>
          <t>Элемер ТПУ 0304/М1</t>
        </is>
      </c>
      <c r="D17" s="15" t="n">
        <v>3752</v>
      </c>
      <c r="E17" s="14" t="n">
        <v>2019</v>
      </c>
      <c r="F17" s="17" t="inlineStr">
        <is>
          <t>-50..+1300 °С</t>
        </is>
      </c>
      <c r="G17" s="20" t="n">
        <v>0.0025</v>
      </c>
      <c r="H17" s="15" t="inlineStr">
        <is>
          <t>Т в камере сжигания</t>
        </is>
      </c>
      <c r="I17" s="15" t="inlineStr">
        <is>
          <t>УТО</t>
        </is>
      </c>
      <c r="J17" s="15" t="inlineStr">
        <is>
          <t>АСУ,А и ТМ (КЦ № 7)</t>
        </is>
      </c>
      <c r="K17" s="15" t="n"/>
      <c r="L17" s="14" t="n">
        <v>60</v>
      </c>
      <c r="M17" s="3" t="n"/>
      <c r="N17" s="70" t="n"/>
      <c r="O17" s="72" t="n"/>
    </row>
    <row r="18" ht="22.5" customHeight="1" s="151">
      <c r="A18" s="15">
        <f>IF(B18&lt;&gt;"", COUNTA($B$2:B18), "")</f>
        <v/>
      </c>
      <c r="B18" s="76" t="inlineStr">
        <is>
          <t>Термометр сопротивления</t>
        </is>
      </c>
      <c r="C18" s="14" t="inlineStr">
        <is>
          <t>ТСМУ 014Сп</t>
        </is>
      </c>
      <c r="D18" s="14" t="n">
        <v>1975</v>
      </c>
      <c r="E18" s="15" t="n">
        <v>2018</v>
      </c>
      <c r="F18" s="17" t="inlineStr">
        <is>
          <t>-50..+50 °С</t>
        </is>
      </c>
      <c r="G18" s="20" t="n">
        <v>0.0025</v>
      </c>
      <c r="H18" s="15" t="inlineStr">
        <is>
          <t>Т в помешении УТО</t>
        </is>
      </c>
      <c r="I18" s="15" t="inlineStr">
        <is>
          <t>УТО</t>
        </is>
      </c>
      <c r="J18" s="15" t="inlineStr">
        <is>
          <t>АСУ,А и ТМ (КЦ № 7)</t>
        </is>
      </c>
      <c r="K18" s="15" t="n"/>
      <c r="L18" s="14" t="n">
        <v>60</v>
      </c>
      <c r="M18" s="3" t="n"/>
      <c r="N18" s="70" t="n"/>
      <c r="O18" s="72" t="n"/>
    </row>
    <row r="19" ht="22.5" customHeight="1" s="151">
      <c r="A19" s="15">
        <f>IF(B19&lt;&gt;"", COUNTA($B$2:B19), "")</f>
        <v/>
      </c>
      <c r="B19" s="280" t="inlineStr">
        <is>
          <t>Газоанализатор оптический</t>
        </is>
      </c>
      <c r="C19" s="14" t="inlineStr">
        <is>
          <t>СГОЭС-2</t>
        </is>
      </c>
      <c r="D19" s="29" t="inlineStr">
        <is>
          <t>48037</t>
        </is>
      </c>
      <c r="E19" s="70" t="n">
        <v>2019</v>
      </c>
      <c r="F19" s="32" t="n"/>
      <c r="G19" s="71" t="n"/>
      <c r="H19" s="15" t="n"/>
      <c r="I19" s="15" t="inlineStr">
        <is>
          <t>УТО</t>
        </is>
      </c>
      <c r="J19" s="15" t="inlineStr">
        <is>
          <t>АСУ,А и ТМ (КЦ № 7)</t>
        </is>
      </c>
      <c r="K19" s="15" t="n"/>
      <c r="L19" s="15" t="n">
        <v>60</v>
      </c>
      <c r="M19" s="3" t="n"/>
      <c r="N19" s="70" t="n"/>
      <c r="O19" s="72" t="n"/>
    </row>
    <row r="20" ht="22.5" customHeight="1" s="151">
      <c r="A20" s="15">
        <f>IF(B20&lt;&gt;"", COUNTA($B$2:B20), "")</f>
        <v/>
      </c>
      <c r="B20" s="280" t="inlineStr">
        <is>
          <t>Термометр сопротивления</t>
        </is>
      </c>
      <c r="C20" s="14" t="inlineStr">
        <is>
          <t>ТСМУ 014.71</t>
        </is>
      </c>
      <c r="D20" s="29" t="inlineStr">
        <is>
          <t>655</t>
        </is>
      </c>
      <c r="E20" s="70" t="n">
        <v>2019</v>
      </c>
      <c r="F20" s="17" t="inlineStr">
        <is>
          <t>-50..+100 °С</t>
        </is>
      </c>
      <c r="G20" s="20" t="n">
        <v>0.0025</v>
      </c>
      <c r="H20" s="15" t="inlineStr">
        <is>
          <t>Тг на входе    ГРПШ</t>
        </is>
      </c>
      <c r="I20" s="15" t="inlineStr">
        <is>
          <t>УТО</t>
        </is>
      </c>
      <c r="J20" s="15" t="inlineStr">
        <is>
          <t>АСУ,А и ТМ (КЦ № 7)</t>
        </is>
      </c>
      <c r="K20" s="15" t="n"/>
      <c r="L20" s="15" t="n">
        <v>60</v>
      </c>
      <c r="M20" s="3" t="n"/>
      <c r="N20" s="70" t="n"/>
      <c r="O20" s="72" t="n"/>
    </row>
    <row r="21" ht="22.5" customHeight="1" s="151">
      <c r="A21" s="15">
        <f>IF(B21&lt;&gt;"", COUNTA($B$2:B21), "")</f>
        <v/>
      </c>
      <c r="B21" s="280" t="inlineStr">
        <is>
          <t>Преобразователь избыточного давления</t>
        </is>
      </c>
      <c r="C21" s="14" t="inlineStr">
        <is>
          <t>Метран 150 TG</t>
        </is>
      </c>
      <c r="D21" s="29" t="inlineStr">
        <is>
          <t>6103886</t>
        </is>
      </c>
      <c r="E21" s="70" t="n">
        <v>2019</v>
      </c>
      <c r="F21" s="14" t="inlineStr">
        <is>
          <t>0..160 кПa</t>
        </is>
      </c>
      <c r="G21" s="20" t="n">
        <v>0.001</v>
      </c>
      <c r="H21" s="15" t="inlineStr">
        <is>
          <t>Рг на входе    ГРПШ</t>
        </is>
      </c>
      <c r="I21" s="15" t="inlineStr">
        <is>
          <t>УТО</t>
        </is>
      </c>
      <c r="J21" s="15" t="inlineStr">
        <is>
          <t>АСУ,А и ТМ (КЦ № 7)</t>
        </is>
      </c>
      <c r="K21" s="15" t="n"/>
      <c r="L21" s="15" t="n">
        <v>60</v>
      </c>
      <c r="M21" s="3" t="n"/>
      <c r="N21" s="70" t="n"/>
      <c r="O21" s="72" t="n"/>
    </row>
    <row r="22" ht="22.5" customHeight="1" s="151">
      <c r="A22" s="15">
        <f>IF(B22&lt;&gt;"", COUNTA($B$2:B22), "")</f>
        <v/>
      </c>
      <c r="B22" s="280" t="inlineStr">
        <is>
          <t>Термометр сопротивления</t>
        </is>
      </c>
      <c r="C22" s="14" t="inlineStr">
        <is>
          <t>ТСМУ 014Сп</t>
        </is>
      </c>
      <c r="D22" s="29" t="inlineStr">
        <is>
          <t>1976</t>
        </is>
      </c>
      <c r="E22" s="70" t="n">
        <v>2018</v>
      </c>
      <c r="F22" s="17" t="inlineStr">
        <is>
          <t>-50..+50 °С</t>
        </is>
      </c>
      <c r="G22" s="20" t="n">
        <v>0.0025</v>
      </c>
      <c r="H22" s="15" t="n"/>
      <c r="I22" s="15" t="inlineStr">
        <is>
          <t>УТО</t>
        </is>
      </c>
      <c r="J22" s="15" t="inlineStr">
        <is>
          <t>АСУ,А и ТМ (КЦ № 7)</t>
        </is>
      </c>
      <c r="K22" s="15" t="n"/>
      <c r="L22" s="15" t="n">
        <v>60</v>
      </c>
      <c r="M22" s="3" t="n"/>
      <c r="N22" s="70" t="n"/>
      <c r="O22" s="72" t="n"/>
    </row>
    <row r="23" ht="22.5" customHeight="1" s="151">
      <c r="A23" s="15">
        <f>IF(B23&lt;&gt;"", COUNTA($B$2:B23), "")</f>
        <v/>
      </c>
      <c r="B23" s="76" t="inlineStr">
        <is>
          <t>Корректор объёма газа</t>
        </is>
      </c>
      <c r="C23" s="14" t="inlineStr">
        <is>
          <t>ЕК270</t>
        </is>
      </c>
      <c r="D23" s="29" t="inlineStr">
        <is>
          <t>1118470050</t>
        </is>
      </c>
      <c r="E23" s="70" t="n">
        <v>2018</v>
      </c>
      <c r="F23" s="32" t="n"/>
      <c r="G23" s="71" t="n"/>
      <c r="H23" s="15" t="inlineStr">
        <is>
          <t>Коммерческий учет газа</t>
        </is>
      </c>
      <c r="I23" s="15" t="inlineStr">
        <is>
          <t>УТО</t>
        </is>
      </c>
      <c r="J23" s="15" t="inlineStr">
        <is>
          <t>АСУ,А и ТМ (КЦ № 7)</t>
        </is>
      </c>
      <c r="K23" s="15" t="n"/>
      <c r="L23" s="15" t="n">
        <v>60</v>
      </c>
      <c r="M23" s="3" t="n"/>
      <c r="N23" s="70" t="n"/>
      <c r="O23" s="72" t="n"/>
    </row>
    <row r="24" ht="22.5" customHeight="1" s="151">
      <c r="A24" s="15">
        <f>IF(B24&lt;&gt;"", COUNTA($B$2:B24), "")</f>
        <v/>
      </c>
      <c r="B24" s="280" t="inlineStr">
        <is>
          <t>Комплекс для измерения количества газа</t>
        </is>
      </c>
      <c r="C24" s="14" t="inlineStr">
        <is>
          <t>СГ-ЭК-Вз-Р-02-65/1.6</t>
        </is>
      </c>
      <c r="D24" s="29" t="inlineStr">
        <is>
          <t>1518470029</t>
        </is>
      </c>
      <c r="E24" s="70" t="n">
        <v>2018</v>
      </c>
      <c r="F24" s="32" t="n"/>
      <c r="G24" s="71" t="n"/>
      <c r="H24" s="15" t="inlineStr">
        <is>
          <t>Коммерческий учет газа</t>
        </is>
      </c>
      <c r="I24" s="15" t="inlineStr">
        <is>
          <t>УТО</t>
        </is>
      </c>
      <c r="J24" s="15" t="inlineStr">
        <is>
          <t>АСУ,А и ТМ (КЦ № 7)</t>
        </is>
      </c>
      <c r="K24" s="15" t="n"/>
      <c r="L24" s="15" t="n">
        <v>60</v>
      </c>
      <c r="M24" s="3" t="n"/>
      <c r="N24" s="70" t="n"/>
      <c r="O24" s="72" t="n"/>
    </row>
    <row r="25" ht="22.5" customHeight="1" s="151">
      <c r="A25" s="15">
        <f>IF(B25&lt;&gt;"", COUNTA($B$2:B25), "")</f>
        <v/>
      </c>
      <c r="B25" s="280" t="inlineStr">
        <is>
          <t>Счётчик газа</t>
        </is>
      </c>
      <c r="C25" s="14" t="inlineStr">
        <is>
          <t>RABO G40</t>
        </is>
      </c>
      <c r="D25" s="29" t="inlineStr">
        <is>
          <t>1418470036</t>
        </is>
      </c>
      <c r="E25" s="70" t="n">
        <v>2018</v>
      </c>
      <c r="F25" s="32" t="inlineStr">
        <is>
          <t>1…65 м3/ч</t>
        </is>
      </c>
      <c r="G25" s="71" t="n"/>
      <c r="H25" s="15" t="inlineStr">
        <is>
          <t>Коммерческий учет газа</t>
        </is>
      </c>
      <c r="I25" s="15" t="inlineStr">
        <is>
          <t>УТО</t>
        </is>
      </c>
      <c r="J25" s="15" t="inlineStr">
        <is>
          <t>АСУ,А и ТМ (КЦ № 7)</t>
        </is>
      </c>
      <c r="K25" s="15" t="n"/>
      <c r="L25" s="15" t="n">
        <v>60</v>
      </c>
      <c r="M25" s="3" t="n"/>
      <c r="N25" s="70" t="n"/>
      <c r="O25" s="72" t="n"/>
    </row>
    <row r="26" ht="22.5" customHeight="1" s="151">
      <c r="A26" s="15">
        <f>IF(B26&lt;&gt;"", COUNTA($B$2:B26), "")</f>
        <v/>
      </c>
      <c r="B26" s="280" t="inlineStr">
        <is>
          <t>Извещатель пожарный тепловой</t>
        </is>
      </c>
      <c r="C26" s="14" t="inlineStr">
        <is>
          <t>ИП103-1В-С-А</t>
        </is>
      </c>
      <c r="D26" s="29" t="inlineStr">
        <is>
          <t>833</t>
        </is>
      </c>
      <c r="E26" s="70" t="n">
        <v>2019</v>
      </c>
      <c r="F26" s="32" t="n"/>
      <c r="G26" s="71" t="n"/>
      <c r="H26" s="15" t="n"/>
      <c r="I26" s="15" t="inlineStr">
        <is>
          <t>УТО</t>
        </is>
      </c>
      <c r="J26" s="15" t="inlineStr">
        <is>
          <t>АСУ,А и ТМ (КЦ № 7)</t>
        </is>
      </c>
      <c r="K26" s="15" t="n"/>
      <c r="L26" s="15" t="n">
        <v>60</v>
      </c>
      <c r="M26" s="3" t="n"/>
      <c r="N26" s="70" t="n"/>
      <c r="O26" s="72" t="inlineStr">
        <is>
          <t>Не является СИ</t>
        </is>
      </c>
    </row>
    <row r="27" ht="22.5" customHeight="1" s="151">
      <c r="A27" s="15">
        <f>IF(B27&lt;&gt;"", COUNTA($B$2:B27), "")</f>
        <v/>
      </c>
      <c r="B27" s="280" t="inlineStr">
        <is>
          <t>Извещатель пожарный тепловой</t>
        </is>
      </c>
      <c r="C27" s="14" t="inlineStr">
        <is>
          <t>ИП103-1В-С-А</t>
        </is>
      </c>
      <c r="D27" s="29" t="inlineStr">
        <is>
          <t>827</t>
        </is>
      </c>
      <c r="E27" s="70" t="n">
        <v>2019</v>
      </c>
      <c r="F27" s="32" t="n"/>
      <c r="G27" s="71" t="n"/>
      <c r="H27" s="15" t="n"/>
      <c r="I27" s="15" t="inlineStr">
        <is>
          <t>УТО</t>
        </is>
      </c>
      <c r="J27" s="15" t="inlineStr">
        <is>
          <t>АСУ,А и ТМ (КЦ № 7)</t>
        </is>
      </c>
      <c r="K27" s="15" t="n"/>
      <c r="L27" s="15" t="n">
        <v>60</v>
      </c>
      <c r="M27" s="3" t="n"/>
      <c r="N27" s="70" t="n"/>
      <c r="O27" s="72" t="inlineStr">
        <is>
          <t>Не является СИ</t>
        </is>
      </c>
    </row>
    <row r="28" ht="22.5" customHeight="1" s="151">
      <c r="A28" s="15">
        <f>IF(B28&lt;&gt;"", COUNTA($B$2:B28), "")</f>
        <v/>
      </c>
      <c r="B28" s="280" t="inlineStr">
        <is>
          <t>Регулятор температуры</t>
        </is>
      </c>
      <c r="C28" s="14" t="inlineStr">
        <is>
          <t>УВТР-10А.4(РТ)</t>
        </is>
      </c>
      <c r="D28" s="29" t="inlineStr">
        <is>
          <t>7038</t>
        </is>
      </c>
      <c r="E28" s="70" t="n">
        <v>2018</v>
      </c>
      <c r="F28" s="17" t="inlineStr">
        <is>
          <t>-50..+60 °С</t>
        </is>
      </c>
      <c r="G28" s="71" t="n"/>
      <c r="H28" s="15" t="n"/>
      <c r="I28" s="15" t="inlineStr">
        <is>
          <t>УТО</t>
        </is>
      </c>
      <c r="J28" s="15" t="inlineStr">
        <is>
          <t>АСУ,А и ТМ (КЦ № 7)</t>
        </is>
      </c>
      <c r="K28" s="15" t="n"/>
      <c r="L28" s="15" t="n">
        <v>60</v>
      </c>
      <c r="M28" s="3" t="n"/>
      <c r="N28" s="70" t="n"/>
      <c r="O28" s="72" t="inlineStr">
        <is>
          <t>Не является СИ</t>
        </is>
      </c>
    </row>
    <row r="29" ht="22.5" customHeight="1" s="151">
      <c r="A29" s="15">
        <f>IF(B29&lt;&gt;"", COUNTA($B$2:B29), "")</f>
        <v/>
      </c>
      <c r="B29" s="280" t="inlineStr">
        <is>
          <t>Термометр биметаллический</t>
        </is>
      </c>
      <c r="C29" s="26" t="inlineStr">
        <is>
          <t>ТБ2</t>
        </is>
      </c>
      <c r="D29" s="29" t="inlineStr">
        <is>
          <t>4122</t>
        </is>
      </c>
      <c r="E29" s="70" t="n"/>
      <c r="F29" s="17" t="inlineStr">
        <is>
          <t>-50..+50 °С</t>
        </is>
      </c>
      <c r="G29" s="71" t="n"/>
      <c r="H29" s="15" t="inlineStr">
        <is>
          <t>Т жидких отходов</t>
        </is>
      </c>
      <c r="I29" s="15" t="inlineStr">
        <is>
          <t>УТО</t>
        </is>
      </c>
      <c r="J29" s="15" t="inlineStr">
        <is>
          <t>АСУ,А и ТМ (КЦ № 7)</t>
        </is>
      </c>
      <c r="K29" s="15" t="n"/>
      <c r="L29" s="15" t="n">
        <v>24</v>
      </c>
      <c r="M29" s="3" t="inlineStr">
        <is>
          <t>2к26</t>
        </is>
      </c>
      <c r="N29" s="70" t="inlineStr">
        <is>
          <t>К</t>
        </is>
      </c>
      <c r="O29" s="86" t="n"/>
    </row>
    <row r="30" ht="22.5" customHeight="1" s="151">
      <c r="A30" s="15">
        <f>IF(B30&lt;&gt;"", COUNTA($B$2:B30), "")</f>
        <v/>
      </c>
      <c r="B30" s="280" t="inlineStr">
        <is>
          <t>Термометр сопротивления</t>
        </is>
      </c>
      <c r="C30" s="26" t="inlineStr">
        <is>
          <t>Метран 2700</t>
        </is>
      </c>
      <c r="D30" s="29" t="inlineStr">
        <is>
          <t>2471845</t>
        </is>
      </c>
      <c r="E30" s="70" t="n"/>
      <c r="F30" s="17" t="inlineStr">
        <is>
          <t>0..+100 °С</t>
        </is>
      </c>
      <c r="G30" s="71" t="n"/>
      <c r="H30" s="15" t="inlineStr">
        <is>
          <t>Т жидких отходов</t>
        </is>
      </c>
      <c r="I30" s="15" t="inlineStr">
        <is>
          <t>УТО</t>
        </is>
      </c>
      <c r="J30" s="15" t="inlineStr">
        <is>
          <t>АСУ,А и ТМ (КЦ № 7)</t>
        </is>
      </c>
      <c r="K30" s="15" t="n"/>
      <c r="L30" s="15" t="n">
        <v>60</v>
      </c>
      <c r="M30" s="3" t="n"/>
      <c r="N30" s="70" t="n"/>
      <c r="O30" s="86" t="n"/>
    </row>
    <row r="31" ht="22.5" customHeight="1" s="151">
      <c r="A31" s="15">
        <f>IF(B31&lt;&gt;"", COUNTA($B$2:B31), "")</f>
        <v/>
      </c>
      <c r="B31" s="280" t="inlineStr">
        <is>
          <t>Манометр технический</t>
        </is>
      </c>
      <c r="C31" s="26" t="inlineStr">
        <is>
          <t>МП3-УУ2</t>
        </is>
      </c>
      <c r="D31" s="29" t="inlineStr">
        <is>
          <t>700233</t>
        </is>
      </c>
      <c r="E31" s="70" t="n"/>
      <c r="F31" s="70" t="inlineStr">
        <is>
          <t>0..0,6 кгс/см2</t>
        </is>
      </c>
      <c r="G31" s="17" t="inlineStr">
        <is>
          <t>1,5</t>
        </is>
      </c>
      <c r="H31" s="15" t="inlineStr">
        <is>
          <t>Рг перед горелкой 1</t>
        </is>
      </c>
      <c r="I31" s="15" t="inlineStr">
        <is>
          <t>УТО</t>
        </is>
      </c>
      <c r="J31" s="15" t="inlineStr">
        <is>
          <t>АСУ,А и ТМ (КЦ № 7)</t>
        </is>
      </c>
      <c r="K31" s="15" t="n"/>
      <c r="L31" s="15" t="n">
        <v>12</v>
      </c>
      <c r="M31" s="3" t="inlineStr">
        <is>
          <t>2К26</t>
        </is>
      </c>
      <c r="N31" s="70" t="inlineStr">
        <is>
          <t>К</t>
        </is>
      </c>
      <c r="O31" s="86" t="n"/>
    </row>
    <row r="32" ht="22.5" customHeight="1" s="151">
      <c r="A32" s="15">
        <f>IF(B32&lt;&gt;"", COUNTA($B$2:B32), "")</f>
        <v/>
      </c>
      <c r="B32" s="280" t="inlineStr">
        <is>
          <t>Манометр технический</t>
        </is>
      </c>
      <c r="C32" s="26" t="inlineStr">
        <is>
          <t>МП3-УУ2</t>
        </is>
      </c>
      <c r="D32" s="29" t="inlineStr">
        <is>
          <t>700231</t>
        </is>
      </c>
      <c r="E32" s="70" t="n"/>
      <c r="F32" s="70" t="inlineStr">
        <is>
          <t>0..0,6 кгс/см2</t>
        </is>
      </c>
      <c r="G32" s="17" t="inlineStr">
        <is>
          <t>1,5</t>
        </is>
      </c>
      <c r="H32" s="15" t="inlineStr">
        <is>
          <t>Рг перед горелкой 2</t>
        </is>
      </c>
      <c r="I32" s="15" t="inlineStr">
        <is>
          <t>УТО</t>
        </is>
      </c>
      <c r="J32" s="15" t="inlineStr">
        <is>
          <t>АСУ,А и ТМ (КЦ № 7)</t>
        </is>
      </c>
      <c r="K32" s="15" t="n"/>
      <c r="L32" s="15" t="n">
        <v>12</v>
      </c>
      <c r="M32" s="3" t="inlineStr">
        <is>
          <t>2К26</t>
        </is>
      </c>
      <c r="N32" s="70" t="inlineStr">
        <is>
          <t>К</t>
        </is>
      </c>
      <c r="O32" s="72" t="n"/>
    </row>
    <row r="33" ht="22.5" customHeight="1" s="151">
      <c r="A33" s="15">
        <f>IF(B33&lt;&gt;"", COUNTA($B$2:B33), "")</f>
        <v/>
      </c>
      <c r="B33" s="280" t="inlineStr">
        <is>
          <t>Манометр технический</t>
        </is>
      </c>
      <c r="C33" s="26" t="inlineStr">
        <is>
          <t>МП3-УУХЛ1</t>
        </is>
      </c>
      <c r="D33" s="29" t="inlineStr">
        <is>
          <t>15668</t>
        </is>
      </c>
      <c r="E33" s="70" t="n"/>
      <c r="F33" s="70" t="inlineStr">
        <is>
          <t>0..0,6 кгс/см2</t>
        </is>
      </c>
      <c r="G33" s="17" t="inlineStr">
        <is>
          <t>1,5</t>
        </is>
      </c>
      <c r="H33" s="15" t="inlineStr">
        <is>
          <t>Рг на входе    ГРПШ</t>
        </is>
      </c>
      <c r="I33" s="15" t="inlineStr">
        <is>
          <t>УТО</t>
        </is>
      </c>
      <c r="J33" s="15" t="inlineStr">
        <is>
          <t>АСУ,А и ТМ (КЦ № 7)</t>
        </is>
      </c>
      <c r="K33" s="15" t="n"/>
      <c r="L33" s="15" t="n">
        <v>12</v>
      </c>
      <c r="M33" s="3" t="inlineStr">
        <is>
          <t>2К26</t>
        </is>
      </c>
      <c r="N33" s="70" t="inlineStr">
        <is>
          <t>К</t>
        </is>
      </c>
      <c r="O33" s="72" t="n"/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Лист27">
    <outlinePr summaryBelow="1" summaryRight="1"/>
    <pageSetUpPr fitToPage="1"/>
  </sheetPr>
  <dimension ref="A1:O64"/>
  <sheetViews>
    <sheetView zoomScale="110" zoomScaleNormal="110" workbookViewId="0">
      <pane ySplit="1" topLeftCell="A17" activePane="bottomLeft" state="frozen"/>
      <selection pane="bottomLeft" activeCell="N16" sqref="N16"/>
    </sheetView>
  </sheetViews>
  <sheetFormatPr baseColWidth="8" defaultRowHeight="11.25"/>
  <cols>
    <col width="3.140625" bestFit="1" customWidth="1" style="108" min="1" max="1"/>
    <col width="22.140625" bestFit="1" customWidth="1" style="108" min="2" max="2"/>
    <col width="11.5703125" customWidth="1" style="108" min="3" max="3"/>
    <col width="13.5703125" bestFit="1" customWidth="1" style="108" min="4" max="4"/>
    <col width="6.5703125" bestFit="1" customWidth="1" style="108" min="5" max="5"/>
    <col width="15.5703125" bestFit="1" customWidth="1" style="108" min="6" max="6"/>
    <col width="7.42578125" bestFit="1" customWidth="1" style="108" min="7" max="7"/>
    <col width="16.42578125" bestFit="1" customWidth="1" style="108" min="8" max="8"/>
    <col width="13.5703125" bestFit="1" customWidth="1" style="108" min="9" max="9"/>
    <col width="11.140625" bestFit="1" customWidth="1" style="108" min="10" max="10"/>
    <col width="8" bestFit="1" customWidth="1" style="108" min="11" max="11"/>
    <col width="9.85546875" bestFit="1" customWidth="1" style="108" min="12" max="12"/>
    <col width="8.85546875" bestFit="1" customWidth="1" style="108" min="13" max="13"/>
    <col width="9.85546875" bestFit="1" customWidth="1" style="108" min="14" max="14"/>
    <col width="13" customWidth="1" style="108" min="15" max="15"/>
    <col width="9.140625" customWidth="1" style="108" min="16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
номер</t>
        </is>
      </c>
      <c r="E1" s="3" t="inlineStr">
        <is>
          <t>Год 
выпуска</t>
        </is>
      </c>
      <c r="F1" s="15" t="inlineStr">
        <is>
          <t>Диапазон 
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  <c r="O1" s="135" t="n"/>
    </row>
    <row r="2" ht="22.5" customHeight="1" s="151">
      <c r="A2" s="15">
        <f>IF(B2&lt;&gt;"", COUNTA($B$2:B2), "")</f>
        <v/>
      </c>
      <c r="B2" s="76" t="inlineStr">
        <is>
          <t>Электроконтактный манометр</t>
        </is>
      </c>
      <c r="C2" s="17" t="inlineStr">
        <is>
          <t>ДМ2005СгУ2</t>
        </is>
      </c>
      <c r="D2" s="3" t="inlineStr">
        <is>
          <t>700054</t>
        </is>
      </c>
      <c r="E2" s="14" t="n"/>
      <c r="F2" s="32" t="inlineStr">
        <is>
          <t>0..4 кгс/см²</t>
        </is>
      </c>
      <c r="G2" s="17" t="inlineStr">
        <is>
          <t>1,5</t>
        </is>
      </c>
      <c r="H2" s="17" t="inlineStr">
        <is>
          <t>Р на входе в отсек теплоносителя</t>
        </is>
      </c>
      <c r="I2" s="15" t="inlineStr">
        <is>
          <t>Отсек теплоносителя</t>
        </is>
      </c>
      <c r="J2" s="15" t="inlineStr">
        <is>
          <t>АСУ,А и ТМ (КЦ № 7)</t>
        </is>
      </c>
      <c r="K2" s="15" t="n"/>
      <c r="L2" s="14" t="n">
        <v>12</v>
      </c>
      <c r="M2" s="3" t="inlineStr">
        <is>
          <t>3к26</t>
        </is>
      </c>
      <c r="N2" s="70" t="inlineStr">
        <is>
          <t>К</t>
        </is>
      </c>
      <c r="O2" s="135" t="n"/>
    </row>
    <row r="3" ht="22.5" customHeight="1" s="151">
      <c r="A3" s="15">
        <f>IF(B3&lt;&gt;"", COUNTA($B$2:B3), "")</f>
        <v/>
      </c>
      <c r="B3" s="76" t="inlineStr">
        <is>
          <t>Термометр биметаллический</t>
        </is>
      </c>
      <c r="C3" s="17" t="inlineStr">
        <is>
          <t>ТБ-2Р УХЛ2</t>
        </is>
      </c>
      <c r="D3" s="3" t="inlineStr">
        <is>
          <t>3567</t>
        </is>
      </c>
      <c r="E3" s="14" t="n"/>
      <c r="F3" s="17" t="inlineStr">
        <is>
          <t>0..+150 °С</t>
        </is>
      </c>
      <c r="G3" s="17" t="inlineStr">
        <is>
          <t>1</t>
        </is>
      </c>
      <c r="H3" s="17" t="inlineStr">
        <is>
          <t>Т на входе в отсек теплоносителя</t>
        </is>
      </c>
      <c r="I3" s="15" t="inlineStr">
        <is>
          <t>Отсек теплоносителя</t>
        </is>
      </c>
      <c r="J3" s="15" t="inlineStr">
        <is>
          <t>АСУ,А и ТМ (КЦ № 7)</t>
        </is>
      </c>
      <c r="K3" s="15" t="n"/>
      <c r="L3" s="14" t="n">
        <v>24</v>
      </c>
      <c r="M3" s="3" t="inlineStr">
        <is>
          <t>25ДЯУ</t>
        </is>
      </c>
      <c r="N3" s="70" t="inlineStr">
        <is>
          <t>П</t>
        </is>
      </c>
      <c r="O3" s="135" t="n"/>
    </row>
    <row r="4" ht="22.5" customHeight="1" s="151">
      <c r="A4" s="15">
        <f>IF(B4&lt;&gt;"", COUNTA($B$2:B4), "")</f>
        <v/>
      </c>
      <c r="B4" s="76" t="inlineStr">
        <is>
          <t>Манометр технический</t>
        </is>
      </c>
      <c r="C4" s="17" t="inlineStr">
        <is>
          <t>МП4-УУ2</t>
        </is>
      </c>
      <c r="D4" s="3" t="inlineStr">
        <is>
          <t>700043</t>
        </is>
      </c>
      <c r="E4" s="14" t="n"/>
      <c r="F4" s="14" t="inlineStr">
        <is>
          <t>0..600 кПa</t>
        </is>
      </c>
      <c r="G4" s="17" t="inlineStr">
        <is>
          <t>1,5</t>
        </is>
      </c>
      <c r="H4" s="17" t="inlineStr">
        <is>
          <t>Ртн на выходе котла №1</t>
        </is>
      </c>
      <c r="I4" s="15" t="inlineStr">
        <is>
          <t>Отсек теплоносителя</t>
        </is>
      </c>
      <c r="J4" s="15" t="inlineStr">
        <is>
          <t>АСУ,А и ТМ (КЦ № 7)</t>
        </is>
      </c>
      <c r="K4" s="15" t="n"/>
      <c r="L4" s="14" t="n">
        <v>12</v>
      </c>
      <c r="M4" s="22" t="inlineStr">
        <is>
          <t>26ДЯУ</t>
        </is>
      </c>
      <c r="N4" s="70" t="inlineStr">
        <is>
          <t>П</t>
        </is>
      </c>
      <c r="O4" s="135" t="n"/>
    </row>
    <row r="5" ht="22.5" customHeight="1" s="151">
      <c r="A5" s="15">
        <f>IF(B5&lt;&gt;"", COUNTA($B$2:B5), "")</f>
        <v/>
      </c>
      <c r="B5" s="76" t="inlineStr">
        <is>
          <t>Термометр биметаллический</t>
        </is>
      </c>
      <c r="C5" s="15" t="inlineStr">
        <is>
          <t>Росма БТ3</t>
        </is>
      </c>
      <c r="D5" s="3" t="inlineStr">
        <is>
          <t>отсутствует</t>
        </is>
      </c>
      <c r="E5" s="14" t="n"/>
      <c r="F5" s="17" t="inlineStr">
        <is>
          <t>0..+350 °С</t>
        </is>
      </c>
      <c r="G5" s="17" t="inlineStr">
        <is>
          <t>2,5</t>
        </is>
      </c>
      <c r="H5" s="15" t="inlineStr">
        <is>
          <t>Т дымовых гвзов котла №2</t>
        </is>
      </c>
      <c r="I5" s="15" t="inlineStr">
        <is>
          <t>Отсек теплоносителя</t>
        </is>
      </c>
      <c r="J5" s="15" t="inlineStr">
        <is>
          <t>АСУ,А и ТМ (КЦ № 7)</t>
        </is>
      </c>
      <c r="K5" s="15" t="n"/>
      <c r="L5" s="14" t="n"/>
      <c r="M5" s="3" t="n"/>
      <c r="N5" s="70" t="n"/>
      <c r="O5" s="135" t="n"/>
    </row>
    <row r="6" ht="22.5" customHeight="1" s="151">
      <c r="A6" s="15">
        <f>IF(B6&lt;&gt;"", COUNTA($B$2:B6), "")</f>
        <v/>
      </c>
      <c r="B6" s="76" t="inlineStr">
        <is>
          <t>Термометр биметаллический</t>
        </is>
      </c>
      <c r="C6" s="17" t="inlineStr">
        <is>
          <t>ТБ-2Р УХЛ2</t>
        </is>
      </c>
      <c r="D6" s="3" t="inlineStr">
        <is>
          <t>9693</t>
        </is>
      </c>
      <c r="E6" s="14" t="n"/>
      <c r="F6" s="17" t="inlineStr">
        <is>
          <t>0..+150 °С</t>
        </is>
      </c>
      <c r="G6" s="17" t="inlineStr">
        <is>
          <t>1</t>
        </is>
      </c>
      <c r="H6" s="17" t="inlineStr">
        <is>
          <t>Ттн на выходе котла №1</t>
        </is>
      </c>
      <c r="I6" s="15" t="inlineStr">
        <is>
          <t>Отсек теплоносителя</t>
        </is>
      </c>
      <c r="J6" s="15" t="inlineStr">
        <is>
          <t>АСУ,А и ТМ (КЦ № 7)</t>
        </is>
      </c>
      <c r="K6" s="15" t="n"/>
      <c r="L6" s="14" t="n">
        <v>24</v>
      </c>
      <c r="M6" s="3" t="inlineStr">
        <is>
          <t>3к25</t>
        </is>
      </c>
      <c r="N6" s="70" t="inlineStr">
        <is>
          <t>П</t>
        </is>
      </c>
      <c r="O6" s="135" t="n"/>
    </row>
    <row r="7" ht="22.5" customHeight="1" s="151">
      <c r="A7" s="15">
        <f>IF(B7&lt;&gt;"", COUNTA($B$2:B7), "")</f>
        <v/>
      </c>
      <c r="B7" s="76" t="inlineStr">
        <is>
          <t>Термометр биметаллический</t>
        </is>
      </c>
      <c r="C7" s="15" t="inlineStr">
        <is>
          <t>Росма БТ3</t>
        </is>
      </c>
      <c r="D7" s="15" t="n">
        <v>700056</v>
      </c>
      <c r="E7" s="14" t="n"/>
      <c r="F7" s="17" t="inlineStr">
        <is>
          <t>0..+350 °С</t>
        </is>
      </c>
      <c r="G7" s="17" t="inlineStr">
        <is>
          <t>2,5</t>
        </is>
      </c>
      <c r="H7" s="15" t="inlineStr">
        <is>
          <t>Т дымовых гвзов котла №1</t>
        </is>
      </c>
      <c r="I7" s="15" t="inlineStr">
        <is>
          <t>Отсек теплоносителя</t>
        </is>
      </c>
      <c r="J7" s="15" t="inlineStr">
        <is>
          <t>АСУ,А и ТМ (КЦ № 7)</t>
        </is>
      </c>
      <c r="K7" s="15" t="n"/>
      <c r="L7" s="14" t="n">
        <v>24</v>
      </c>
      <c r="M7" s="3" t="inlineStr">
        <is>
          <t>3к25</t>
        </is>
      </c>
      <c r="N7" s="70" t="inlineStr">
        <is>
          <t>П</t>
        </is>
      </c>
      <c r="O7" s="135" t="n"/>
    </row>
    <row r="8" ht="22.5" customHeight="1" s="151">
      <c r="A8" s="15">
        <f>IF(B8&lt;&gt;"", COUNTA($B$2:B8), "")</f>
        <v/>
      </c>
      <c r="B8" s="73" t="inlineStr">
        <is>
          <t>Манометр технический</t>
        </is>
      </c>
      <c r="C8" s="15" t="inlineStr">
        <is>
          <t>Росма          КМ2</t>
        </is>
      </c>
      <c r="D8" s="15" t="n">
        <v>15431</v>
      </c>
      <c r="E8" s="14" t="n"/>
      <c r="F8" s="14" t="inlineStr">
        <is>
          <t>0..25 кПa</t>
        </is>
      </c>
      <c r="G8" s="17" t="inlineStr">
        <is>
          <t>1,5</t>
        </is>
      </c>
      <c r="H8" s="15" t="inlineStr">
        <is>
          <t>Рг  перед котлом №1</t>
        </is>
      </c>
      <c r="I8" s="15" t="inlineStr">
        <is>
          <t>Отсек теплоносителя</t>
        </is>
      </c>
      <c r="J8" s="15" t="inlineStr">
        <is>
          <t>АСУ,А и ТМ (КЦ № 7)</t>
        </is>
      </c>
      <c r="K8" s="15" t="n"/>
      <c r="L8" s="14" t="n">
        <v>12</v>
      </c>
      <c r="M8" s="22" t="inlineStr">
        <is>
          <t>26ДЯУ</t>
        </is>
      </c>
      <c r="N8" s="70" t="inlineStr">
        <is>
          <t>П</t>
        </is>
      </c>
      <c r="O8" s="135" t="n"/>
    </row>
    <row r="9" ht="22.5" customHeight="1" s="151">
      <c r="A9" s="15">
        <f>IF(B9&lt;&gt;"", COUNTA($B$2:B9), "")</f>
        <v/>
      </c>
      <c r="B9" s="73" t="inlineStr">
        <is>
          <t>Манометр технический</t>
        </is>
      </c>
      <c r="C9" s="17" t="inlineStr">
        <is>
          <t>МП4-УУ2</t>
        </is>
      </c>
      <c r="D9" s="3" t="inlineStr">
        <is>
          <t>700044</t>
        </is>
      </c>
      <c r="E9" s="14" t="n"/>
      <c r="F9" s="14" t="inlineStr">
        <is>
          <t>0..600 кПa</t>
        </is>
      </c>
      <c r="G9" s="17" t="inlineStr">
        <is>
          <t>1,5</t>
        </is>
      </c>
      <c r="H9" s="15" t="inlineStr">
        <is>
          <t>Ртн на выходе котла №2</t>
        </is>
      </c>
      <c r="I9" s="15" t="inlineStr">
        <is>
          <t>Отсек теплоносителя</t>
        </is>
      </c>
      <c r="J9" s="15" t="inlineStr">
        <is>
          <t>АСУ,А и ТМ (КЦ № 7)</t>
        </is>
      </c>
      <c r="K9" s="15" t="n"/>
      <c r="L9" s="14" t="n">
        <v>12</v>
      </c>
      <c r="M9" s="22" t="inlineStr">
        <is>
          <t>26ДЯУ</t>
        </is>
      </c>
      <c r="N9" s="70" t="inlineStr">
        <is>
          <t>П</t>
        </is>
      </c>
      <c r="O9" s="135" t="n"/>
    </row>
    <row r="10" ht="22.5" customHeight="1" s="151">
      <c r="A10" s="15">
        <f>IF(B10&lt;&gt;"", COUNTA($B$2:B10), "")</f>
        <v/>
      </c>
      <c r="B10" s="76" t="inlineStr">
        <is>
          <t>Термометр биметаллический</t>
        </is>
      </c>
      <c r="C10" s="17" t="inlineStr">
        <is>
          <t>ТБ-2Р УХЛ2</t>
        </is>
      </c>
      <c r="D10" s="15" t="n">
        <v>9123</v>
      </c>
      <c r="E10" s="14" t="n"/>
      <c r="F10" s="17" t="inlineStr">
        <is>
          <t>0..+150 °С</t>
        </is>
      </c>
      <c r="G10" s="17" t="inlineStr">
        <is>
          <t>1</t>
        </is>
      </c>
      <c r="H10" s="15" t="inlineStr">
        <is>
          <t>Ттн на выходе котла №2</t>
        </is>
      </c>
      <c r="I10" s="15" t="inlineStr">
        <is>
          <t>Отсек теплоносителя</t>
        </is>
      </c>
      <c r="J10" s="15" t="inlineStr">
        <is>
          <t>АСУ,А и ТМ (КЦ № 7)</t>
        </is>
      </c>
      <c r="K10" s="15" t="n"/>
      <c r="L10" s="14" t="n">
        <v>24</v>
      </c>
      <c r="M10" s="3" t="inlineStr">
        <is>
          <t>3к25</t>
        </is>
      </c>
      <c r="N10" s="70" t="inlineStr">
        <is>
          <t>П</t>
        </is>
      </c>
      <c r="O10" s="135" t="n"/>
    </row>
    <row r="11" ht="22.5" customHeight="1" s="151">
      <c r="A11" s="15">
        <f>IF(B11&lt;&gt;"", COUNTA($B$2:B11), "")</f>
        <v/>
      </c>
      <c r="B11" s="73" t="inlineStr">
        <is>
          <t>Манометр технический</t>
        </is>
      </c>
      <c r="C11" s="15" t="inlineStr">
        <is>
          <t>Росма          КМ2</t>
        </is>
      </c>
      <c r="D11" s="15" t="n">
        <v>50256</v>
      </c>
      <c r="E11" s="14" t="n"/>
      <c r="F11" s="14" t="inlineStr">
        <is>
          <t>0..25 кПa</t>
        </is>
      </c>
      <c r="G11" s="17" t="inlineStr">
        <is>
          <t>1,5</t>
        </is>
      </c>
      <c r="H11" s="15" t="inlineStr">
        <is>
          <t>Рг  перед котлом №2</t>
        </is>
      </c>
      <c r="I11" s="15" t="inlineStr">
        <is>
          <t>Отсек теплоносителя</t>
        </is>
      </c>
      <c r="J11" s="15" t="inlineStr">
        <is>
          <t>АСУ,А и ТМ (КЦ № 7)</t>
        </is>
      </c>
      <c r="K11" s="15" t="n"/>
      <c r="L11" s="14" t="n">
        <v>12</v>
      </c>
      <c r="M11" s="22" t="inlineStr">
        <is>
          <t>26ДЯУ</t>
        </is>
      </c>
      <c r="N11" s="70" t="inlineStr">
        <is>
          <t>П</t>
        </is>
      </c>
      <c r="O11" s="135" t="n"/>
    </row>
    <row r="12" ht="22.5" customHeight="1" s="151">
      <c r="A12" s="15">
        <f>IF(B12&lt;&gt;"", COUNTA($B$2:B12), "")</f>
        <v/>
      </c>
      <c r="B12" s="73" t="inlineStr">
        <is>
          <t>Манометр технический</t>
        </is>
      </c>
      <c r="C12" s="17" t="inlineStr">
        <is>
          <t>МП4-УУ2</t>
        </is>
      </c>
      <c r="D12" s="3" t="inlineStr">
        <is>
          <t>051750</t>
        </is>
      </c>
      <c r="E12" s="14" t="n"/>
      <c r="F12" s="14" t="inlineStr">
        <is>
          <t>0..600 кПa</t>
        </is>
      </c>
      <c r="G12" s="17" t="inlineStr">
        <is>
          <t>1,5</t>
        </is>
      </c>
      <c r="H12" s="15" t="inlineStr">
        <is>
          <t>Ртн перед насосом #1</t>
        </is>
      </c>
      <c r="I12" s="15" t="inlineStr">
        <is>
          <t>Отсек теплоносителя</t>
        </is>
      </c>
      <c r="J12" s="15" t="inlineStr">
        <is>
          <t>АСУ,А и ТМ (КЦ № 7)</t>
        </is>
      </c>
      <c r="K12" s="15" t="n"/>
      <c r="L12" s="14" t="n">
        <v>12</v>
      </c>
      <c r="M12" s="22" t="inlineStr">
        <is>
          <t>26ДЯУ</t>
        </is>
      </c>
      <c r="N12" s="70" t="inlineStr">
        <is>
          <t>П</t>
        </is>
      </c>
      <c r="O12" s="135" t="n"/>
    </row>
    <row r="13" ht="22.5" customHeight="1" s="151">
      <c r="A13" s="15">
        <f>IF(B13&lt;&gt;"", COUNTA($B$2:B13), "")</f>
        <v/>
      </c>
      <c r="B13" s="73" t="inlineStr">
        <is>
          <t>Манометр технический</t>
        </is>
      </c>
      <c r="C13" s="17" t="inlineStr">
        <is>
          <t>МП4-УУ2</t>
        </is>
      </c>
      <c r="D13" s="15" t="n">
        <v>80537</v>
      </c>
      <c r="E13" s="14" t="n"/>
      <c r="F13" s="14" t="inlineStr">
        <is>
          <t>0..600 кПa</t>
        </is>
      </c>
      <c r="G13" s="17" t="inlineStr">
        <is>
          <t>1,5</t>
        </is>
      </c>
      <c r="H13" s="15" t="inlineStr">
        <is>
          <t>Ртн после насоса №1</t>
        </is>
      </c>
      <c r="I13" s="15" t="inlineStr">
        <is>
          <t>Отсек теплоносителя</t>
        </is>
      </c>
      <c r="J13" s="15" t="inlineStr">
        <is>
          <t>АСУ,А и ТМ (КЦ № 7)</t>
        </is>
      </c>
      <c r="K13" s="15" t="n"/>
      <c r="L13" s="14" t="n">
        <v>12</v>
      </c>
      <c r="M13" s="22" t="inlineStr">
        <is>
          <t>26ДЯУ</t>
        </is>
      </c>
      <c r="N13" s="70" t="inlineStr">
        <is>
          <t>П</t>
        </is>
      </c>
      <c r="O13" s="135" t="n"/>
    </row>
    <row r="14" ht="22.5" customHeight="1" s="151">
      <c r="A14" s="15">
        <f>IF(B14&lt;&gt;"", COUNTA($B$2:B14), "")</f>
        <v/>
      </c>
      <c r="B14" s="76" t="inlineStr">
        <is>
          <t>Термометр биметаллический</t>
        </is>
      </c>
      <c r="C14" s="17" t="inlineStr">
        <is>
          <t>ТБ-2Р УХЛ2</t>
        </is>
      </c>
      <c r="D14" s="15" t="n">
        <v>9764</v>
      </c>
      <c r="E14" s="14" t="n"/>
      <c r="F14" s="17" t="inlineStr">
        <is>
          <t>0..+150 °С</t>
        </is>
      </c>
      <c r="G14" s="17" t="inlineStr">
        <is>
          <t>1</t>
        </is>
      </c>
      <c r="H14" s="15" t="inlineStr">
        <is>
          <t>Ттн в общем коллекторе</t>
        </is>
      </c>
      <c r="I14" s="15" t="inlineStr">
        <is>
          <t>Отсек теплоносителя</t>
        </is>
      </c>
      <c r="J14" s="15" t="inlineStr">
        <is>
          <t>АСУ,А и ТМ (КЦ № 7)</t>
        </is>
      </c>
      <c r="K14" s="15" t="n"/>
      <c r="L14" s="14" t="n">
        <v>24</v>
      </c>
      <c r="M14" s="3" t="inlineStr">
        <is>
          <t>3к25</t>
        </is>
      </c>
      <c r="N14" s="70" t="inlineStr">
        <is>
          <t>П</t>
        </is>
      </c>
      <c r="O14" s="135" t="n"/>
    </row>
    <row r="15" ht="22.5" customHeight="1" s="151">
      <c r="A15" s="15">
        <f>IF(B15&lt;&gt;"", COUNTA($B$2:B15), "")</f>
        <v/>
      </c>
      <c r="B15" s="73" t="inlineStr">
        <is>
          <t>Манометр технический</t>
        </is>
      </c>
      <c r="C15" s="17" t="inlineStr">
        <is>
          <t>М-3ВУУ2</t>
        </is>
      </c>
      <c r="D15" s="15" t="n">
        <v>13761</v>
      </c>
      <c r="E15" s="14" t="n"/>
      <c r="F15" s="70" t="inlineStr">
        <is>
          <t xml:space="preserve">     0….6 кгс/см2</t>
        </is>
      </c>
      <c r="G15" s="17" t="inlineStr">
        <is>
          <t>1</t>
        </is>
      </c>
      <c r="H15" s="15" t="inlineStr">
        <is>
          <t>Ртн после насоса №2</t>
        </is>
      </c>
      <c r="I15" s="15" t="inlineStr">
        <is>
          <t>Отсек теплоносителя</t>
        </is>
      </c>
      <c r="J15" s="15" t="inlineStr">
        <is>
          <t>АСУ,А и ТМ (КЦ № 7)</t>
        </is>
      </c>
      <c r="K15" s="15" t="n"/>
      <c r="L15" s="14" t="n">
        <v>12</v>
      </c>
      <c r="M15" s="22" t="inlineStr">
        <is>
          <t>26ДЯУ</t>
        </is>
      </c>
      <c r="N15" s="70" t="inlineStr">
        <is>
          <t>П</t>
        </is>
      </c>
      <c r="O15" s="135" t="inlineStr">
        <is>
          <t>замена</t>
        </is>
      </c>
    </row>
    <row r="16" ht="22.5" customHeight="1" s="151">
      <c r="A16" s="15">
        <f>IF(B16&lt;&gt;"", COUNTA($B$2:B16), "")</f>
        <v/>
      </c>
      <c r="B16" s="73" t="inlineStr">
        <is>
          <t>Манометр технический</t>
        </is>
      </c>
      <c r="C16" s="17" t="inlineStr">
        <is>
          <t>МП4-УУ2</t>
        </is>
      </c>
      <c r="D16" s="3" t="inlineStr">
        <is>
          <t>051751</t>
        </is>
      </c>
      <c r="E16" s="14" t="n"/>
      <c r="F16" s="14" t="inlineStr">
        <is>
          <t>0..600 кПа</t>
        </is>
      </c>
      <c r="G16" s="17" t="inlineStr">
        <is>
          <t>1,5</t>
        </is>
      </c>
      <c r="H16" s="15" t="inlineStr">
        <is>
          <t>Ртн в общем коллекторе</t>
        </is>
      </c>
      <c r="I16" s="15" t="inlineStr">
        <is>
          <t>Отсек теплоносителя</t>
        </is>
      </c>
      <c r="J16" s="15" t="inlineStr">
        <is>
          <t>АСУ,А и ТМ (КЦ № 7)</t>
        </is>
      </c>
      <c r="K16" s="15" t="n"/>
      <c r="L16" s="14" t="n">
        <v>12</v>
      </c>
      <c r="M16" s="22" t="inlineStr">
        <is>
          <t>26ДЯУ</t>
        </is>
      </c>
      <c r="N16" s="70" t="inlineStr">
        <is>
          <t>П</t>
        </is>
      </c>
      <c r="O16" s="135" t="n"/>
    </row>
    <row r="17" ht="22.5" customHeight="1" s="151">
      <c r="A17" s="15">
        <f>IF(B17&lt;&gt;"", COUNTA($B$2:B17), "")</f>
        <v/>
      </c>
      <c r="B17" s="73" t="inlineStr">
        <is>
          <t>Манометр технический</t>
        </is>
      </c>
      <c r="C17" s="17" t="inlineStr">
        <is>
          <t>МП4-УУ3</t>
        </is>
      </c>
      <c r="D17" s="15" t="n">
        <v>20125860</v>
      </c>
      <c r="E17" s="14" t="n"/>
      <c r="F17" s="14" t="inlineStr">
        <is>
          <t>0..600 кПa</t>
        </is>
      </c>
      <c r="G17" s="17" t="inlineStr">
        <is>
          <t>1,5</t>
        </is>
      </c>
      <c r="H17" s="15" t="inlineStr">
        <is>
          <t>Р перед насосом №2</t>
        </is>
      </c>
      <c r="I17" s="15" t="inlineStr">
        <is>
          <t>Отсек теплоносителя</t>
        </is>
      </c>
      <c r="J17" s="15" t="inlineStr">
        <is>
          <t>АСУ,А и ТМ (КЦ № 7)</t>
        </is>
      </c>
      <c r="K17" s="15" t="n"/>
      <c r="L17" s="14" t="n">
        <v>12</v>
      </c>
      <c r="M17" s="22" t="inlineStr">
        <is>
          <t>26ДЯУ</t>
        </is>
      </c>
      <c r="N17" s="70" t="inlineStr">
        <is>
          <t>П</t>
        </is>
      </c>
      <c r="O17" s="135" t="n"/>
    </row>
    <row r="18" ht="22.5" customHeight="1" s="151">
      <c r="A18" s="15">
        <f>IF(B18&lt;&gt;"", COUNTA($B$2:B18), "")</f>
        <v/>
      </c>
      <c r="B18" s="76" t="inlineStr">
        <is>
          <t>Термометр сопротивления</t>
        </is>
      </c>
      <c r="C18" s="14" t="inlineStr">
        <is>
          <t>Метран-276-02</t>
        </is>
      </c>
      <c r="D18" s="14" t="n">
        <v>2421759</v>
      </c>
      <c r="E18" s="15" t="n">
        <v>2018</v>
      </c>
      <c r="F18" s="17" t="inlineStr">
        <is>
          <t>-50..+150 °С</t>
        </is>
      </c>
      <c r="G18" s="20" t="n">
        <v>0.0025</v>
      </c>
      <c r="H18" s="15" t="inlineStr">
        <is>
          <t>Т в общем коллекторе</t>
        </is>
      </c>
      <c r="I18" s="15" t="inlineStr">
        <is>
          <t>Отсек теплоносителя</t>
        </is>
      </c>
      <c r="J18" s="15" t="inlineStr">
        <is>
          <t>АСУ,А и ТМ (КЦ № 7)</t>
        </is>
      </c>
      <c r="K18" s="15" t="n"/>
      <c r="L18" s="14" t="n">
        <v>60</v>
      </c>
      <c r="M18" s="3" t="n"/>
      <c r="N18" s="70" t="n"/>
      <c r="O18" s="135" t="n"/>
    </row>
    <row r="19" ht="22.5" customHeight="1" s="151">
      <c r="A19" s="15">
        <f>IF(B19&lt;&gt;"", COUNTA($B$2:B19), "")</f>
        <v/>
      </c>
      <c r="B19" s="73" t="inlineStr">
        <is>
          <t>Преобразователь избыточного давления</t>
        </is>
      </c>
      <c r="C19" s="14" t="inlineStr">
        <is>
          <t>Метран 150 TG</t>
        </is>
      </c>
      <c r="D19" s="15" t="n">
        <v>6063470</v>
      </c>
      <c r="E19" s="14" t="n">
        <v>2018</v>
      </c>
      <c r="F19" s="14" t="inlineStr">
        <is>
          <t>0..1 МПa</t>
        </is>
      </c>
      <c r="G19" s="20" t="n">
        <v>0.001</v>
      </c>
      <c r="H19" s="15" t="inlineStr">
        <is>
          <t>Р в общем коллекторе</t>
        </is>
      </c>
      <c r="I19" s="15" t="inlineStr">
        <is>
          <t>Отсек теплоносителя</t>
        </is>
      </c>
      <c r="J19" s="15" t="inlineStr">
        <is>
          <t>АСУ,А и ТМ (КЦ № 7)</t>
        </is>
      </c>
      <c r="K19" s="15" t="n"/>
      <c r="L19" s="14" t="n">
        <v>60</v>
      </c>
      <c r="M19" s="3" t="n"/>
      <c r="N19" s="70" t="n"/>
      <c r="O19" s="135" t="n"/>
    </row>
    <row r="20" ht="33.75" customHeight="1" s="151">
      <c r="A20" s="15">
        <f>IF(B20&lt;&gt;"", COUNTA($B$2:B20), "")</f>
        <v/>
      </c>
      <c r="B20" s="73" t="inlineStr">
        <is>
          <t>Сигнализатор загазованности</t>
        </is>
      </c>
      <c r="C20" s="15" t="inlineStr">
        <is>
          <t>ДГТ-902</t>
        </is>
      </c>
      <c r="D20" s="15" t="n">
        <v>570</v>
      </c>
      <c r="E20" s="14" t="n">
        <v>2019</v>
      </c>
      <c r="F20" s="14" t="inlineStr">
        <is>
          <t>Метан CH4</t>
        </is>
      </c>
      <c r="G20" s="20" t="n"/>
      <c r="H20" s="15" t="inlineStr">
        <is>
          <t>Загазованность в отсеке теплоносителя (СН4)</t>
        </is>
      </c>
      <c r="I20" s="15" t="inlineStr">
        <is>
          <t>Отсек теплоносителя</t>
        </is>
      </c>
      <c r="J20" s="15" t="inlineStr">
        <is>
          <t>АСУ,А и ТМ (КЦ № 7)</t>
        </is>
      </c>
      <c r="K20" s="15" t="n"/>
      <c r="L20" s="14" t="n">
        <v>60</v>
      </c>
      <c r="M20" s="3" t="n"/>
      <c r="N20" s="70" t="n"/>
      <c r="O20" s="135" t="inlineStr">
        <is>
          <t>Не является СИ</t>
        </is>
      </c>
    </row>
    <row r="21" ht="33.75" customHeight="1" s="151">
      <c r="A21" s="15">
        <f>IF(B21&lt;&gt;"", COUNTA($B$2:B21), "")</f>
        <v/>
      </c>
      <c r="B21" s="76" t="inlineStr">
        <is>
          <t>Корректор объёма газа</t>
        </is>
      </c>
      <c r="C21" s="14" t="inlineStr">
        <is>
          <t>ЕК270</t>
        </is>
      </c>
      <c r="D21" s="14" t="n">
        <v>1118040045</v>
      </c>
      <c r="E21" s="15" t="n">
        <v>2018</v>
      </c>
      <c r="F21" s="17" t="n"/>
      <c r="G21" s="17" t="n"/>
      <c r="H21" s="15" t="inlineStr">
        <is>
          <t>Учет топливного газа подготовки теплоносителя.</t>
        </is>
      </c>
      <c r="I21" s="15" t="inlineStr">
        <is>
          <t>Отсек теплоносителя</t>
        </is>
      </c>
      <c r="J21" s="15" t="inlineStr">
        <is>
          <t>АСУ,А и ТМ (КЦ № 7)</t>
        </is>
      </c>
      <c r="K21" s="15" t="n"/>
      <c r="L21" s="14" t="n">
        <v>60</v>
      </c>
      <c r="M21" s="3" t="n"/>
      <c r="N21" s="70" t="n"/>
      <c r="O21" s="135" t="n"/>
    </row>
    <row r="22" ht="33.75" customHeight="1" s="151">
      <c r="A22" s="15">
        <f>IF(B22&lt;&gt;"", COUNTA($B$2:B22), "")</f>
        <v/>
      </c>
      <c r="B22" s="280" t="inlineStr">
        <is>
          <t>Комплекс для измерения количества газа</t>
        </is>
      </c>
      <c r="C22" s="14" t="inlineStr">
        <is>
          <t>СГ-ЭК-Вз-Р-02-25/1,6</t>
        </is>
      </c>
      <c r="D22" s="29" t="inlineStr">
        <is>
          <t>1518040043</t>
        </is>
      </c>
      <c r="E22" s="70" t="n">
        <v>2018</v>
      </c>
      <c r="F22" s="32" t="n"/>
      <c r="G22" s="17" t="inlineStr">
        <is>
          <t>1,6</t>
        </is>
      </c>
      <c r="H22" s="15" t="inlineStr">
        <is>
          <t>Учет топливного газа подготовки теплоносителя.</t>
        </is>
      </c>
      <c r="I22" s="15" t="inlineStr">
        <is>
          <t>Отсек теплоносителя</t>
        </is>
      </c>
      <c r="J22" s="15" t="inlineStr">
        <is>
          <t>АСУ,А и ТМ (КЦ № 7)</t>
        </is>
      </c>
      <c r="K22" s="15" t="n"/>
      <c r="L22" s="15" t="n">
        <v>60</v>
      </c>
      <c r="M22" s="3" t="n"/>
      <c r="N22" s="70" t="n"/>
      <c r="O22" s="135" t="inlineStr">
        <is>
          <t>Уже внесен кем-то</t>
        </is>
      </c>
    </row>
    <row r="23" ht="33.75" customHeight="1" s="151">
      <c r="A23" s="15">
        <f>IF(B23&lt;&gt;"", COUNTA($B$2:B23), "")</f>
        <v/>
      </c>
      <c r="B23" s="280" t="inlineStr">
        <is>
          <t>Счётчик газа</t>
        </is>
      </c>
      <c r="C23" s="14" t="inlineStr">
        <is>
          <t>RVG G16</t>
        </is>
      </c>
      <c r="D23" s="29" t="inlineStr">
        <is>
          <t>1218040030</t>
        </is>
      </c>
      <c r="E23" s="70" t="n">
        <v>2018</v>
      </c>
      <c r="F23" s="32" t="inlineStr">
        <is>
          <t>0,8…25 м3/ч</t>
        </is>
      </c>
      <c r="G23" s="17" t="n"/>
      <c r="H23" s="15" t="inlineStr">
        <is>
          <t>Учет топливного газа подготовки теплоносителя.</t>
        </is>
      </c>
      <c r="I23" s="15" t="inlineStr">
        <is>
          <t>Отсек теплоносителя</t>
        </is>
      </c>
      <c r="J23" s="15" t="inlineStr">
        <is>
          <t>АСУ,А и ТМ (КЦ № 7)</t>
        </is>
      </c>
      <c r="K23" s="15" t="n"/>
      <c r="L23" s="15" t="n">
        <v>60</v>
      </c>
      <c r="M23" s="3" t="n"/>
      <c r="N23" s="70" t="n"/>
      <c r="O23" s="135" t="inlineStr">
        <is>
          <t>Уже внесен кем-то</t>
        </is>
      </c>
    </row>
    <row r="24" ht="22.5" customHeight="1" s="151">
      <c r="A24" s="15">
        <f>IF(B24&lt;&gt;"", COUNTA($B$2:B24), "")</f>
        <v/>
      </c>
      <c r="B24" s="73" t="inlineStr">
        <is>
          <t>Преобразователь избыточного давления</t>
        </is>
      </c>
      <c r="C24" s="14" t="inlineStr">
        <is>
          <t>Метран 150 TG</t>
        </is>
      </c>
      <c r="D24" s="15" t="n">
        <v>6063462</v>
      </c>
      <c r="E24" s="14" t="n">
        <v>2018</v>
      </c>
      <c r="F24" s="14" t="inlineStr">
        <is>
          <t>0..25 МПa</t>
        </is>
      </c>
      <c r="G24" s="20" t="n">
        <v>0.001</v>
      </c>
      <c r="H24" s="15" t="inlineStr">
        <is>
          <t>Рг на входе УПТГ</t>
        </is>
      </c>
      <c r="I24" s="15" t="inlineStr">
        <is>
          <t>Технологический отсек</t>
        </is>
      </c>
      <c r="J24" s="15" t="inlineStr">
        <is>
          <t>АСУ,А и ТМ (КЦ № 7)</t>
        </is>
      </c>
      <c r="K24" s="15" t="n"/>
      <c r="L24" s="15" t="n">
        <v>60</v>
      </c>
      <c r="M24" s="3" t="n"/>
      <c r="N24" s="70" t="n"/>
      <c r="O24" s="135" t="n"/>
    </row>
    <row r="25" ht="22.5" customHeight="1" s="151">
      <c r="A25" s="15">
        <f>IF(B25&lt;&gt;"", COUNTA($B$2:B25), "")</f>
        <v/>
      </c>
      <c r="B25" s="280" t="inlineStr">
        <is>
          <t>Манометр технический</t>
        </is>
      </c>
      <c r="C25" s="14" t="inlineStr">
        <is>
          <t>МП4-УУ2</t>
        </is>
      </c>
      <c r="D25" s="29" t="inlineStr">
        <is>
          <t>700041</t>
        </is>
      </c>
      <c r="E25" s="70" t="n"/>
      <c r="F25" s="14" t="inlineStr">
        <is>
          <t>0..16 МПa</t>
        </is>
      </c>
      <c r="G25" s="17" t="inlineStr">
        <is>
          <t>1,5</t>
        </is>
      </c>
      <c r="H25" s="15" t="inlineStr">
        <is>
          <t>Рг на входе УПТГ</t>
        </is>
      </c>
      <c r="I25" s="15" t="inlineStr">
        <is>
          <t>Технологический отсек</t>
        </is>
      </c>
      <c r="J25" s="15" t="inlineStr">
        <is>
          <t>АСУ,А и ТМ (КЦ № 7)</t>
        </is>
      </c>
      <c r="K25" s="15" t="n"/>
      <c r="L25" s="15" t="n">
        <v>12</v>
      </c>
      <c r="M25" s="3" t="inlineStr">
        <is>
          <t>2К26</t>
        </is>
      </c>
      <c r="N25" s="70" t="inlineStr">
        <is>
          <t>К</t>
        </is>
      </c>
      <c r="O25" s="135" t="n"/>
    </row>
    <row r="26" ht="22.5" customHeight="1" s="151">
      <c r="A26" s="15">
        <f>IF(B26&lt;&gt;"", COUNTA($B$2:B26), "")</f>
        <v/>
      </c>
      <c r="B26" s="280" t="inlineStr">
        <is>
          <t>Манометр технический</t>
        </is>
      </c>
      <c r="C26" s="14" t="inlineStr">
        <is>
          <t>МП4-УУ2</t>
        </is>
      </c>
      <c r="D26" s="29" t="inlineStr">
        <is>
          <t>700042</t>
        </is>
      </c>
      <c r="E26" s="70" t="n"/>
      <c r="F26" s="14" t="inlineStr">
        <is>
          <t>0..16 МПa</t>
        </is>
      </c>
      <c r="G26" s="17" t="inlineStr">
        <is>
          <t>1,5</t>
        </is>
      </c>
      <c r="H26" s="15" t="inlineStr">
        <is>
          <t>Рг перед фильтром-сепаратором №1</t>
        </is>
      </c>
      <c r="I26" s="15" t="inlineStr">
        <is>
          <t>Технологический отсек</t>
        </is>
      </c>
      <c r="J26" s="15" t="inlineStr">
        <is>
          <t>АСУ,А и ТМ (КЦ № 7)</t>
        </is>
      </c>
      <c r="K26" s="15" t="n"/>
      <c r="L26" s="15" t="n">
        <v>12</v>
      </c>
      <c r="M26" s="3" t="inlineStr">
        <is>
          <t>2К26</t>
        </is>
      </c>
      <c r="N26" s="70" t="inlineStr">
        <is>
          <t>К</t>
        </is>
      </c>
      <c r="O26" s="135" t="n"/>
    </row>
    <row r="27" ht="22.5" customHeight="1" s="151">
      <c r="A27" s="15">
        <f>IF(B27&lt;&gt;"", COUNTA($B$2:B27), "")</f>
        <v/>
      </c>
      <c r="B27" s="280" t="inlineStr">
        <is>
          <t>Манометр технический</t>
        </is>
      </c>
      <c r="C27" s="14" t="inlineStr">
        <is>
          <t>МП4-УУ2</t>
        </is>
      </c>
      <c r="D27" s="29" t="inlineStr">
        <is>
          <t>700044А</t>
        </is>
      </c>
      <c r="E27" s="70" t="n"/>
      <c r="F27" s="14" t="inlineStr">
        <is>
          <t>0..16 МПa</t>
        </is>
      </c>
      <c r="G27" s="17" t="inlineStr">
        <is>
          <t>1,5</t>
        </is>
      </c>
      <c r="H27" s="15" t="inlineStr">
        <is>
          <t>Рг перед фильтром-сепаратором №2</t>
        </is>
      </c>
      <c r="I27" s="15" t="inlineStr">
        <is>
          <t>Технологический отсек</t>
        </is>
      </c>
      <c r="J27" s="15" t="inlineStr">
        <is>
          <t>АСУ,А и ТМ (КЦ № 7)</t>
        </is>
      </c>
      <c r="K27" s="15" t="n"/>
      <c r="L27" s="15" t="n">
        <v>12</v>
      </c>
      <c r="M27" s="3" t="inlineStr">
        <is>
          <t>2К26</t>
        </is>
      </c>
      <c r="N27" s="70" t="inlineStr">
        <is>
          <t>К</t>
        </is>
      </c>
      <c r="O27" s="136" t="n"/>
    </row>
    <row r="28" ht="22.5" customHeight="1" s="151">
      <c r="A28" s="15">
        <f>IF(B28&lt;&gt;"", COUNTA($B$2:B28), "")</f>
        <v/>
      </c>
      <c r="B28" s="280" t="inlineStr">
        <is>
          <t>Манометр технический</t>
        </is>
      </c>
      <c r="C28" s="14" t="inlineStr">
        <is>
          <t>МП4-УУ2</t>
        </is>
      </c>
      <c r="D28" s="29" t="inlineStr">
        <is>
          <t>700051</t>
        </is>
      </c>
      <c r="E28" s="70" t="n"/>
      <c r="F28" s="14" t="inlineStr">
        <is>
          <t>0..16 МПa</t>
        </is>
      </c>
      <c r="G28" s="17" t="inlineStr">
        <is>
          <t>1,5</t>
        </is>
      </c>
      <c r="H28" s="15" t="inlineStr">
        <is>
          <t>Рг в дренаже</t>
        </is>
      </c>
      <c r="I28" s="15" t="inlineStr">
        <is>
          <t>Технологический отсек</t>
        </is>
      </c>
      <c r="J28" s="15" t="inlineStr">
        <is>
          <t>АСУ,А и ТМ (КЦ № 7)</t>
        </is>
      </c>
      <c r="K28" s="15" t="n"/>
      <c r="L28" s="15" t="n">
        <v>12</v>
      </c>
      <c r="M28" s="3" t="inlineStr">
        <is>
          <t>2К26</t>
        </is>
      </c>
      <c r="N28" s="70" t="inlineStr">
        <is>
          <t>К</t>
        </is>
      </c>
      <c r="O28" s="135" t="n"/>
    </row>
    <row r="29" ht="22.5" customHeight="1" s="151">
      <c r="A29" s="15">
        <f>IF(B29&lt;&gt;"", COUNTA($B$2:B29), "")</f>
        <v/>
      </c>
      <c r="B29" s="280" t="inlineStr">
        <is>
          <t>Манометр технический</t>
        </is>
      </c>
      <c r="C29" s="14" t="inlineStr">
        <is>
          <t>МП4-УУ2</t>
        </is>
      </c>
      <c r="D29" s="29" t="inlineStr">
        <is>
          <t>700045</t>
        </is>
      </c>
      <c r="E29" s="70" t="n"/>
      <c r="F29" s="14" t="inlineStr">
        <is>
          <t>0..16 МПa</t>
        </is>
      </c>
      <c r="G29" s="17" t="inlineStr">
        <is>
          <t>1,5</t>
        </is>
      </c>
      <c r="H29" s="15" t="inlineStr">
        <is>
          <t>Рг на выходе с фильтров</t>
        </is>
      </c>
      <c r="I29" s="15" t="inlineStr">
        <is>
          <t>Технологический отсек</t>
        </is>
      </c>
      <c r="J29" s="15" t="inlineStr">
        <is>
          <t>АСУ,А и ТМ (КЦ № 7)</t>
        </is>
      </c>
      <c r="K29" s="15" t="n"/>
      <c r="L29" s="15" t="n">
        <v>12</v>
      </c>
      <c r="M29" s="3" t="inlineStr">
        <is>
          <t>2К26</t>
        </is>
      </c>
      <c r="N29" s="70" t="inlineStr">
        <is>
          <t>К</t>
        </is>
      </c>
      <c r="O29" s="135" t="n"/>
    </row>
    <row r="30" ht="22.5" customHeight="1" s="151">
      <c r="A30" s="15">
        <f>IF(B30&lt;&gt;"", COUNTA($B$2:B30), "")</f>
        <v/>
      </c>
      <c r="B30" s="76" t="inlineStr">
        <is>
          <t>Термометр сопротивления</t>
        </is>
      </c>
      <c r="C30" s="14" t="inlineStr">
        <is>
          <t>Метран-276-08</t>
        </is>
      </c>
      <c r="D30" s="14" t="n">
        <v>2422386</v>
      </c>
      <c r="E30" s="15" t="n">
        <v>2018</v>
      </c>
      <c r="F30" s="17" t="inlineStr">
        <is>
          <t>-50..+150 °С</t>
        </is>
      </c>
      <c r="G30" s="20" t="n">
        <v>0.0025</v>
      </c>
      <c r="H30" s="15" t="inlineStr">
        <is>
          <t>Т на входе УПТГ</t>
        </is>
      </c>
      <c r="I30" s="15" t="inlineStr">
        <is>
          <t>Технологический отсек</t>
        </is>
      </c>
      <c r="J30" s="15" t="inlineStr">
        <is>
          <t>АСУ,А и ТМ (КЦ № 7)</t>
        </is>
      </c>
      <c r="K30" s="15" t="n"/>
      <c r="L30" s="15" t="n">
        <v>60</v>
      </c>
      <c r="M30" s="3" t="n"/>
      <c r="N30" s="70" t="n"/>
      <c r="O30" s="136" t="n"/>
    </row>
    <row r="31" ht="22.5" customHeight="1" s="151">
      <c r="A31" s="15">
        <f>IF(B31&lt;&gt;"", COUNTA($B$2:B31), "")</f>
        <v/>
      </c>
      <c r="B31" s="76" t="inlineStr">
        <is>
          <t>Термометр биметаллический</t>
        </is>
      </c>
      <c r="C31" s="17" t="inlineStr">
        <is>
          <t>ТБ-2 УХЛ2</t>
        </is>
      </c>
      <c r="D31" s="3" t="inlineStr">
        <is>
          <t>3417</t>
        </is>
      </c>
      <c r="E31" s="14" t="n"/>
      <c r="F31" s="17" t="inlineStr">
        <is>
          <t>-30..+60 °С</t>
        </is>
      </c>
      <c r="G31" s="17" t="inlineStr">
        <is>
          <t>1</t>
        </is>
      </c>
      <c r="H31" s="15" t="inlineStr">
        <is>
          <t>Т на входе УПТГ</t>
        </is>
      </c>
      <c r="I31" s="15" t="inlineStr">
        <is>
          <t>Технологический отсек</t>
        </is>
      </c>
      <c r="J31" s="15" t="inlineStr">
        <is>
          <t>АСУ,А и ТМ (КЦ № 7)</t>
        </is>
      </c>
      <c r="K31" s="15" t="n"/>
      <c r="L31" s="15" t="n">
        <v>24</v>
      </c>
      <c r="M31" s="3" t="inlineStr">
        <is>
          <t>2к26</t>
        </is>
      </c>
      <c r="N31" s="70" t="inlineStr">
        <is>
          <t>К</t>
        </is>
      </c>
      <c r="O31" s="135" t="n"/>
    </row>
    <row r="32" ht="45" customHeight="1" s="151">
      <c r="A32" s="15">
        <f>IF(B32&lt;&gt;"", COUNTA($B$2:B32), "")</f>
        <v/>
      </c>
      <c r="B32" s="280" t="inlineStr">
        <is>
          <t>Сигнализатор уровня ультразвуковой</t>
        </is>
      </c>
      <c r="C32" s="14" t="inlineStr">
        <is>
          <t>РИЗУР-1100-0-1Н-5-75-16-М-430/180-Д-Х-П-660-840(А)</t>
        </is>
      </c>
      <c r="D32" s="29" t="inlineStr">
        <is>
          <t>КИ286-1-2-13919</t>
        </is>
      </c>
      <c r="E32" s="70" t="n">
        <v>2018</v>
      </c>
      <c r="F32" s="32" t="n"/>
      <c r="G32" s="71" t="n"/>
      <c r="H32" s="15" t="inlineStr">
        <is>
          <t>Уровень в дренаже</t>
        </is>
      </c>
      <c r="I32" s="15" t="inlineStr">
        <is>
          <t>Технологический отсек</t>
        </is>
      </c>
      <c r="J32" s="15" t="inlineStr">
        <is>
          <t>АСУ,А и ТМ (КЦ № 7)</t>
        </is>
      </c>
      <c r="K32" s="15" t="n"/>
      <c r="L32" s="15" t="n">
        <v>60</v>
      </c>
      <c r="M32" s="3" t="n"/>
      <c r="N32" s="70" t="n"/>
      <c r="O32" s="135" t="inlineStr">
        <is>
          <t>Не является СИ</t>
        </is>
      </c>
    </row>
    <row r="33" ht="22.5" customHeight="1" s="151">
      <c r="A33" s="15">
        <f>IF(B33&lt;&gt;"", COUNTA($B$2:B33), "")</f>
        <v/>
      </c>
      <c r="B33" s="73" t="inlineStr">
        <is>
          <t>Преобразователь избыточного давления</t>
        </is>
      </c>
      <c r="C33" s="15" t="inlineStr">
        <is>
          <t>Метран 150CD</t>
        </is>
      </c>
      <c r="D33" s="15" t="n">
        <v>6063473</v>
      </c>
      <c r="E33" s="14" t="n">
        <v>2018</v>
      </c>
      <c r="F33" s="14" t="inlineStr">
        <is>
          <t>0..250 кПa</t>
        </is>
      </c>
      <c r="G33" s="20" t="n">
        <v>0.001</v>
      </c>
      <c r="H33" s="15" t="inlineStr">
        <is>
          <t>Перепад на фильтрах</t>
        </is>
      </c>
      <c r="I33" s="15" t="inlineStr">
        <is>
          <t>Технологический отсек</t>
        </is>
      </c>
      <c r="J33" s="15" t="inlineStr">
        <is>
          <t>АСУ,А и ТМ (КЦ № 7)</t>
        </is>
      </c>
      <c r="K33" s="15" t="n"/>
      <c r="L33" s="15" t="n">
        <v>60</v>
      </c>
      <c r="M33" s="3" t="n"/>
      <c r="N33" s="70" t="n"/>
      <c r="O33" s="135" t="n"/>
    </row>
    <row r="34" ht="22.5" customHeight="1" s="151">
      <c r="A34" s="15">
        <f>IF(B34&lt;&gt;"", COUNTA($B$2:B34), "")</f>
        <v/>
      </c>
      <c r="B34" s="280" t="inlineStr">
        <is>
          <t>Датчик давления</t>
        </is>
      </c>
      <c r="C34" s="14" t="inlineStr">
        <is>
          <t>Turbo Flow PS</t>
        </is>
      </c>
      <c r="D34" s="29" t="inlineStr">
        <is>
          <t>403908</t>
        </is>
      </c>
      <c r="E34" s="70" t="n">
        <v>2019</v>
      </c>
      <c r="F34" s="14" t="inlineStr">
        <is>
          <t>0..10 МПa</t>
        </is>
      </c>
      <c r="G34" s="20" t="n">
        <v>0.0025</v>
      </c>
      <c r="H34" s="15" t="inlineStr">
        <is>
          <t>В составе расходомера</t>
        </is>
      </c>
      <c r="I34" s="15" t="inlineStr">
        <is>
          <t>Технологический отсек</t>
        </is>
      </c>
      <c r="J34" s="15" t="inlineStr">
        <is>
          <t>АСУ,А и ТМ (КЦ № 7)</t>
        </is>
      </c>
      <c r="K34" s="15" t="n"/>
      <c r="L34" s="15" t="n">
        <v>60</v>
      </c>
      <c r="M34" s="3" t="n"/>
      <c r="N34" s="70" t="n"/>
      <c r="O34" s="135" t="n"/>
    </row>
    <row r="35" ht="22.5" customHeight="1" s="151">
      <c r="A35" s="15">
        <f>IF(B35&lt;&gt;"", COUNTA($B$2:B35), "")</f>
        <v/>
      </c>
      <c r="B35" s="280" t="inlineStr">
        <is>
          <t>Расходомер термоанемометрический</t>
        </is>
      </c>
      <c r="C35" s="14" t="inlineStr">
        <is>
          <t>TFG-HF</t>
        </is>
      </c>
      <c r="D35" s="29" t="inlineStr">
        <is>
          <t>6915</t>
        </is>
      </c>
      <c r="E35" s="70" t="n">
        <v>2019</v>
      </c>
      <c r="F35" s="32" t="inlineStr">
        <is>
          <t>0,05…1200 м3/ч</t>
        </is>
      </c>
      <c r="G35" s="75" t="n">
        <v>0.02</v>
      </c>
      <c r="H35" s="15" t="inlineStr">
        <is>
          <t>Коммерческий учет газа</t>
        </is>
      </c>
      <c r="I35" s="15" t="inlineStr">
        <is>
          <t>Технологический отсек</t>
        </is>
      </c>
      <c r="J35" s="15" t="inlineStr">
        <is>
          <t>АСУ,А и ТМ (КЦ № 7)</t>
        </is>
      </c>
      <c r="K35" s="15" t="n"/>
      <c r="L35" s="15" t="n">
        <v>60</v>
      </c>
      <c r="M35" s="3" t="n"/>
      <c r="N35" s="70" t="n"/>
      <c r="O35" s="135" t="n"/>
    </row>
    <row r="36" ht="22.5" customHeight="1" s="151">
      <c r="A36" s="15">
        <f>IF(B36&lt;&gt;"", COUNTA($B$2:B36), "")</f>
        <v/>
      </c>
      <c r="B36" s="76" t="inlineStr">
        <is>
          <t>Термометр сопротивления</t>
        </is>
      </c>
      <c r="C36" s="14" t="inlineStr">
        <is>
          <t>Метран-276-08</t>
        </is>
      </c>
      <c r="D36" s="14" t="n">
        <v>2529366</v>
      </c>
      <c r="E36" s="15" t="n">
        <v>2020</v>
      </c>
      <c r="F36" s="17" t="inlineStr">
        <is>
          <t>0..+100 °С</t>
        </is>
      </c>
      <c r="G36" s="20" t="n">
        <v>0.0025</v>
      </c>
      <c r="H36" s="15" t="inlineStr">
        <is>
          <t>Т в технологическом отсеке</t>
        </is>
      </c>
      <c r="I36" s="15" t="inlineStr">
        <is>
          <t>Технологический отсек</t>
        </is>
      </c>
      <c r="J36" s="15" t="inlineStr">
        <is>
          <t>АСУ,А и ТМ (КЦ № 7)</t>
        </is>
      </c>
      <c r="K36" s="15" t="n"/>
      <c r="L36" s="15" t="n">
        <v>60</v>
      </c>
      <c r="M36" s="3" t="n"/>
      <c r="N36" s="70" t="n"/>
      <c r="O36" s="136" t="n"/>
    </row>
    <row r="37" ht="22.5" customHeight="1" s="151">
      <c r="A37" s="15">
        <f>IF(B37&lt;&gt;"", COUNTA($B$2:B37), "")</f>
        <v/>
      </c>
      <c r="B37" s="280" t="inlineStr">
        <is>
          <t>Электроконтактный манометр</t>
        </is>
      </c>
      <c r="C37" s="14" t="inlineStr">
        <is>
          <t>ДМ2005Сг1ЕхУ2</t>
        </is>
      </c>
      <c r="D37" s="29" t="inlineStr">
        <is>
          <t>201623</t>
        </is>
      </c>
      <c r="E37" s="70" t="n"/>
      <c r="F37" s="14" t="inlineStr">
        <is>
          <t>0..1,6 МПa</t>
        </is>
      </c>
      <c r="G37" s="17" t="inlineStr">
        <is>
          <t>1,5</t>
        </is>
      </c>
      <c r="H37" s="15" t="inlineStr">
        <is>
          <t>Р в подогревателе №2</t>
        </is>
      </c>
      <c r="I37" s="15" t="inlineStr">
        <is>
          <t>Технологический отсек</t>
        </is>
      </c>
      <c r="J37" s="15" t="inlineStr">
        <is>
          <t>АСУ,А и ТМ (КЦ № 7)</t>
        </is>
      </c>
      <c r="K37" s="15" t="n"/>
      <c r="L37" s="15" t="n">
        <v>12</v>
      </c>
      <c r="M37" s="3" t="inlineStr">
        <is>
          <t>2К26</t>
        </is>
      </c>
      <c r="N37" s="70" t="inlineStr">
        <is>
          <t>К</t>
        </is>
      </c>
      <c r="O37" s="135" t="n"/>
    </row>
    <row r="38" ht="22.5" customHeight="1" s="151">
      <c r="A38" s="15">
        <f>IF(B38&lt;&gt;"", COUNTA($B$2:B38), "")</f>
        <v/>
      </c>
      <c r="B38" s="280" t="inlineStr">
        <is>
          <t>Электроконтактный манометр</t>
        </is>
      </c>
      <c r="C38" s="14" t="inlineStr">
        <is>
          <t>ДМ2005Сг1ЕхУ2</t>
        </is>
      </c>
      <c r="D38" s="29" t="inlineStr">
        <is>
          <t>201436</t>
        </is>
      </c>
      <c r="E38" s="70" t="n"/>
      <c r="F38" s="14" t="inlineStr">
        <is>
          <t>0..1,6 МПa</t>
        </is>
      </c>
      <c r="G38" s="17" t="inlineStr">
        <is>
          <t>1,5</t>
        </is>
      </c>
      <c r="H38" s="15" t="inlineStr">
        <is>
          <t>Р в подогревателе №1</t>
        </is>
      </c>
      <c r="I38" s="15" t="inlineStr">
        <is>
          <t>Технологический отсек</t>
        </is>
      </c>
      <c r="J38" s="15" t="inlineStr">
        <is>
          <t>АСУ,А и ТМ (КЦ № 7)</t>
        </is>
      </c>
      <c r="K38" s="15" t="n"/>
      <c r="L38" s="15" t="n">
        <v>12</v>
      </c>
      <c r="M38" s="3" t="inlineStr">
        <is>
          <t>2К26</t>
        </is>
      </c>
      <c r="N38" s="70" t="inlineStr">
        <is>
          <t>К</t>
        </is>
      </c>
      <c r="O38" s="135" t="n"/>
    </row>
    <row r="39" ht="22.5" customHeight="1" s="151">
      <c r="A39" s="15">
        <f>IF(B39&lt;&gt;"", COUNTA($B$2:B39), "")</f>
        <v/>
      </c>
      <c r="B39" s="76" t="inlineStr">
        <is>
          <t>Термометр биметаллический</t>
        </is>
      </c>
      <c r="C39" s="17" t="inlineStr">
        <is>
          <t>ТБ-2 УХЛ2</t>
        </is>
      </c>
      <c r="D39" s="3" t="inlineStr">
        <is>
          <t>7441</t>
        </is>
      </c>
      <c r="E39" s="14" t="n">
        <v>2019</v>
      </c>
      <c r="F39" s="17" t="inlineStr">
        <is>
          <t>-30..+60 °С</t>
        </is>
      </c>
      <c r="G39" s="17" t="inlineStr">
        <is>
          <t>1</t>
        </is>
      </c>
      <c r="H39" s="15" t="inlineStr">
        <is>
          <t>Тг на выходе подогревателя №1</t>
        </is>
      </c>
      <c r="I39" s="15" t="inlineStr">
        <is>
          <t>Технологический отсек</t>
        </is>
      </c>
      <c r="J39" s="15" t="inlineStr">
        <is>
          <t>АСУ,А и ТМ (КЦ № 7)</t>
        </is>
      </c>
      <c r="K39" s="15" t="n"/>
      <c r="L39" s="15" t="n">
        <v>24</v>
      </c>
      <c r="M39" s="3" t="inlineStr">
        <is>
          <t>2К26</t>
        </is>
      </c>
      <c r="N39" s="70" t="inlineStr">
        <is>
          <t>К</t>
        </is>
      </c>
      <c r="O39" s="135" t="n"/>
    </row>
    <row r="40" ht="22.5" customHeight="1" s="151">
      <c r="A40" s="15">
        <f>IF(B40&lt;&gt;"", COUNTA($B$2:B40), "")</f>
        <v/>
      </c>
      <c r="B40" s="76" t="inlineStr">
        <is>
          <t>Термометр биметаллический</t>
        </is>
      </c>
      <c r="C40" s="17" t="inlineStr">
        <is>
          <t>ТБ-2 УХЛ2</t>
        </is>
      </c>
      <c r="D40" s="3" t="inlineStr">
        <is>
          <t>7467</t>
        </is>
      </c>
      <c r="E40" s="14" t="n">
        <v>2019</v>
      </c>
      <c r="F40" s="17" t="inlineStr">
        <is>
          <t>-30..+60 °С</t>
        </is>
      </c>
      <c r="G40" s="17" t="inlineStr">
        <is>
          <t>1</t>
        </is>
      </c>
      <c r="H40" s="15" t="inlineStr">
        <is>
          <t>Тг на выходе подогревателя №2</t>
        </is>
      </c>
      <c r="I40" s="15" t="inlineStr">
        <is>
          <t>Технологический отсек</t>
        </is>
      </c>
      <c r="J40" s="15" t="inlineStr">
        <is>
          <t>АСУ,А и ТМ (КЦ № 7)</t>
        </is>
      </c>
      <c r="K40" s="15" t="n"/>
      <c r="L40" s="15" t="n">
        <v>24</v>
      </c>
      <c r="M40" s="3" t="inlineStr">
        <is>
          <t>2К26</t>
        </is>
      </c>
      <c r="N40" s="70" t="inlineStr">
        <is>
          <t>К</t>
        </is>
      </c>
      <c r="O40" s="135" t="n"/>
    </row>
    <row r="41" ht="33.75" customHeight="1" s="151">
      <c r="A41" s="15">
        <f>IF(B41&lt;&gt;"", COUNTA($B$2:B41), "")</f>
        <v/>
      </c>
      <c r="B41" s="280" t="inlineStr">
        <is>
          <t>Манометр технический</t>
        </is>
      </c>
      <c r="C41" s="14" t="inlineStr">
        <is>
          <t>МП4-УУ2</t>
        </is>
      </c>
      <c r="D41" s="29" t="inlineStr">
        <is>
          <t>700043А</t>
        </is>
      </c>
      <c r="E41" s="70" t="n"/>
      <c r="F41" s="14" t="inlineStr">
        <is>
          <t>0..16 МПa</t>
        </is>
      </c>
      <c r="G41" s="17" t="inlineStr">
        <is>
          <t>1,5</t>
        </is>
      </c>
      <c r="H41" s="15" t="inlineStr">
        <is>
          <t>Р на выходе подогревателя электрического</t>
        </is>
      </c>
      <c r="I41" s="15" t="inlineStr">
        <is>
          <t>Технологический отсек</t>
        </is>
      </c>
      <c r="J41" s="15" t="inlineStr">
        <is>
          <t>АСУ,А и ТМ (КЦ № 7)</t>
        </is>
      </c>
      <c r="K41" s="15" t="n"/>
      <c r="L41" s="15" t="n">
        <v>12</v>
      </c>
      <c r="M41" s="3" t="inlineStr">
        <is>
          <t>2К26</t>
        </is>
      </c>
      <c r="N41" s="70" t="inlineStr">
        <is>
          <t>К</t>
        </is>
      </c>
      <c r="O41" s="135" t="n"/>
    </row>
    <row r="42" ht="22.5" customHeight="1" s="151">
      <c r="A42" s="15">
        <f>IF(B42&lt;&gt;"", COUNTA($B$2:B42), "")</f>
        <v/>
      </c>
      <c r="B42" s="280" t="inlineStr">
        <is>
          <t>Манометр технический</t>
        </is>
      </c>
      <c r="C42" s="14" t="inlineStr">
        <is>
          <t>Росма КМ2</t>
        </is>
      </c>
      <c r="D42" s="29" t="inlineStr">
        <is>
          <t>700050</t>
        </is>
      </c>
      <c r="E42" s="70" t="n"/>
      <c r="F42" s="14" t="inlineStr">
        <is>
          <t>0..4 кПa</t>
        </is>
      </c>
      <c r="G42" s="17" t="inlineStr">
        <is>
          <t>1,5</t>
        </is>
      </c>
      <c r="H42" s="15" t="inlineStr">
        <is>
          <t>Рг после РД4</t>
        </is>
      </c>
      <c r="I42" s="15" t="inlineStr">
        <is>
          <t>Технологический отсек</t>
        </is>
      </c>
      <c r="J42" s="15" t="inlineStr">
        <is>
          <t>АСУ,А и ТМ (КЦ № 7)</t>
        </is>
      </c>
      <c r="K42" s="15" t="n"/>
      <c r="L42" s="15" t="n">
        <v>12</v>
      </c>
      <c r="M42" s="3" t="inlineStr">
        <is>
          <t>2К26</t>
        </is>
      </c>
      <c r="N42" s="70" t="inlineStr">
        <is>
          <t>К</t>
        </is>
      </c>
      <c r="O42" s="135" t="n"/>
    </row>
    <row r="43" ht="22.5" customHeight="1" s="151">
      <c r="A43" s="15">
        <f>IF(B43&lt;&gt;"", COUNTA($B$2:B43), "")</f>
        <v/>
      </c>
      <c r="B43" s="280" t="inlineStr">
        <is>
          <t>Манометр технический</t>
        </is>
      </c>
      <c r="C43" s="14" t="inlineStr">
        <is>
          <t>Росма КМ2</t>
        </is>
      </c>
      <c r="D43" s="29" t="inlineStr">
        <is>
          <t>700049</t>
        </is>
      </c>
      <c r="E43" s="70" t="n"/>
      <c r="F43" s="14" t="inlineStr">
        <is>
          <t>0..4 кПa</t>
        </is>
      </c>
      <c r="G43" s="17" t="inlineStr">
        <is>
          <t>1,5</t>
        </is>
      </c>
      <c r="H43" s="15" t="inlineStr">
        <is>
          <t>Рг после РД3</t>
        </is>
      </c>
      <c r="I43" s="15" t="inlineStr">
        <is>
          <t>Технологический отсек</t>
        </is>
      </c>
      <c r="J43" s="15" t="inlineStr">
        <is>
          <t>АСУ,А и ТМ (КЦ № 7)</t>
        </is>
      </c>
      <c r="K43" s="15" t="n"/>
      <c r="L43" s="15" t="n">
        <v>12</v>
      </c>
      <c r="M43" s="3" t="inlineStr">
        <is>
          <t>2К26</t>
        </is>
      </c>
      <c r="N43" s="70" t="inlineStr">
        <is>
          <t>К</t>
        </is>
      </c>
      <c r="O43" s="135" t="n"/>
    </row>
    <row r="44" ht="22.5" customHeight="1" s="151">
      <c r="A44" s="15">
        <f>IF(B44&lt;&gt;"", COUNTA($B$2:B44), "")</f>
        <v/>
      </c>
      <c r="B44" s="280" t="inlineStr">
        <is>
          <t>Манометр технический</t>
        </is>
      </c>
      <c r="C44" s="14" t="inlineStr">
        <is>
          <t>МП4-УУ2</t>
        </is>
      </c>
      <c r="D44" s="29" t="inlineStr">
        <is>
          <t>700046</t>
        </is>
      </c>
      <c r="E44" s="70" t="n"/>
      <c r="F44" s="14" t="inlineStr">
        <is>
          <t>0..600 кПa</t>
        </is>
      </c>
      <c r="G44" s="17" t="inlineStr">
        <is>
          <t>1,5</t>
        </is>
      </c>
      <c r="H44" s="15" t="inlineStr">
        <is>
          <t>Рг после регулятора</t>
        </is>
      </c>
      <c r="I44" s="15" t="inlineStr">
        <is>
          <t>Технологический отсек</t>
        </is>
      </c>
      <c r="J44" s="15" t="inlineStr">
        <is>
          <t>АСУ,А и ТМ (КЦ № 7)</t>
        </is>
      </c>
      <c r="K44" s="15" t="n"/>
      <c r="L44" s="15" t="n">
        <v>12</v>
      </c>
      <c r="M44" s="3" t="inlineStr">
        <is>
          <t>2К26</t>
        </is>
      </c>
      <c r="N44" s="70" t="inlineStr">
        <is>
          <t>К</t>
        </is>
      </c>
      <c r="O44" s="135" t="n"/>
    </row>
    <row r="45" ht="22.5" customHeight="1" s="151">
      <c r="A45" s="15">
        <f>IF(B45&lt;&gt;"", COUNTA($B$2:B45), "")</f>
        <v/>
      </c>
      <c r="B45" s="280" t="inlineStr">
        <is>
          <t>Манометр технический</t>
        </is>
      </c>
      <c r="C45" s="14" t="inlineStr">
        <is>
          <t>МП4-УУ2</t>
        </is>
      </c>
      <c r="D45" s="29" t="inlineStr">
        <is>
          <t>700064</t>
        </is>
      </c>
      <c r="E45" s="70" t="n"/>
      <c r="F45" s="14" t="inlineStr">
        <is>
          <t>0..600 кПa</t>
        </is>
      </c>
      <c r="G45" s="17" t="inlineStr">
        <is>
          <t>1,5</t>
        </is>
      </c>
      <c r="H45" s="15" t="inlineStr">
        <is>
          <t>Рг после РД2</t>
        </is>
      </c>
      <c r="I45" s="15" t="inlineStr">
        <is>
          <t>Технологический отсек</t>
        </is>
      </c>
      <c r="J45" s="15" t="inlineStr">
        <is>
          <t>АСУ,А и ТМ (КЦ № 7)</t>
        </is>
      </c>
      <c r="K45" s="15" t="n"/>
      <c r="L45" s="15" t="n">
        <v>12</v>
      </c>
      <c r="M45" s="3" t="inlineStr">
        <is>
          <t>2К26</t>
        </is>
      </c>
      <c r="N45" s="70" t="inlineStr">
        <is>
          <t>К</t>
        </is>
      </c>
      <c r="O45" s="135" t="n"/>
    </row>
    <row r="46" ht="22.5" customHeight="1" s="151">
      <c r="A46" s="15">
        <f>IF(B46&lt;&gt;"", COUNTA($B$2:B46), "")</f>
        <v/>
      </c>
      <c r="B46" s="280" t="inlineStr">
        <is>
          <t>Манометр технический</t>
        </is>
      </c>
      <c r="C46" s="14" t="inlineStr">
        <is>
          <t>МП4-УУ2</t>
        </is>
      </c>
      <c r="D46" s="29" t="inlineStr">
        <is>
          <t>700048</t>
        </is>
      </c>
      <c r="E46" s="70" t="n"/>
      <c r="F46" s="14" t="inlineStr">
        <is>
          <t>0..600 кПa</t>
        </is>
      </c>
      <c r="G46" s="17" t="inlineStr">
        <is>
          <t>1,5</t>
        </is>
      </c>
      <c r="H46" s="15" t="inlineStr">
        <is>
          <t>Рг после РД1</t>
        </is>
      </c>
      <c r="I46" s="15" t="inlineStr">
        <is>
          <t>Технологический отсек</t>
        </is>
      </c>
      <c r="J46" s="15" t="inlineStr">
        <is>
          <t>АСУ,А и ТМ (КЦ № 7)</t>
        </is>
      </c>
      <c r="K46" s="15" t="n"/>
      <c r="L46" s="15" t="n">
        <v>12</v>
      </c>
      <c r="M46" s="3" t="inlineStr">
        <is>
          <t>2К26</t>
        </is>
      </c>
      <c r="N46" s="70" t="inlineStr">
        <is>
          <t>К</t>
        </is>
      </c>
      <c r="O46" s="135" t="n"/>
    </row>
    <row r="47" ht="22.5" customHeight="1" s="151">
      <c r="A47" s="15">
        <f>IF(B47&lt;&gt;"", COUNTA($B$2:B47), "")</f>
        <v/>
      </c>
      <c r="B47" s="76" t="inlineStr">
        <is>
          <t>Термометр сопротивления</t>
        </is>
      </c>
      <c r="C47" s="14" t="inlineStr">
        <is>
          <t>Метран-276-08</t>
        </is>
      </c>
      <c r="D47" s="14" t="n">
        <v>2422392</v>
      </c>
      <c r="E47" s="15" t="n">
        <v>2018</v>
      </c>
      <c r="F47" s="17" t="inlineStr">
        <is>
          <t>-50..+150 °С</t>
        </is>
      </c>
      <c r="G47" s="20" t="n">
        <v>0.0025</v>
      </c>
      <c r="H47" s="15" t="inlineStr">
        <is>
          <t>Тг на линии редуцирования</t>
        </is>
      </c>
      <c r="I47" s="15" t="inlineStr">
        <is>
          <t>Технологический отсек</t>
        </is>
      </c>
      <c r="J47" s="15" t="inlineStr">
        <is>
          <t>АСУ,А и ТМ (КЦ № 7)</t>
        </is>
      </c>
      <c r="K47" s="15" t="n"/>
      <c r="L47" s="15" t="n">
        <v>60</v>
      </c>
      <c r="M47" s="3" t="n"/>
      <c r="N47" s="70" t="n"/>
      <c r="O47" s="136" t="n"/>
    </row>
    <row r="48" ht="22.5" customHeight="1" s="151">
      <c r="A48" s="15">
        <f>IF(B48&lt;&gt;"", COUNTA($B$2:B48), "")</f>
        <v/>
      </c>
      <c r="B48" s="73" t="inlineStr">
        <is>
          <t>Преобразователь избыточного давления</t>
        </is>
      </c>
      <c r="C48" s="14" t="inlineStr">
        <is>
          <t>Метран 150 TG</t>
        </is>
      </c>
      <c r="D48" s="15" t="n">
        <v>6063457</v>
      </c>
      <c r="E48" s="14" t="n">
        <v>2018</v>
      </c>
      <c r="F48" s="14" t="inlineStr">
        <is>
          <t>0..1 МПa</t>
        </is>
      </c>
      <c r="G48" s="20" t="n">
        <v>0.001</v>
      </c>
      <c r="H48" s="15" t="inlineStr">
        <is>
          <t>Рг после регулятора</t>
        </is>
      </c>
      <c r="I48" s="15" t="inlineStr">
        <is>
          <t>Технологический отсек</t>
        </is>
      </c>
      <c r="J48" s="15" t="inlineStr">
        <is>
          <t>АСУ,А и ТМ (КЦ № 7)</t>
        </is>
      </c>
      <c r="K48" s="15" t="n"/>
      <c r="L48" s="15" t="n">
        <v>60</v>
      </c>
      <c r="M48" s="3" t="n"/>
      <c r="N48" s="70" t="n"/>
      <c r="O48" s="135" t="n"/>
    </row>
    <row r="49" ht="22.5" customHeight="1" s="151">
      <c r="A49" s="15">
        <f>IF(B49&lt;&gt;"", COUNTA($B$2:B49), "")</f>
        <v/>
      </c>
      <c r="B49" s="73" t="inlineStr">
        <is>
          <t>Преобразователь избыточного давления</t>
        </is>
      </c>
      <c r="C49" s="14" t="inlineStr">
        <is>
          <t>Метран 150 TG</t>
        </is>
      </c>
      <c r="D49" s="15" t="n">
        <v>6063465</v>
      </c>
      <c r="E49" s="14" t="n">
        <v>2018</v>
      </c>
      <c r="F49" s="14" t="inlineStr">
        <is>
          <t>0..25 МПa</t>
        </is>
      </c>
      <c r="G49" s="20" t="n">
        <v>0.001</v>
      </c>
      <c r="H49" s="15" t="n"/>
      <c r="I49" s="15" t="inlineStr">
        <is>
          <t>Технологический отсек</t>
        </is>
      </c>
      <c r="J49" s="15" t="inlineStr">
        <is>
          <t>АСУ,А и ТМ (КЦ № 7)</t>
        </is>
      </c>
      <c r="K49" s="15" t="n"/>
      <c r="L49" s="15" t="n">
        <v>60</v>
      </c>
      <c r="M49" s="3" t="n"/>
      <c r="N49" s="70" t="n"/>
      <c r="O49" s="135" t="n"/>
    </row>
    <row r="50" ht="22.5" customHeight="1" s="151">
      <c r="A50" s="15">
        <f>IF(B50&lt;&gt;"", COUNTA($B$2:B50), "")</f>
        <v/>
      </c>
      <c r="B50" s="73" t="inlineStr">
        <is>
          <t>Преобразователь избыточного давления</t>
        </is>
      </c>
      <c r="C50" s="14" t="inlineStr">
        <is>
          <t>Метран 150 CD</t>
        </is>
      </c>
      <c r="D50" s="15" t="n">
        <v>6148422</v>
      </c>
      <c r="E50" s="14" t="n">
        <v>2020</v>
      </c>
      <c r="F50" s="14" t="inlineStr">
        <is>
          <t>0..1,6 МПa</t>
        </is>
      </c>
      <c r="G50" s="20" t="n">
        <v>0.001</v>
      </c>
      <c r="H50" s="15" t="inlineStr">
        <is>
          <t>Перепад установки УПИГ</t>
        </is>
      </c>
      <c r="I50" s="15" t="inlineStr">
        <is>
          <t>Технологический отсек</t>
        </is>
      </c>
      <c r="J50" s="15" t="inlineStr">
        <is>
          <t>АСУ,А и ТМ (КЦ № 7)</t>
        </is>
      </c>
      <c r="K50" s="15" t="n"/>
      <c r="L50" s="15" t="n">
        <v>60</v>
      </c>
      <c r="M50" s="3" t="n"/>
      <c r="N50" s="70" t="n"/>
      <c r="O50" s="135" t="n"/>
    </row>
    <row r="51" ht="22.5" customHeight="1" s="151">
      <c r="A51" s="15">
        <f>IF(B51&lt;&gt;"", COUNTA($B$2:B51), "")</f>
        <v/>
      </c>
      <c r="B51" s="280" t="inlineStr">
        <is>
          <t>Манометр технический</t>
        </is>
      </c>
      <c r="C51" s="14" t="inlineStr">
        <is>
          <t>МП100</t>
        </is>
      </c>
      <c r="D51" s="29" t="inlineStr">
        <is>
          <t>1805691462</t>
        </is>
      </c>
      <c r="E51" s="70" t="n"/>
      <c r="F51" s="14" t="inlineStr">
        <is>
          <t>0..16 МПa</t>
        </is>
      </c>
      <c r="G51" s="71" t="n">
        <v>1</v>
      </c>
      <c r="H51" s="15" t="inlineStr">
        <is>
          <t>М1/КР13 Давление входа</t>
        </is>
      </c>
      <c r="I51" s="15" t="inlineStr">
        <is>
          <t>Технологический отсек</t>
        </is>
      </c>
      <c r="J51" s="15" t="inlineStr">
        <is>
          <t>АСУ,А и ТМ (КЦ № 7)</t>
        </is>
      </c>
      <c r="K51" s="15" t="n"/>
      <c r="L51" s="15" t="n">
        <v>12</v>
      </c>
      <c r="M51" s="3" t="inlineStr">
        <is>
          <t>2К26</t>
        </is>
      </c>
      <c r="N51" s="70" t="inlineStr">
        <is>
          <t>К</t>
        </is>
      </c>
      <c r="O51" s="135" t="n"/>
    </row>
    <row r="52" ht="22.5" customHeight="1" s="151">
      <c r="A52" s="15">
        <f>IF(B52&lt;&gt;"", COUNTA($B$2:B52), "")</f>
        <v/>
      </c>
      <c r="B52" s="280" t="inlineStr">
        <is>
          <t>Манометр технический</t>
        </is>
      </c>
      <c r="C52" s="14" t="inlineStr">
        <is>
          <t>МП100</t>
        </is>
      </c>
      <c r="D52" s="29" t="inlineStr">
        <is>
          <t>1803211630</t>
        </is>
      </c>
      <c r="E52" s="70" t="n"/>
      <c r="F52" s="17" t="inlineStr">
        <is>
          <t>-100..+0 кПа</t>
        </is>
      </c>
      <c r="G52" s="71" t="n">
        <v>1</v>
      </c>
      <c r="H52" s="15" t="inlineStr">
        <is>
          <t>В1/ДВ1 Вакуумирование</t>
        </is>
      </c>
      <c r="I52" s="15" t="inlineStr">
        <is>
          <t>Технологический отсек</t>
        </is>
      </c>
      <c r="J52" s="15" t="inlineStr">
        <is>
          <t>АСУ,А и ТМ (КЦ № 7)</t>
        </is>
      </c>
      <c r="K52" s="15" t="n"/>
      <c r="L52" s="15" t="n">
        <v>12</v>
      </c>
      <c r="M52" s="3" t="inlineStr">
        <is>
          <t>2К26</t>
        </is>
      </c>
      <c r="N52" s="70" t="inlineStr">
        <is>
          <t>К</t>
        </is>
      </c>
      <c r="O52" s="135" t="n"/>
    </row>
    <row r="53" ht="22.5" customHeight="1" s="151">
      <c r="A53" s="15">
        <f>IF(B53&lt;&gt;"", COUNTA($B$2:B53), "")</f>
        <v/>
      </c>
      <c r="B53" s="280" t="inlineStr">
        <is>
          <t>Манометр технический</t>
        </is>
      </c>
      <c r="C53" s="14" t="inlineStr">
        <is>
          <t>МП100</t>
        </is>
      </c>
      <c r="D53" s="29" t="inlineStr">
        <is>
          <t>1805691456</t>
        </is>
      </c>
      <c r="E53" s="70" t="n"/>
      <c r="F53" s="14" t="inlineStr">
        <is>
          <t>0..16 МПa</t>
        </is>
      </c>
      <c r="G53" s="71" t="n">
        <v>1</v>
      </c>
      <c r="H53" s="15" t="inlineStr">
        <is>
          <t>М2/КР14 Давление выхода</t>
        </is>
      </c>
      <c r="I53" s="15" t="inlineStr">
        <is>
          <t>Технологический отсек</t>
        </is>
      </c>
      <c r="J53" s="15" t="inlineStr">
        <is>
          <t>АСУ,А и ТМ (КЦ № 7)</t>
        </is>
      </c>
      <c r="K53" s="15" t="n"/>
      <c r="L53" s="15" t="n">
        <v>12</v>
      </c>
      <c r="M53" s="3" t="inlineStr">
        <is>
          <t>2К26</t>
        </is>
      </c>
      <c r="N53" s="70" t="inlineStr">
        <is>
          <t>К</t>
        </is>
      </c>
      <c r="O53" s="135" t="n"/>
    </row>
    <row r="54" ht="22.5" customHeight="1" s="151">
      <c r="A54" s="15">
        <f>IF(B54&lt;&gt;"", COUNTA($B$2:B54), "")</f>
        <v/>
      </c>
      <c r="B54" s="280" t="inlineStr">
        <is>
          <t>Манометр технический</t>
        </is>
      </c>
      <c r="C54" s="14" t="inlineStr">
        <is>
          <t>МП100</t>
        </is>
      </c>
      <c r="D54" s="29" t="inlineStr">
        <is>
          <t>1805691473</t>
        </is>
      </c>
      <c r="E54" s="70" t="n"/>
      <c r="F54" s="14" t="inlineStr">
        <is>
          <t>0..16 МПa</t>
        </is>
      </c>
      <c r="G54" s="71" t="n">
        <v>1</v>
      </c>
      <c r="H54" s="15" t="inlineStr">
        <is>
          <t>М3/КР15 Давление А1</t>
        </is>
      </c>
      <c r="I54" s="15" t="inlineStr">
        <is>
          <t>Технологический отсек</t>
        </is>
      </c>
      <c r="J54" s="15" t="inlineStr">
        <is>
          <t>АСУ,А и ТМ (КЦ № 7)</t>
        </is>
      </c>
      <c r="K54" s="15" t="n"/>
      <c r="L54" s="15" t="n">
        <v>12</v>
      </c>
      <c r="M54" s="3" t="inlineStr">
        <is>
          <t>2К26</t>
        </is>
      </c>
      <c r="N54" s="70" t="inlineStr">
        <is>
          <t>К</t>
        </is>
      </c>
      <c r="O54" s="135" t="n"/>
    </row>
    <row r="55" ht="22.5" customHeight="1" s="151">
      <c r="A55" s="15">
        <f>IF(B55&lt;&gt;"", COUNTA($B$2:B55), "")</f>
        <v/>
      </c>
      <c r="B55" s="280" t="inlineStr">
        <is>
          <t>Манометр технический</t>
        </is>
      </c>
      <c r="C55" s="14" t="inlineStr">
        <is>
          <t>МП100</t>
        </is>
      </c>
      <c r="D55" s="29" t="inlineStr">
        <is>
          <t>1805691468</t>
        </is>
      </c>
      <c r="E55" s="70" t="n"/>
      <c r="F55" s="14" t="inlineStr">
        <is>
          <t>0..16 МПa</t>
        </is>
      </c>
      <c r="G55" s="71" t="n">
        <v>1</v>
      </c>
      <c r="H55" s="15" t="inlineStr">
        <is>
          <t>М4/КР16 Давление А2</t>
        </is>
      </c>
      <c r="I55" s="15" t="inlineStr">
        <is>
          <t>Технологический отсек</t>
        </is>
      </c>
      <c r="J55" s="15" t="inlineStr">
        <is>
          <t>АСУ,А и ТМ (КЦ № 7)</t>
        </is>
      </c>
      <c r="K55" s="15" t="n"/>
      <c r="L55" s="15" t="n">
        <v>12</v>
      </c>
      <c r="M55" s="3" t="inlineStr">
        <is>
          <t>2К26</t>
        </is>
      </c>
      <c r="N55" s="70" t="inlineStr">
        <is>
          <t>К</t>
        </is>
      </c>
      <c r="O55" s="135" t="n"/>
    </row>
    <row r="56" ht="22.5" customHeight="1" s="151">
      <c r="A56" s="15">
        <f>IF(B56&lt;&gt;"", COUNTA($B$2:B56), "")</f>
        <v/>
      </c>
      <c r="B56" s="280" t="inlineStr">
        <is>
          <t>Манометр технический</t>
        </is>
      </c>
      <c r="C56" s="14" t="inlineStr">
        <is>
          <t>EN 837-1</t>
        </is>
      </c>
      <c r="D56" s="29" t="inlineStr">
        <is>
          <t>700053</t>
        </is>
      </c>
      <c r="E56" s="70" t="n"/>
      <c r="F56" s="14" t="inlineStr">
        <is>
          <t>0..4 bar</t>
        </is>
      </c>
      <c r="G56" s="71" t="n">
        <v>2.5</v>
      </c>
      <c r="H56" s="15" t="inlineStr">
        <is>
          <t>Давление газа после Р2.</t>
        </is>
      </c>
      <c r="I56" s="15" t="inlineStr">
        <is>
          <t>Технологический отсек</t>
        </is>
      </c>
      <c r="J56" s="15" t="inlineStr">
        <is>
          <t>АСУ,А и ТМ (КЦ № 7)</t>
        </is>
      </c>
      <c r="K56" s="15" t="n"/>
      <c r="L56" s="15" t="n">
        <v>12</v>
      </c>
      <c r="M56" s="3" t="inlineStr">
        <is>
          <t>2К26</t>
        </is>
      </c>
      <c r="N56" s="70" t="inlineStr">
        <is>
          <t>К</t>
        </is>
      </c>
      <c r="O56" s="135" t="n"/>
    </row>
    <row r="57" ht="22.5" customHeight="1" s="151">
      <c r="A57" s="15">
        <f>IF(B57&lt;&gt;"", COUNTA($B$2:B57), "")</f>
        <v/>
      </c>
      <c r="B57" s="280" t="inlineStr">
        <is>
          <t>Манометр технический</t>
        </is>
      </c>
      <c r="C57" s="14" t="inlineStr">
        <is>
          <t>EN 837-1</t>
        </is>
      </c>
      <c r="D57" s="29" t="inlineStr">
        <is>
          <t>700052</t>
        </is>
      </c>
      <c r="E57" s="70" t="n"/>
      <c r="F57" s="14" t="inlineStr">
        <is>
          <t>0..25 bar</t>
        </is>
      </c>
      <c r="G57" s="71" t="n">
        <v>2.5</v>
      </c>
      <c r="H57" s="15" t="inlineStr">
        <is>
          <t>Давление газа после Р1.</t>
        </is>
      </c>
      <c r="I57" s="15" t="inlineStr">
        <is>
          <t>Технологический отсек</t>
        </is>
      </c>
      <c r="J57" s="15" t="inlineStr">
        <is>
          <t>АСУ,А и ТМ (КЦ № 7)</t>
        </is>
      </c>
      <c r="K57" s="15" t="n"/>
      <c r="L57" s="15" t="n">
        <v>12</v>
      </c>
      <c r="M57" s="3" t="inlineStr">
        <is>
          <t>2К26</t>
        </is>
      </c>
      <c r="N57" s="70" t="inlineStr">
        <is>
          <t>К</t>
        </is>
      </c>
      <c r="O57" s="135" t="n"/>
    </row>
    <row r="58" ht="22.5" customHeight="1" s="151">
      <c r="A58" s="15">
        <f>IF(B58&lt;&gt;"", COUNTA($B$2:B58), "")</f>
        <v/>
      </c>
      <c r="B58" s="280" t="inlineStr">
        <is>
          <t>Извещатель пламени инфракрасный</t>
        </is>
      </c>
      <c r="C58" s="14" t="inlineStr">
        <is>
          <t>ИП 330/1-20-A1</t>
        </is>
      </c>
      <c r="D58" s="29" t="inlineStr">
        <is>
          <t>000027</t>
        </is>
      </c>
      <c r="E58" s="70" t="n"/>
      <c r="F58" s="32" t="n"/>
      <c r="G58" s="71" t="n"/>
      <c r="H58" s="15" t="inlineStr">
        <is>
          <t>BTF 1</t>
        </is>
      </c>
      <c r="I58" s="15" t="inlineStr">
        <is>
          <t>Технологический отсек</t>
        </is>
      </c>
      <c r="J58" s="15" t="inlineStr">
        <is>
          <t>АСУ,А и ТМ (КЦ № 7)</t>
        </is>
      </c>
      <c r="K58" s="15" t="n"/>
      <c r="L58" s="15" t="n">
        <v>60</v>
      </c>
      <c r="M58" s="3" t="n"/>
      <c r="N58" s="70" t="n"/>
      <c r="O58" s="135" t="inlineStr">
        <is>
          <t>Не является СИ</t>
        </is>
      </c>
    </row>
    <row r="59" ht="22.5" customHeight="1" s="151">
      <c r="A59" s="15">
        <f>IF(B59&lt;&gt;"", COUNTA($B$2:B59), "")</f>
        <v/>
      </c>
      <c r="B59" s="280" t="inlineStr">
        <is>
          <t>Извещатель пламени инфракрасный</t>
        </is>
      </c>
      <c r="C59" s="14" t="inlineStr">
        <is>
          <t>ИП 330/1-20-A1</t>
        </is>
      </c>
      <c r="D59" s="29" t="inlineStr">
        <is>
          <t>000026</t>
        </is>
      </c>
      <c r="E59" s="70" t="n"/>
      <c r="F59" s="93" t="n"/>
      <c r="G59" s="93" t="n"/>
      <c r="H59" s="15" t="inlineStr">
        <is>
          <t>BTF 2</t>
        </is>
      </c>
      <c r="I59" s="15" t="inlineStr">
        <is>
          <t>Технологический отсек</t>
        </is>
      </c>
      <c r="J59" s="15" t="inlineStr">
        <is>
          <t>АСУ,А и ТМ (КЦ № 7)</t>
        </is>
      </c>
      <c r="K59" s="93" t="n"/>
      <c r="L59" s="15" t="n">
        <v>60</v>
      </c>
      <c r="M59" s="93" t="n"/>
      <c r="N59" s="93" t="n"/>
      <c r="O59" s="135" t="inlineStr">
        <is>
          <t>Не является СИ</t>
        </is>
      </c>
    </row>
    <row r="60" ht="22.5" customHeight="1" s="151">
      <c r="A60" s="15">
        <f>IF(B60&lt;&gt;"", COUNTA($B$2:B60), "")</f>
        <v/>
      </c>
      <c r="B60" s="280" t="inlineStr">
        <is>
          <t>Газоанализатор оптический</t>
        </is>
      </c>
      <c r="C60" s="14" t="inlineStr">
        <is>
          <t>СГОЭС-2</t>
        </is>
      </c>
      <c r="D60" s="29" t="inlineStr">
        <is>
          <t>87605</t>
        </is>
      </c>
      <c r="E60" s="70" t="n">
        <v>2020</v>
      </c>
      <c r="F60" s="32" t="n"/>
      <c r="G60" s="71" t="n"/>
      <c r="H60" s="15" t="inlineStr">
        <is>
          <t>QE1</t>
        </is>
      </c>
      <c r="I60" s="15" t="inlineStr">
        <is>
          <t>Технологический отсек</t>
        </is>
      </c>
      <c r="J60" s="15" t="inlineStr">
        <is>
          <t>АСУ,А и ТМ (КЦ № 7)</t>
        </is>
      </c>
      <c r="K60" s="15" t="n"/>
      <c r="L60" s="15" t="n">
        <v>60</v>
      </c>
      <c r="M60" s="3" t="n"/>
      <c r="N60" s="70" t="n"/>
      <c r="O60" s="135" t="n"/>
    </row>
    <row r="61" ht="22.5" customHeight="1" s="151">
      <c r="A61" s="15">
        <f>IF(B61&lt;&gt;"", COUNTA($B$2:B61), "")</f>
        <v/>
      </c>
      <c r="B61" s="280" t="inlineStr">
        <is>
          <t>Газоанализатор оптический</t>
        </is>
      </c>
      <c r="C61" s="14" t="inlineStr">
        <is>
          <t>СГОЭС-2</t>
        </is>
      </c>
      <c r="D61" s="29" t="inlineStr">
        <is>
          <t>87675</t>
        </is>
      </c>
      <c r="E61" s="70" t="n">
        <v>2020</v>
      </c>
      <c r="F61" s="32" t="n"/>
      <c r="G61" s="71" t="n"/>
      <c r="H61" s="15" t="inlineStr">
        <is>
          <t>QE2</t>
        </is>
      </c>
      <c r="I61" s="15" t="inlineStr">
        <is>
          <t>Технологический отсек</t>
        </is>
      </c>
      <c r="J61" s="15" t="inlineStr">
        <is>
          <t>АСУ,А и ТМ (КЦ № 7)</t>
        </is>
      </c>
      <c r="K61" s="15" t="n"/>
      <c r="L61" s="15" t="n">
        <v>60</v>
      </c>
      <c r="M61" s="3" t="n"/>
      <c r="N61" s="70" t="n"/>
      <c r="O61" s="135" t="n"/>
    </row>
    <row r="62" ht="22.5" customHeight="1" s="151">
      <c r="A62" s="15">
        <f>IF(B62&lt;&gt;"", COUNTA($B$2:B62), "")</f>
        <v/>
      </c>
      <c r="B62" s="280" t="inlineStr">
        <is>
          <t>Термометр сопротивления</t>
        </is>
      </c>
      <c r="C62" s="14" t="inlineStr">
        <is>
          <t>Метран-276-08</t>
        </is>
      </c>
      <c r="D62" s="29" t="inlineStr">
        <is>
          <t>2422388</t>
        </is>
      </c>
      <c r="E62" s="70" t="n">
        <v>2018</v>
      </c>
      <c r="F62" s="17" t="inlineStr">
        <is>
          <t>-50..+150 °С</t>
        </is>
      </c>
      <c r="G62" s="101" t="n">
        <v>0.025</v>
      </c>
      <c r="H62" s="15" t="inlineStr">
        <is>
          <t>Тг после линии редуцирования</t>
        </is>
      </c>
      <c r="I62" s="15" t="inlineStr">
        <is>
          <t>Технологический отсек</t>
        </is>
      </c>
      <c r="J62" s="15" t="inlineStr">
        <is>
          <t>АСУ,А и ТМ (КЦ № 7)</t>
        </is>
      </c>
      <c r="K62" s="15" t="n"/>
      <c r="L62" s="15" t="n"/>
      <c r="M62" s="3" t="n"/>
      <c r="N62" s="70" t="n"/>
      <c r="O62" s="136" t="n"/>
    </row>
    <row r="63" ht="33.75" customHeight="1" s="151">
      <c r="A63" s="15">
        <f>IF(B63&lt;&gt;"", COUNTA($B$2:B63), "")</f>
        <v/>
      </c>
      <c r="B63" s="280" t="inlineStr">
        <is>
          <t>Газоанализатор электрохимический</t>
        </is>
      </c>
      <c r="C63" s="14" t="inlineStr">
        <is>
          <t>ДАХ-М-06ТР</t>
        </is>
      </c>
      <c r="D63" s="29" t="inlineStr">
        <is>
          <t>210910</t>
        </is>
      </c>
      <c r="E63" s="70" t="n"/>
      <c r="F63" s="32" t="inlineStr">
        <is>
          <t>Оксид углерода (СО)</t>
        </is>
      </c>
      <c r="G63" s="71" t="n"/>
      <c r="H63" s="15" t="inlineStr">
        <is>
          <t>Загазованность в отсеке теплоносителя (СО)</t>
        </is>
      </c>
      <c r="I63" s="15" t="inlineStr">
        <is>
          <t>Отсек теплоносителя</t>
        </is>
      </c>
      <c r="J63" s="15" t="inlineStr">
        <is>
          <t>АСУ,А и ТМ (КЦ № 7)</t>
        </is>
      </c>
      <c r="K63" s="15" t="n"/>
      <c r="L63" s="15" t="n"/>
      <c r="M63" s="15" t="n"/>
      <c r="N63" s="15" t="n"/>
      <c r="O63" s="135" t="n"/>
    </row>
    <row r="64" ht="33.75" customHeight="1" s="151">
      <c r="A64" s="15">
        <f>IF(B64&lt;&gt;"", COUNTA($B$2:B64), "")</f>
        <v/>
      </c>
      <c r="B64" s="280" t="inlineStr">
        <is>
          <t>Газоанализатор электрохимический</t>
        </is>
      </c>
      <c r="C64" s="14" t="inlineStr">
        <is>
          <t>ДАК-CH4-129</t>
        </is>
      </c>
      <c r="D64" s="29" t="inlineStr">
        <is>
          <t>211003</t>
        </is>
      </c>
      <c r="E64" s="70" t="n"/>
      <c r="F64" s="32" t="inlineStr">
        <is>
          <t>Метан (СН4)</t>
        </is>
      </c>
      <c r="G64" s="71" t="n"/>
      <c r="H64" s="15" t="inlineStr">
        <is>
          <t>Загазованность в отсеке теплоносителя (СН4)</t>
        </is>
      </c>
      <c r="I64" s="15" t="inlineStr">
        <is>
          <t>Отсек теплоносителя</t>
        </is>
      </c>
      <c r="J64" s="15" t="inlineStr">
        <is>
          <t>АСУ,А и ТМ (КЦ № 7)</t>
        </is>
      </c>
      <c r="K64" s="15" t="n"/>
      <c r="L64" s="15" t="n"/>
      <c r="M64" s="15" t="n"/>
      <c r="N64" s="15" t="n"/>
      <c r="O64" s="135" t="n"/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25" right="0.25" top="0.75" bottom="0.75" header="0.3" footer="0.3"/>
  <pageSetup orientation="landscape" paperSize="9" scale="32"/>
</worksheet>
</file>

<file path=xl/worksheets/sheet29.xml><?xml version="1.0" encoding="utf-8"?>
<worksheet xmlns="http://schemas.openxmlformats.org/spreadsheetml/2006/main">
  <sheetPr codeName="Лист28">
    <outlinePr summaryBelow="1" summaryRight="1"/>
    <pageSetUpPr fitToPage="1"/>
  </sheetPr>
  <dimension ref="A1:N50"/>
  <sheetViews>
    <sheetView zoomScale="130" zoomScaleNormal="130" workbookViewId="0">
      <pane ySplit="1" topLeftCell="A28" activePane="bottomLeft" state="frozen"/>
      <selection pane="bottomLeft" activeCell="M35" sqref="M35"/>
    </sheetView>
  </sheetViews>
  <sheetFormatPr baseColWidth="8" defaultRowHeight="15"/>
  <cols>
    <col width="3.140625" bestFit="1" customWidth="1" style="151" min="1" max="1"/>
    <col width="24.85546875" bestFit="1" customWidth="1" style="151" min="2" max="2"/>
    <col width="9.85546875" customWidth="1" style="151" min="3" max="3"/>
    <col width="8.7109375" bestFit="1" customWidth="1" style="151" min="4" max="4"/>
    <col width="6.5703125" bestFit="1" customWidth="1" style="151" min="5" max="5"/>
    <col width="12.5703125" bestFit="1" customWidth="1" style="151" min="6" max="6"/>
    <col width="7.7109375" bestFit="1" customWidth="1" style="151" min="7" max="7"/>
    <col width="13.28515625" customWidth="1" style="151" min="8" max="8"/>
    <col width="8" bestFit="1" customWidth="1" style="151" min="9" max="9"/>
    <col width="11.7109375" bestFit="1" customWidth="1" style="151" min="10" max="10"/>
    <col width="8" bestFit="1" customWidth="1" style="151" min="11" max="11"/>
    <col width="9" bestFit="1" customWidth="1" style="151" min="12" max="12"/>
    <col width="9.140625" customWidth="1" style="151" min="13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
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 ht="22.5" customHeight="1" s="151">
      <c r="A2" s="15">
        <f>IF(B2&lt;&gt;"", COUNTA($B$2:B2), "")</f>
        <v/>
      </c>
      <c r="B2" s="280" t="inlineStr">
        <is>
          <t>Манометр технический</t>
        </is>
      </c>
      <c r="C2" s="14" t="inlineStr">
        <is>
          <t>Росма ТМ5</t>
        </is>
      </c>
      <c r="D2" s="29" t="inlineStr">
        <is>
          <t>50282</t>
        </is>
      </c>
      <c r="E2" s="70" t="n"/>
      <c r="F2" s="14" t="inlineStr">
        <is>
          <t>0..1,6 МПa</t>
        </is>
      </c>
      <c r="G2" s="71" t="n">
        <v>1.5</v>
      </c>
      <c r="H2" s="15" t="inlineStr">
        <is>
          <t>Р после Кр7</t>
        </is>
      </c>
      <c r="I2" s="15" t="inlineStr">
        <is>
          <t>ПЭБ КЦ №7</t>
        </is>
      </c>
      <c r="J2" s="15" t="inlineStr">
        <is>
          <t>АСУ,А и ТМ (КЦ № 7)</t>
        </is>
      </c>
      <c r="K2" s="15" t="n"/>
      <c r="L2" s="14" t="n">
        <v>12</v>
      </c>
      <c r="M2" s="3" t="inlineStr">
        <is>
          <t>26ДЯУ</t>
        </is>
      </c>
      <c r="N2" s="70" t="inlineStr">
        <is>
          <t>П</t>
        </is>
      </c>
    </row>
    <row r="3" ht="22.5" customHeight="1" s="151">
      <c r="A3" s="15">
        <f>IF(B3&lt;&gt;"", COUNTA($B$2:B3), "")</f>
        <v/>
      </c>
      <c r="B3" s="280" t="inlineStr">
        <is>
          <t>Манометр технический</t>
        </is>
      </c>
      <c r="C3" s="14" t="inlineStr">
        <is>
          <t>Росма ТМ5</t>
        </is>
      </c>
      <c r="D3" s="29" t="inlineStr">
        <is>
          <t>051758</t>
        </is>
      </c>
      <c r="E3" s="14" t="n"/>
      <c r="F3" s="14" t="inlineStr">
        <is>
          <t>0..1,6 МПa</t>
        </is>
      </c>
      <c r="G3" s="71" t="n">
        <v>1.5</v>
      </c>
      <c r="H3" s="17" t="inlineStr">
        <is>
          <t>Р перед Фобр</t>
        </is>
      </c>
      <c r="I3" s="15" t="inlineStr">
        <is>
          <t>ПЭБ КЦ №7</t>
        </is>
      </c>
      <c r="J3" s="15" t="inlineStr">
        <is>
          <t>АСУ,А и ТМ (КЦ № 7)</t>
        </is>
      </c>
      <c r="K3" s="15" t="n"/>
      <c r="L3" s="14" t="n">
        <v>12</v>
      </c>
      <c r="M3" s="3" t="inlineStr">
        <is>
          <t>26ДЯУ</t>
        </is>
      </c>
      <c r="N3" s="70" t="inlineStr">
        <is>
          <t>П</t>
        </is>
      </c>
    </row>
    <row r="4" ht="22.5" customHeight="1" s="151">
      <c r="A4" s="15">
        <f>IF(B4&lt;&gt;"", COUNTA($B$2:B4), "")</f>
        <v/>
      </c>
      <c r="B4" s="280" t="inlineStr">
        <is>
          <t>Термометр биметаллический</t>
        </is>
      </c>
      <c r="C4" s="14" t="inlineStr">
        <is>
          <t>Росма БТ5</t>
        </is>
      </c>
      <c r="D4" s="29" t="inlineStr">
        <is>
          <t>7000216</t>
        </is>
      </c>
      <c r="E4" s="14" t="n"/>
      <c r="F4" s="17" t="inlineStr">
        <is>
          <t>0..+120 °С</t>
        </is>
      </c>
      <c r="G4" s="71" t="n">
        <v>1.5</v>
      </c>
      <c r="H4" s="17" t="inlineStr">
        <is>
          <t>Т перед Кр6</t>
        </is>
      </c>
      <c r="I4" s="15" t="inlineStr">
        <is>
          <t>ПЭБ КЦ №7</t>
        </is>
      </c>
      <c r="J4" s="15" t="inlineStr">
        <is>
          <t>АСУ,А и ТМ (КЦ № 7)</t>
        </is>
      </c>
      <c r="K4" s="15" t="n"/>
      <c r="L4" s="14" t="n">
        <v>12</v>
      </c>
      <c r="M4" s="3" t="inlineStr">
        <is>
          <t>25ДЯУ</t>
        </is>
      </c>
      <c r="N4" s="70" t="inlineStr">
        <is>
          <t>П</t>
        </is>
      </c>
    </row>
    <row r="5" ht="33.75" customHeight="1" s="151">
      <c r="A5" s="15">
        <f>IF(B5&lt;&gt;"", COUNTA($B$2:B5), "")</f>
        <v/>
      </c>
      <c r="B5" s="280" t="inlineStr">
        <is>
          <t>Манометр технический</t>
        </is>
      </c>
      <c r="C5" s="14" t="inlineStr">
        <is>
          <t>Росма ТМ5</t>
        </is>
      </c>
      <c r="D5" s="29" t="inlineStr">
        <is>
          <t>0052475</t>
        </is>
      </c>
      <c r="E5" s="14" t="n"/>
      <c r="F5" s="14" t="inlineStr">
        <is>
          <t>0..1,6 МПa</t>
        </is>
      </c>
      <c r="G5" s="71" t="n">
        <v>1.5</v>
      </c>
      <c r="H5" s="17" t="inlineStr">
        <is>
          <t>Р на входе теплообменника после насоса</t>
        </is>
      </c>
      <c r="I5" s="15" t="inlineStr">
        <is>
          <t>ПЭБ КЦ №7</t>
        </is>
      </c>
      <c r="J5" s="15" t="inlineStr">
        <is>
          <t>АСУ,А и ТМ (КЦ № 7)</t>
        </is>
      </c>
      <c r="K5" s="15" t="n"/>
      <c r="L5" s="14" t="n">
        <v>12</v>
      </c>
      <c r="M5" s="3" t="inlineStr">
        <is>
          <t>26ДЯУ</t>
        </is>
      </c>
      <c r="N5" s="70" t="inlineStr">
        <is>
          <t>П</t>
        </is>
      </c>
    </row>
    <row r="6" ht="22.5" customHeight="1" s="151">
      <c r="A6" s="15">
        <f>IF(B6&lt;&gt;"", COUNTA($B$2:B6), "")</f>
        <v/>
      </c>
      <c r="B6" s="280" t="inlineStr">
        <is>
          <t>Манометр технический</t>
        </is>
      </c>
      <c r="C6" s="14" t="inlineStr">
        <is>
          <t>Росма ТМ5</t>
        </is>
      </c>
      <c r="D6" s="29" t="inlineStr">
        <is>
          <t>61119</t>
        </is>
      </c>
      <c r="E6" s="14" t="n"/>
      <c r="F6" s="14" t="inlineStr">
        <is>
          <t>0..0,6 МПa</t>
        </is>
      </c>
      <c r="G6" s="71" t="n">
        <v>1.5</v>
      </c>
      <c r="H6" s="15" t="inlineStr">
        <is>
          <t>Р перед регулятором</t>
        </is>
      </c>
      <c r="I6" s="15" t="inlineStr">
        <is>
          <t>ПЭБ КЦ №7</t>
        </is>
      </c>
      <c r="J6" s="15" t="inlineStr">
        <is>
          <t>АСУ,А и ТМ (КЦ № 7)</t>
        </is>
      </c>
      <c r="K6" s="15" t="n"/>
      <c r="L6" s="14" t="n">
        <v>12</v>
      </c>
      <c r="M6" s="3" t="inlineStr">
        <is>
          <t>26ДЯУ</t>
        </is>
      </c>
      <c r="N6" s="70" t="inlineStr">
        <is>
          <t>П</t>
        </is>
      </c>
    </row>
    <row r="7" ht="22.5" customHeight="1" s="151">
      <c r="A7" s="15">
        <f>IF(B7&lt;&gt;"", COUNTA($B$2:B7), "")</f>
        <v/>
      </c>
      <c r="B7" s="280" t="inlineStr">
        <is>
          <t>Термометр биметаллический</t>
        </is>
      </c>
      <c r="C7" s="14" t="inlineStr">
        <is>
          <t>Росма БТ5</t>
        </is>
      </c>
      <c r="D7" s="29" t="n">
        <v>7000238</v>
      </c>
      <c r="E7" s="14" t="n"/>
      <c r="F7" s="17" t="inlineStr">
        <is>
          <t>0..+120 °С</t>
        </is>
      </c>
      <c r="G7" s="71" t="n">
        <v>1.5</v>
      </c>
      <c r="H7" s="15" t="inlineStr">
        <is>
          <t>Т после Кр5</t>
        </is>
      </c>
      <c r="I7" s="15" t="inlineStr">
        <is>
          <t>ПЭБ КЦ №7</t>
        </is>
      </c>
      <c r="J7" s="15" t="inlineStr">
        <is>
          <t>АСУ,А и ТМ (КЦ № 7)</t>
        </is>
      </c>
      <c r="K7" s="15" t="n"/>
      <c r="L7" s="14" t="n">
        <v>12</v>
      </c>
      <c r="M7" s="3" t="inlineStr">
        <is>
          <t>25ДЯУ</t>
        </is>
      </c>
      <c r="N7" s="70" t="inlineStr">
        <is>
          <t>П</t>
        </is>
      </c>
    </row>
    <row r="8" ht="22.5" customHeight="1" s="151">
      <c r="A8" s="15">
        <f>IF(B8&lt;&gt;"", COUNTA($B$2:B8), "")</f>
        <v/>
      </c>
      <c r="B8" s="280" t="inlineStr">
        <is>
          <t>Манометр технический</t>
        </is>
      </c>
      <c r="C8" s="14" t="inlineStr">
        <is>
          <t>Росма ТМ5</t>
        </is>
      </c>
      <c r="D8" s="29" t="inlineStr">
        <is>
          <t>15195</t>
        </is>
      </c>
      <c r="E8" s="14" t="n"/>
      <c r="F8" s="14" t="inlineStr">
        <is>
          <t>0..1,6 МПa</t>
        </is>
      </c>
      <c r="G8" s="71" t="n">
        <v>1.5</v>
      </c>
      <c r="H8" s="15" t="inlineStr">
        <is>
          <t>Р после Кр5</t>
        </is>
      </c>
      <c r="I8" s="15" t="inlineStr">
        <is>
          <t>ПЭБ КЦ №7</t>
        </is>
      </c>
      <c r="J8" s="15" t="inlineStr">
        <is>
          <t>АСУ,А и ТМ (КЦ № 7)</t>
        </is>
      </c>
      <c r="K8" s="15" t="n"/>
      <c r="L8" s="14" t="n">
        <v>12</v>
      </c>
      <c r="M8" s="3" t="inlineStr">
        <is>
          <t>26ДЯУ</t>
        </is>
      </c>
      <c r="N8" s="70" t="inlineStr">
        <is>
          <t>П</t>
        </is>
      </c>
    </row>
    <row r="9" ht="22.5" customHeight="1" s="151">
      <c r="A9" s="15">
        <f>IF(B9&lt;&gt;"", COUNTA($B$2:B9), "")</f>
        <v/>
      </c>
      <c r="B9" s="280" t="inlineStr">
        <is>
          <t>Манометр технический</t>
        </is>
      </c>
      <c r="C9" s="14" t="inlineStr">
        <is>
          <t>МП3-УУ2</t>
        </is>
      </c>
      <c r="D9" s="29" t="inlineStr">
        <is>
          <t>211222535</t>
        </is>
      </c>
      <c r="E9" s="14" t="n"/>
      <c r="F9" s="14" t="inlineStr">
        <is>
          <t>0..1,6 МПa</t>
        </is>
      </c>
      <c r="G9" s="71" t="n">
        <v>1.5</v>
      </c>
      <c r="H9" s="15" t="inlineStr">
        <is>
          <t>Р перед Кр2</t>
        </is>
      </c>
      <c r="I9" s="15" t="inlineStr">
        <is>
          <t>ПЭБ КЦ №7</t>
        </is>
      </c>
      <c r="J9" s="15" t="inlineStr">
        <is>
          <t>АСУ,А и ТМ (КЦ № 7)</t>
        </is>
      </c>
      <c r="K9" s="15" t="n"/>
      <c r="L9" s="14" t="n">
        <v>12</v>
      </c>
      <c r="M9" s="3" t="inlineStr">
        <is>
          <t>26ДЯУ</t>
        </is>
      </c>
      <c r="N9" s="70" t="inlineStr">
        <is>
          <t>П</t>
        </is>
      </c>
    </row>
    <row r="10" ht="22.5" customHeight="1" s="151">
      <c r="A10" s="15">
        <f>IF(B10&lt;&gt;"", COUNTA($B$2:B10), "")</f>
        <v/>
      </c>
      <c r="B10" s="280" t="inlineStr">
        <is>
          <t>Манометр технический</t>
        </is>
      </c>
      <c r="C10" s="14" t="inlineStr">
        <is>
          <t>Росма ТМ5</t>
        </is>
      </c>
      <c r="D10" s="29" t="inlineStr">
        <is>
          <t>50281</t>
        </is>
      </c>
      <c r="E10" s="14" t="n"/>
      <c r="F10" s="14" t="inlineStr">
        <is>
          <t>0..1,6 МПa</t>
        </is>
      </c>
      <c r="G10" s="71" t="n">
        <v>1.5</v>
      </c>
      <c r="H10" s="15" t="inlineStr">
        <is>
          <t>Р после Ф</t>
        </is>
      </c>
      <c r="I10" s="15" t="inlineStr">
        <is>
          <t>ПЭБ КЦ №7</t>
        </is>
      </c>
      <c r="J10" s="15" t="inlineStr">
        <is>
          <t>АСУ,А и ТМ (КЦ № 7)</t>
        </is>
      </c>
      <c r="K10" s="15" t="n"/>
      <c r="L10" s="14" t="n">
        <v>12</v>
      </c>
      <c r="M10" s="3" t="inlineStr">
        <is>
          <t>26ДЯУ</t>
        </is>
      </c>
      <c r="N10" s="70" t="inlineStr">
        <is>
          <t>П</t>
        </is>
      </c>
    </row>
    <row r="11" ht="33.75" customHeight="1" s="151">
      <c r="A11" s="15">
        <f>IF(B11&lt;&gt;"", COUNTA($B$2:B11), "")</f>
        <v/>
      </c>
      <c r="B11" s="280" t="inlineStr">
        <is>
          <t>Термометр биметаллический</t>
        </is>
      </c>
      <c r="C11" s="14" t="inlineStr">
        <is>
          <t>Росма БТ5</t>
        </is>
      </c>
      <c r="D11" s="29" t="inlineStr">
        <is>
          <t>7000225</t>
        </is>
      </c>
      <c r="E11" s="14" t="n"/>
      <c r="F11" s="17" t="inlineStr">
        <is>
          <t>0..+120 °С</t>
        </is>
      </c>
      <c r="G11" s="71" t="n">
        <v>1.5</v>
      </c>
      <c r="H11" s="15" t="inlineStr">
        <is>
          <t>Т перед регулятором клапана</t>
        </is>
      </c>
      <c r="I11" s="15" t="inlineStr">
        <is>
          <t>ПЭБ КЦ №7</t>
        </is>
      </c>
      <c r="J11" s="15" t="inlineStr">
        <is>
          <t>АСУ,А и ТМ (КЦ № 7)</t>
        </is>
      </c>
      <c r="K11" s="15" t="n"/>
      <c r="L11" s="14" t="n">
        <v>12</v>
      </c>
      <c r="M11" s="3" t="inlineStr">
        <is>
          <t>25ДЯУ</t>
        </is>
      </c>
      <c r="N11" s="70" t="inlineStr">
        <is>
          <t>П</t>
        </is>
      </c>
    </row>
    <row r="12" ht="22.5" customHeight="1" s="151">
      <c r="A12" s="15">
        <f>IF(B12&lt;&gt;"", COUNTA($B$2:B12), "")</f>
        <v/>
      </c>
      <c r="B12" s="280" t="inlineStr">
        <is>
          <t>Манометр технический</t>
        </is>
      </c>
      <c r="C12" s="14" t="inlineStr">
        <is>
          <t>Росма ТМ5</t>
        </is>
      </c>
      <c r="D12" s="29" t="inlineStr">
        <is>
          <t>051759</t>
        </is>
      </c>
      <c r="E12" s="14" t="n"/>
      <c r="F12" s="14" t="inlineStr">
        <is>
          <t>0..1,6 МПa</t>
        </is>
      </c>
      <c r="G12" s="71" t="n">
        <v>1.5</v>
      </c>
      <c r="H12" s="15" t="inlineStr">
        <is>
          <t>Р перед Ф</t>
        </is>
      </c>
      <c r="I12" s="15" t="inlineStr">
        <is>
          <t>ПЭБ КЦ №7</t>
        </is>
      </c>
      <c r="J12" s="15" t="inlineStr">
        <is>
          <t>АСУ,А и ТМ (КЦ № 7)</t>
        </is>
      </c>
      <c r="K12" s="15" t="n"/>
      <c r="L12" s="14" t="n">
        <v>12</v>
      </c>
      <c r="M12" s="3" t="inlineStr">
        <is>
          <t>26ДЯУ</t>
        </is>
      </c>
      <c r="N12" s="70" t="inlineStr">
        <is>
          <t>П</t>
        </is>
      </c>
    </row>
    <row r="13" ht="22.5" customFormat="1" customHeight="1" s="63">
      <c r="A13" s="15">
        <f>IF(B13&lt;&gt;"", COUNTA($B$2:B13), "")</f>
        <v/>
      </c>
      <c r="B13" s="23" t="inlineStr">
        <is>
          <t>Термометр биметаллический</t>
        </is>
      </c>
      <c r="C13" s="146" t="inlineStr">
        <is>
          <t>Росма БТ5</t>
        </is>
      </c>
      <c r="D13" s="64" t="inlineStr">
        <is>
          <t>7000229</t>
        </is>
      </c>
      <c r="E13" s="146" t="n"/>
      <c r="F13" s="147" t="inlineStr">
        <is>
          <t>0..+120 °С</t>
        </is>
      </c>
      <c r="G13" s="65" t="n">
        <v>1.5</v>
      </c>
      <c r="H13" s="242" t="inlineStr">
        <is>
          <t>Т на входе</t>
        </is>
      </c>
      <c r="I13" s="242" t="inlineStr">
        <is>
          <t>ПЭБ КЦ №7</t>
        </is>
      </c>
      <c r="J13" s="242" t="inlineStr">
        <is>
          <t>АСУ,А и ТМ (КЦ № 7)</t>
        </is>
      </c>
      <c r="K13" s="242" t="n"/>
      <c r="L13" s="146" t="n">
        <v>12</v>
      </c>
      <c r="M13" s="22" t="inlineStr">
        <is>
          <t>25ДЯУ</t>
        </is>
      </c>
      <c r="N13" s="51" t="inlineStr">
        <is>
          <t>П</t>
        </is>
      </c>
    </row>
    <row r="14" ht="22.5" customHeight="1" s="151">
      <c r="A14" s="15">
        <f>IF(B14&lt;&gt;"", COUNTA($B$2:B14), "")</f>
        <v/>
      </c>
      <c r="B14" s="280" t="inlineStr">
        <is>
          <t>Манометр технический</t>
        </is>
      </c>
      <c r="C14" s="14" t="inlineStr">
        <is>
          <t>Росма ТМ5</t>
        </is>
      </c>
      <c r="D14" s="29" t="inlineStr">
        <is>
          <t>0051627</t>
        </is>
      </c>
      <c r="E14" s="14" t="n"/>
      <c r="F14" s="14" t="inlineStr">
        <is>
          <t>0..1,6 МПa</t>
        </is>
      </c>
      <c r="G14" s="71" t="n">
        <v>1.5</v>
      </c>
      <c r="H14" s="15" t="inlineStr">
        <is>
          <t>Р перед Кр10</t>
        </is>
      </c>
      <c r="I14" s="15" t="inlineStr">
        <is>
          <t>ПЭБ КЦ №7</t>
        </is>
      </c>
      <c r="J14" s="15" t="inlineStr">
        <is>
          <t>АСУ,А и ТМ (КЦ № 7)</t>
        </is>
      </c>
      <c r="K14" s="15" t="n"/>
      <c r="L14" s="14" t="n">
        <v>12</v>
      </c>
      <c r="M14" s="3" t="inlineStr">
        <is>
          <t>26ДЯУ</t>
        </is>
      </c>
      <c r="N14" s="70" t="inlineStr">
        <is>
          <t>П</t>
        </is>
      </c>
    </row>
    <row r="15" ht="22.5" customHeight="1" s="151">
      <c r="A15" s="15">
        <f>IF(B15&lt;&gt;"", COUNTA($B$2:B15), "")</f>
        <v/>
      </c>
      <c r="B15" s="280" t="inlineStr">
        <is>
          <t>Термометр биметаллический</t>
        </is>
      </c>
      <c r="C15" s="14" t="inlineStr">
        <is>
          <t>Росма БТ5</t>
        </is>
      </c>
      <c r="D15" s="29" t="inlineStr">
        <is>
          <t>7000227</t>
        </is>
      </c>
      <c r="E15" s="15" t="n"/>
      <c r="F15" s="17" t="inlineStr">
        <is>
          <t>0..+120 °С</t>
        </is>
      </c>
      <c r="G15" s="71" t="n">
        <v>1.5</v>
      </c>
      <c r="H15" s="15" t="inlineStr">
        <is>
          <t>Т перед Кр4</t>
        </is>
      </c>
      <c r="I15" s="15" t="inlineStr">
        <is>
          <t>ПЭБ КЦ №7</t>
        </is>
      </c>
      <c r="J15" s="15" t="inlineStr">
        <is>
          <t>АСУ,А и ТМ (КЦ № 7)</t>
        </is>
      </c>
      <c r="K15" s="15" t="n"/>
      <c r="L15" s="14" t="n">
        <v>12</v>
      </c>
      <c r="M15" s="3" t="inlineStr">
        <is>
          <t>25ДЯУ</t>
        </is>
      </c>
      <c r="N15" s="70" t="inlineStr">
        <is>
          <t>П</t>
        </is>
      </c>
    </row>
    <row r="16" ht="33.75" customHeight="1" s="151">
      <c r="A16" s="15">
        <f>IF(B16&lt;&gt;"", COUNTA($B$2:B16), "")</f>
        <v/>
      </c>
      <c r="B16" s="280" t="inlineStr">
        <is>
          <t>Манометр технический</t>
        </is>
      </c>
      <c r="C16" s="14" t="inlineStr">
        <is>
          <t>Росма ТМ5</t>
        </is>
      </c>
      <c r="D16" s="29" t="inlineStr">
        <is>
          <t>15426</t>
        </is>
      </c>
      <c r="E16" s="14" t="n"/>
      <c r="F16" s="14" t="inlineStr">
        <is>
          <t>0..16 кгс/см²</t>
        </is>
      </c>
      <c r="G16" s="71" t="n">
        <v>1.5</v>
      </c>
      <c r="H16" s="15" t="inlineStr">
        <is>
          <t>Р на выходе теплообменника до регулятора</t>
        </is>
      </c>
      <c r="I16" s="15" t="inlineStr">
        <is>
          <t>ПЭБ КЦ №7</t>
        </is>
      </c>
      <c r="J16" s="15" t="inlineStr">
        <is>
          <t>АСУ,А и ТМ (КЦ № 7)</t>
        </is>
      </c>
      <c r="K16" s="15" t="n"/>
      <c r="L16" s="14" t="n">
        <v>12</v>
      </c>
      <c r="M16" s="3" t="inlineStr">
        <is>
          <t>26ДЯУ</t>
        </is>
      </c>
      <c r="N16" s="70" t="inlineStr">
        <is>
          <t>П</t>
        </is>
      </c>
    </row>
    <row r="17" ht="33.75" customHeight="1" s="151">
      <c r="A17" s="15">
        <f>IF(B17&lt;&gt;"", COUNTA($B$2:B17), "")</f>
        <v/>
      </c>
      <c r="B17" s="280" t="inlineStr">
        <is>
          <t>Термометр биметаллический</t>
        </is>
      </c>
      <c r="C17" s="14" t="inlineStr">
        <is>
          <t>Росма БТ5</t>
        </is>
      </c>
      <c r="D17" s="29" t="inlineStr">
        <is>
          <t>7000229</t>
        </is>
      </c>
      <c r="E17" s="15" t="n"/>
      <c r="F17" s="17" t="inlineStr">
        <is>
          <t>0..+120 °С</t>
        </is>
      </c>
      <c r="G17" s="71" t="n">
        <v>1.5</v>
      </c>
      <c r="H17" s="15" t="inlineStr">
        <is>
          <t>Т на выходе теплообменника до регулятора</t>
        </is>
      </c>
      <c r="I17" s="15" t="inlineStr">
        <is>
          <t>ПЭБ КЦ №7</t>
        </is>
      </c>
      <c r="J17" s="15" t="inlineStr">
        <is>
          <t>АСУ,А и ТМ (КЦ № 7)</t>
        </is>
      </c>
      <c r="K17" s="15" t="n"/>
      <c r="L17" s="14" t="n">
        <v>12</v>
      </c>
      <c r="M17" s="3" t="inlineStr">
        <is>
          <t>25ДЯУ</t>
        </is>
      </c>
      <c r="N17" s="70" t="inlineStr">
        <is>
          <t>П</t>
        </is>
      </c>
    </row>
    <row r="18" ht="22.5" customHeight="1" s="151">
      <c r="A18" s="15">
        <f>IF(B18&lt;&gt;"", COUNTA($B$2:B18), "")</f>
        <v/>
      </c>
      <c r="B18" s="280" t="inlineStr">
        <is>
          <t>Манометр технический</t>
        </is>
      </c>
      <c r="C18" s="14" t="inlineStr">
        <is>
          <t>Росма ТМ5</t>
        </is>
      </c>
      <c r="D18" s="29" t="inlineStr">
        <is>
          <t>051756</t>
        </is>
      </c>
      <c r="E18" s="70" t="n"/>
      <c r="F18" s="14" t="inlineStr">
        <is>
          <t>0..1,6 МПa</t>
        </is>
      </c>
      <c r="G18" s="71" t="n">
        <v>1.5</v>
      </c>
      <c r="H18" s="15" t="inlineStr">
        <is>
          <t>Р после Фобр</t>
        </is>
      </c>
      <c r="I18" s="15" t="inlineStr">
        <is>
          <t>ПЭБ КЦ №7</t>
        </is>
      </c>
      <c r="J18" s="15" t="inlineStr">
        <is>
          <t>АСУ,А и ТМ (КЦ № 7)</t>
        </is>
      </c>
      <c r="K18" s="15" t="n"/>
      <c r="L18" s="14" t="n">
        <v>12</v>
      </c>
      <c r="M18" s="3" t="inlineStr">
        <is>
          <t>26ДЯУ</t>
        </is>
      </c>
      <c r="N18" s="70" t="inlineStr">
        <is>
          <t>П</t>
        </is>
      </c>
    </row>
    <row r="19" ht="22.5" customHeight="1" s="151">
      <c r="A19" s="15">
        <f>IF(B19&lt;&gt;"", COUNTA($B$2:B19), "")</f>
        <v/>
      </c>
      <c r="B19" s="280" t="inlineStr">
        <is>
          <t>Термометр биметаллический</t>
        </is>
      </c>
      <c r="C19" s="14" t="inlineStr">
        <is>
          <t>Росма БТ5</t>
        </is>
      </c>
      <c r="D19" s="29" t="inlineStr">
        <is>
          <t>7000231</t>
        </is>
      </c>
      <c r="E19" s="70" t="n"/>
      <c r="F19" s="17" t="inlineStr">
        <is>
          <t>0..+120 °С</t>
        </is>
      </c>
      <c r="G19" s="71" t="n">
        <v>1.5</v>
      </c>
      <c r="H19" s="15" t="inlineStr">
        <is>
          <t>Т перед Кр5</t>
        </is>
      </c>
      <c r="I19" s="15" t="inlineStr">
        <is>
          <t>ПЭБ КЦ №7</t>
        </is>
      </c>
      <c r="J19" s="15" t="inlineStr">
        <is>
          <t>АСУ,А и ТМ (КЦ № 7)</t>
        </is>
      </c>
      <c r="K19" s="15" t="n"/>
      <c r="L19" s="14" t="n">
        <v>12</v>
      </c>
      <c r="M19" s="3" t="inlineStr">
        <is>
          <t>25ДЯУ</t>
        </is>
      </c>
      <c r="N19" s="70" t="inlineStr">
        <is>
          <t>П</t>
        </is>
      </c>
    </row>
    <row r="20" ht="22.5" customHeight="1" s="151">
      <c r="A20" s="15">
        <f>IF(B20&lt;&gt;"", COUNTA($B$2:B20), "")</f>
        <v/>
      </c>
      <c r="B20" s="280" t="inlineStr">
        <is>
          <t>Манометр технический</t>
        </is>
      </c>
      <c r="C20" s="14" t="inlineStr">
        <is>
          <t>Росма ТМ5</t>
        </is>
      </c>
      <c r="D20" s="29" t="inlineStr">
        <is>
          <t>0051573</t>
        </is>
      </c>
      <c r="E20" s="70" t="n"/>
      <c r="F20" s="14" t="inlineStr">
        <is>
          <t>0..1,6 МПa</t>
        </is>
      </c>
      <c r="G20" s="71" t="n">
        <v>1.5</v>
      </c>
      <c r="H20" s="15" t="inlineStr">
        <is>
          <t>Р перед Кр9</t>
        </is>
      </c>
      <c r="I20" s="15" t="inlineStr">
        <is>
          <t>ПЭБ КЦ №7</t>
        </is>
      </c>
      <c r="J20" s="15" t="inlineStr">
        <is>
          <t>АСУ,А и ТМ (КЦ № 7)</t>
        </is>
      </c>
      <c r="K20" s="15" t="n"/>
      <c r="L20" s="14" t="n">
        <v>12</v>
      </c>
      <c r="M20" s="3" t="inlineStr">
        <is>
          <t>26ДЯУ</t>
        </is>
      </c>
      <c r="N20" s="70" t="inlineStr">
        <is>
          <t>П</t>
        </is>
      </c>
    </row>
    <row r="21" ht="22.5" customHeight="1" s="151">
      <c r="A21" s="15">
        <f>IF(B21&lt;&gt;"", COUNTA($B$2:B21), "")</f>
        <v/>
      </c>
      <c r="B21" s="280" t="inlineStr">
        <is>
          <t>Термометр биметаллический</t>
        </is>
      </c>
      <c r="C21" s="14" t="inlineStr">
        <is>
          <t>Росма БТ5</t>
        </is>
      </c>
      <c r="D21" s="29" t="n">
        <v>7000243</v>
      </c>
      <c r="E21" s="70" t="n"/>
      <c r="F21" s="17" t="inlineStr">
        <is>
          <t>0..+120 °С</t>
        </is>
      </c>
      <c r="G21" s="71" t="n">
        <v>1.5</v>
      </c>
      <c r="H21" s="15" t="inlineStr">
        <is>
          <t>Т после  Кр9</t>
        </is>
      </c>
      <c r="I21" s="15" t="inlineStr">
        <is>
          <t>ПЭБ КЦ №7</t>
        </is>
      </c>
      <c r="J21" s="15" t="inlineStr">
        <is>
          <t>АСУ,А и ТМ (КЦ № 7)</t>
        </is>
      </c>
      <c r="K21" s="15" t="n"/>
      <c r="L21" s="14" t="n">
        <v>12</v>
      </c>
      <c r="M21" s="3" t="inlineStr">
        <is>
          <t>25ДЯУ</t>
        </is>
      </c>
      <c r="N21" s="70" t="inlineStr">
        <is>
          <t>П</t>
        </is>
      </c>
    </row>
    <row r="22" ht="22.5" customHeight="1" s="151">
      <c r="A22" s="15">
        <f>IF(B22&lt;&gt;"", COUNTA($B$2:B22), "")</f>
        <v/>
      </c>
      <c r="B22" s="280" t="inlineStr">
        <is>
          <t>Манометр технический</t>
        </is>
      </c>
      <c r="C22" s="14" t="inlineStr">
        <is>
          <t>Росма ТМ5</t>
        </is>
      </c>
      <c r="D22" s="29" t="inlineStr">
        <is>
          <t>0051753</t>
        </is>
      </c>
      <c r="E22" s="70" t="n"/>
      <c r="F22" s="14" t="inlineStr">
        <is>
          <t>0..1,6 МПa</t>
        </is>
      </c>
      <c r="G22" s="71" t="n">
        <v>1.5</v>
      </c>
      <c r="H22" s="15" t="inlineStr">
        <is>
          <t>Р перед Кр6</t>
        </is>
      </c>
      <c r="I22" s="15" t="inlineStr">
        <is>
          <t>ПЭБ КЦ №7</t>
        </is>
      </c>
      <c r="J22" s="15" t="inlineStr">
        <is>
          <t>АСУ,А и ТМ (КЦ № 7)</t>
        </is>
      </c>
      <c r="K22" s="15" t="n"/>
      <c r="L22" s="14" t="n">
        <v>12</v>
      </c>
      <c r="M22" s="3" t="inlineStr">
        <is>
          <t>26ДЯУ</t>
        </is>
      </c>
      <c r="N22" s="70" t="inlineStr">
        <is>
          <t>П</t>
        </is>
      </c>
    </row>
    <row r="23" ht="22.5" customHeight="1" s="151">
      <c r="A23" s="15">
        <f>IF(B23&lt;&gt;"", COUNTA($B$2:B23), "")</f>
        <v/>
      </c>
      <c r="B23" s="280" t="inlineStr">
        <is>
          <t>Манометр технический</t>
        </is>
      </c>
      <c r="C23" s="14" t="inlineStr">
        <is>
          <t>Росма ТМ3</t>
        </is>
      </c>
      <c r="D23" s="29" t="inlineStr">
        <is>
          <t>7000235</t>
        </is>
      </c>
      <c r="E23" s="70" t="n"/>
      <c r="F23" s="14" t="inlineStr">
        <is>
          <t>0..1 МПa</t>
        </is>
      </c>
      <c r="G23" s="71" t="n">
        <v>1.5</v>
      </c>
      <c r="H23" s="15" t="inlineStr">
        <is>
          <t>Р перед насосом</t>
        </is>
      </c>
      <c r="I23" s="15" t="inlineStr">
        <is>
          <t>ПЭБ КЦ №7</t>
        </is>
      </c>
      <c r="J23" s="15" t="inlineStr">
        <is>
          <t>АСУ,А и ТМ (КЦ № 7)</t>
        </is>
      </c>
      <c r="K23" s="15" t="n"/>
      <c r="L23" s="14" t="n">
        <v>12</v>
      </c>
      <c r="M23" s="3" t="inlineStr">
        <is>
          <t>26ДЯУ</t>
        </is>
      </c>
      <c r="N23" s="70" t="inlineStr">
        <is>
          <t>П</t>
        </is>
      </c>
    </row>
    <row r="24" ht="22.5" customHeight="1" s="151">
      <c r="A24" s="15">
        <f>IF(B24&lt;&gt;"", COUNTA($B$2:B24), "")</f>
        <v/>
      </c>
      <c r="B24" s="280" t="inlineStr">
        <is>
          <t>Манометр технический</t>
        </is>
      </c>
      <c r="C24" s="14" t="inlineStr">
        <is>
          <t>Росма ТМ3</t>
        </is>
      </c>
      <c r="D24" s="29" t="inlineStr">
        <is>
          <t>7000236</t>
        </is>
      </c>
      <c r="E24" s="70" t="n"/>
      <c r="F24" s="14" t="inlineStr">
        <is>
          <t>0..1 МПa</t>
        </is>
      </c>
      <c r="G24" s="71" t="n">
        <v>1.5</v>
      </c>
      <c r="H24" s="15" t="inlineStr">
        <is>
          <t>Р после насоса</t>
        </is>
      </c>
      <c r="I24" s="15" t="inlineStr">
        <is>
          <t>ПЭБ КЦ №7</t>
        </is>
      </c>
      <c r="J24" s="15" t="inlineStr">
        <is>
          <t>АСУ,А и ТМ (КЦ № 7)</t>
        </is>
      </c>
      <c r="K24" s="15" t="n"/>
      <c r="L24" s="14" t="n">
        <v>12</v>
      </c>
      <c r="M24" s="3" t="inlineStr">
        <is>
          <t>26ДЯУ</t>
        </is>
      </c>
      <c r="N24" s="70" t="inlineStr">
        <is>
          <t>П</t>
        </is>
      </c>
    </row>
    <row r="25" ht="22.5" customHeight="1" s="151">
      <c r="A25" s="15">
        <f>IF(B25&lt;&gt;"", COUNTA($B$2:B25), "")</f>
        <v/>
      </c>
      <c r="B25" s="280" t="inlineStr">
        <is>
          <t>Манометр электроконтактный</t>
        </is>
      </c>
      <c r="C25" s="14" t="inlineStr">
        <is>
          <t>Росма ТМ5</t>
        </is>
      </c>
      <c r="D25" s="29" t="inlineStr">
        <is>
          <t>7000237</t>
        </is>
      </c>
      <c r="E25" s="70" t="n"/>
      <c r="F25" s="14" t="inlineStr">
        <is>
          <t>0..1,6 МПa</t>
        </is>
      </c>
      <c r="G25" s="71" t="n">
        <v>1.5</v>
      </c>
      <c r="H25" s="15" t="inlineStr">
        <is>
          <t>Р после Кр6</t>
        </is>
      </c>
      <c r="I25" s="15" t="inlineStr">
        <is>
          <t>ПЭБ КЦ №7</t>
        </is>
      </c>
      <c r="J25" s="15" t="inlineStr">
        <is>
          <t>АСУ,А и ТМ (КЦ № 7)</t>
        </is>
      </c>
      <c r="K25" s="15" t="n"/>
      <c r="L25" s="14" t="n">
        <v>12</v>
      </c>
      <c r="M25" s="3" t="inlineStr">
        <is>
          <t>26ДЯУ</t>
        </is>
      </c>
      <c r="N25" s="70" t="inlineStr">
        <is>
          <t>П</t>
        </is>
      </c>
    </row>
    <row r="26" ht="22.5" customHeight="1" s="151">
      <c r="A26" s="15">
        <f>IF(B26&lt;&gt;"", COUNTA($B$2:B26), "")</f>
        <v/>
      </c>
      <c r="B26" s="280" t="inlineStr">
        <is>
          <t>Термометр биметаллический</t>
        </is>
      </c>
      <c r="C26" s="14" t="inlineStr">
        <is>
          <t>Росма БТ5</t>
        </is>
      </c>
      <c r="D26" s="29" t="n">
        <v>7000279</v>
      </c>
      <c r="E26" s="70" t="n"/>
      <c r="F26" s="17" t="inlineStr">
        <is>
          <t>0..+120 °С</t>
        </is>
      </c>
      <c r="G26" s="71" t="n">
        <v>1.5</v>
      </c>
      <c r="H26" s="15" t="inlineStr">
        <is>
          <t>Т перед  Кр2</t>
        </is>
      </c>
      <c r="I26" s="15" t="inlineStr">
        <is>
          <t>ПЭБ КЦ №7</t>
        </is>
      </c>
      <c r="J26" s="15" t="inlineStr">
        <is>
          <t>АСУ,А и ТМ (КЦ № 7)</t>
        </is>
      </c>
      <c r="K26" s="15" t="n"/>
      <c r="L26" s="14" t="n">
        <v>12</v>
      </c>
      <c r="M26" s="3" t="inlineStr">
        <is>
          <t>25ДЯУ</t>
        </is>
      </c>
      <c r="N26" s="70" t="inlineStr">
        <is>
          <t>П</t>
        </is>
      </c>
    </row>
    <row r="27" ht="22.5" customHeight="1" s="151">
      <c r="A27" s="15">
        <f>IF(B27&lt;&gt;"", COUNTA($B$2:B27), "")</f>
        <v/>
      </c>
      <c r="B27" s="280" t="inlineStr">
        <is>
          <t>Манометр электроконтактный</t>
        </is>
      </c>
      <c r="C27" s="14" t="inlineStr">
        <is>
          <t>ДМ2010СгУ2</t>
        </is>
      </c>
      <c r="D27" s="29" t="inlineStr">
        <is>
          <t>211207240</t>
        </is>
      </c>
      <c r="E27" s="70" t="n"/>
      <c r="F27" s="14" t="inlineStr">
        <is>
          <t>0..1,6 МПa</t>
        </is>
      </c>
      <c r="G27" s="71" t="n">
        <v>1.5</v>
      </c>
      <c r="H27" s="15" t="inlineStr">
        <is>
          <t>Р перед кр4</t>
        </is>
      </c>
      <c r="I27" s="15" t="inlineStr">
        <is>
          <t>ПЭБ КЦ №7</t>
        </is>
      </c>
      <c r="J27" s="15" t="inlineStr">
        <is>
          <t>АСУ,А и ТМ (КЦ № 7)</t>
        </is>
      </c>
      <c r="K27" s="15" t="n"/>
      <c r="L27" s="14" t="n">
        <v>12</v>
      </c>
      <c r="M27" s="3" t="inlineStr">
        <is>
          <t>26ДЯУ</t>
        </is>
      </c>
      <c r="N27" s="70" t="inlineStr">
        <is>
          <t>П</t>
        </is>
      </c>
    </row>
    <row r="28" ht="45" customHeight="1" s="151">
      <c r="A28" s="15">
        <f>IF(B28&lt;&gt;"", COUNTA($B$2:B28), "")</f>
        <v/>
      </c>
      <c r="B28" s="280" t="inlineStr">
        <is>
          <t>Манометр технический</t>
        </is>
      </c>
      <c r="C28" s="14" t="inlineStr">
        <is>
          <t>МП3-УТ2</t>
        </is>
      </c>
      <c r="D28" s="29" t="inlineStr">
        <is>
          <t>1322004</t>
        </is>
      </c>
      <c r="E28" s="70" t="n"/>
      <c r="F28" s="14" t="inlineStr">
        <is>
          <t>0..6 кг/см2</t>
        </is>
      </c>
      <c r="G28" s="71" t="n">
        <v>1.5</v>
      </c>
      <c r="H28" s="15" t="inlineStr">
        <is>
          <t>Р после клапана регулятора на входе в теплообменник</t>
        </is>
      </c>
      <c r="I28" s="15" t="inlineStr">
        <is>
          <t>ПЭБ КЦ №7</t>
        </is>
      </c>
      <c r="J28" s="15" t="inlineStr">
        <is>
          <t>АСУ,А и ТМ (КЦ № 7)</t>
        </is>
      </c>
      <c r="K28" s="15" t="n"/>
      <c r="L28" s="14" t="n">
        <v>12</v>
      </c>
      <c r="M28" s="3" t="inlineStr">
        <is>
          <t>26ДЯУ</t>
        </is>
      </c>
      <c r="N28" s="70" t="inlineStr">
        <is>
          <t>П</t>
        </is>
      </c>
    </row>
    <row r="29" ht="22.5" customFormat="1" customHeight="1" s="63">
      <c r="A29" s="15">
        <f>IF(B29&lt;&gt;"", COUNTA($B$2:B29), "")</f>
        <v/>
      </c>
      <c r="B29" s="23" t="inlineStr">
        <is>
          <t>Манометр технический</t>
        </is>
      </c>
      <c r="C29" s="146" t="inlineStr">
        <is>
          <t>Росма ТМ5</t>
        </is>
      </c>
      <c r="D29" s="64" t="inlineStr">
        <is>
          <t>7000215</t>
        </is>
      </c>
      <c r="E29" s="51" t="n"/>
      <c r="F29" s="146" t="inlineStr">
        <is>
          <t>0..1,6 МПa</t>
        </is>
      </c>
      <c r="G29" s="65" t="n">
        <v>1.5</v>
      </c>
      <c r="H29" s="242" t="inlineStr">
        <is>
          <t>Р в коллекторах</t>
        </is>
      </c>
      <c r="I29" s="242" t="inlineStr">
        <is>
          <t>ПЭБ КЦ №7</t>
        </is>
      </c>
      <c r="J29" s="242" t="inlineStr">
        <is>
          <t>АСУ,А и ТМ (КЦ № 7)</t>
        </is>
      </c>
      <c r="K29" s="242" t="n"/>
      <c r="L29" s="146" t="n">
        <v>12</v>
      </c>
      <c r="M29" s="3" t="inlineStr">
        <is>
          <t>26ДЯУ</t>
        </is>
      </c>
      <c r="N29" s="51" t="inlineStr">
        <is>
          <t>П</t>
        </is>
      </c>
    </row>
    <row r="30" ht="22.5" customHeight="1" s="151">
      <c r="A30" s="15">
        <f>IF(B30&lt;&gt;"", COUNTA($B$2:B30), "")</f>
        <v/>
      </c>
      <c r="B30" s="280" t="inlineStr">
        <is>
          <t>Манометр технический</t>
        </is>
      </c>
      <c r="C30" s="14" t="inlineStr">
        <is>
          <t>МП3-УТ2</t>
        </is>
      </c>
      <c r="D30" s="29" t="inlineStr">
        <is>
          <t>1321994</t>
        </is>
      </c>
      <c r="E30" s="70" t="n"/>
      <c r="F30" s="14" t="inlineStr">
        <is>
          <t>0..6 кг/см2</t>
        </is>
      </c>
      <c r="G30" s="71" t="n">
        <v>1.5</v>
      </c>
      <c r="H30" s="15" t="inlineStr">
        <is>
          <t>Р перед кр5</t>
        </is>
      </c>
      <c r="I30" s="15" t="inlineStr">
        <is>
          <t>ПЭБ КЦ №7</t>
        </is>
      </c>
      <c r="J30" s="15" t="inlineStr">
        <is>
          <t>АСУ,А и ТМ (КЦ № 7)</t>
        </is>
      </c>
      <c r="K30" s="15" t="n"/>
      <c r="L30" s="14" t="n">
        <v>12</v>
      </c>
      <c r="M30" s="3" t="inlineStr">
        <is>
          <t>26ДЯУ</t>
        </is>
      </c>
      <c r="N30" s="70" t="inlineStr">
        <is>
          <t>П</t>
        </is>
      </c>
    </row>
    <row r="31" ht="22.5" customHeight="1" s="151">
      <c r="A31" s="15">
        <f>IF(B31&lt;&gt;"", COUNTA($B$2:B31), "")</f>
        <v/>
      </c>
      <c r="B31" s="280" t="inlineStr">
        <is>
          <t>Манометр технический</t>
        </is>
      </c>
      <c r="C31" s="14" t="inlineStr">
        <is>
          <t>Росма ТМ5</t>
        </is>
      </c>
      <c r="D31" s="29" t="inlineStr">
        <is>
          <t>0052415</t>
        </is>
      </c>
      <c r="E31" s="70" t="n"/>
      <c r="F31" s="14" t="inlineStr">
        <is>
          <t>0..1,6 МПa</t>
        </is>
      </c>
      <c r="G31" s="71" t="n">
        <v>1.5</v>
      </c>
      <c r="H31" s="15" t="inlineStr">
        <is>
          <t>Р после Ф перед насосом</t>
        </is>
      </c>
      <c r="I31" s="15" t="inlineStr">
        <is>
          <t>ПЭБ КЦ №7</t>
        </is>
      </c>
      <c r="J31" s="15" t="inlineStr">
        <is>
          <t>АСУ,А и ТМ (КЦ № 7)</t>
        </is>
      </c>
      <c r="K31" s="15" t="n"/>
      <c r="L31" s="14" t="n">
        <v>12</v>
      </c>
      <c r="M31" s="3" t="inlineStr">
        <is>
          <t>26ДЯУ</t>
        </is>
      </c>
      <c r="N31" s="70" t="inlineStr">
        <is>
          <t>П</t>
        </is>
      </c>
    </row>
    <row r="32" ht="22.5" customHeight="1" s="151">
      <c r="A32" s="15">
        <f>IF(B32&lt;&gt;"", COUNTA($B$2:B32), "")</f>
        <v/>
      </c>
      <c r="B32" s="280" t="inlineStr">
        <is>
          <t>Манометр технический</t>
        </is>
      </c>
      <c r="C32" s="14" t="inlineStr">
        <is>
          <t>Росма ТМ5</t>
        </is>
      </c>
      <c r="D32" s="29" t="inlineStr">
        <is>
          <t>0051789</t>
        </is>
      </c>
      <c r="E32" s="70" t="n"/>
      <c r="F32" s="14" t="inlineStr">
        <is>
          <t>0..1,6 МПa</t>
        </is>
      </c>
      <c r="G32" s="71" t="n">
        <v>1.5</v>
      </c>
      <c r="H32" s="15" t="inlineStr">
        <is>
          <t>Р после кр9</t>
        </is>
      </c>
      <c r="I32" s="15" t="inlineStr">
        <is>
          <t>ПЭБ КЦ №7</t>
        </is>
      </c>
      <c r="J32" s="15" t="inlineStr">
        <is>
          <t>АСУ,А и ТМ (КЦ № 7)</t>
        </is>
      </c>
      <c r="K32" s="15" t="n"/>
      <c r="L32" s="14" t="n">
        <v>12</v>
      </c>
      <c r="M32" s="3" t="inlineStr">
        <is>
          <t>26ДЯУ</t>
        </is>
      </c>
      <c r="N32" s="70" t="inlineStr">
        <is>
          <t>П</t>
        </is>
      </c>
    </row>
    <row r="33" ht="22.5" customHeight="1" s="151">
      <c r="A33" s="15">
        <f>IF(B33&lt;&gt;"", COUNTA($B$2:B33), "")</f>
        <v/>
      </c>
      <c r="B33" s="280" t="inlineStr">
        <is>
          <t>Термометр биметаллический</t>
        </is>
      </c>
      <c r="C33" s="14" t="inlineStr">
        <is>
          <t>Росма БТ5</t>
        </is>
      </c>
      <c r="D33" s="29" t="inlineStr">
        <is>
          <t>7000246</t>
        </is>
      </c>
      <c r="E33" s="70" t="n"/>
      <c r="F33" s="17" t="inlineStr">
        <is>
          <t>0..+120 °С</t>
        </is>
      </c>
      <c r="G33" s="71" t="n">
        <v>1.5</v>
      </c>
      <c r="H33" s="15" t="inlineStr">
        <is>
          <t>Т перед регулятором</t>
        </is>
      </c>
      <c r="I33" s="15" t="inlineStr">
        <is>
          <t>ПЭБ КЦ №7</t>
        </is>
      </c>
      <c r="J33" s="15" t="inlineStr">
        <is>
          <t>АСУ,А и ТМ (КЦ № 7)</t>
        </is>
      </c>
      <c r="K33" s="15" t="n"/>
      <c r="L33" s="14" t="n">
        <v>12</v>
      </c>
      <c r="M33" s="3" t="inlineStr">
        <is>
          <t>25ДЯУ</t>
        </is>
      </c>
      <c r="N33" s="70" t="inlineStr">
        <is>
          <t>П</t>
        </is>
      </c>
    </row>
    <row r="34" ht="22.5" customHeight="1" s="151">
      <c r="A34" s="15">
        <f>IF(B34&lt;&gt;"", COUNTA($B$2:B34), "")</f>
        <v/>
      </c>
      <c r="B34" s="280" t="inlineStr">
        <is>
          <t>Манометр технический</t>
        </is>
      </c>
      <c r="C34" s="14" t="inlineStr">
        <is>
          <t>Росма ТМ5</t>
        </is>
      </c>
      <c r="D34" s="29" t="inlineStr">
        <is>
          <t>15194</t>
        </is>
      </c>
      <c r="E34" s="70" t="n"/>
      <c r="F34" s="14" t="inlineStr">
        <is>
          <t>0..1,6 МПa</t>
        </is>
      </c>
      <c r="G34" s="71" t="n">
        <v>1.5</v>
      </c>
      <c r="H34" s="15" t="inlineStr">
        <is>
          <t>Р перед Ф после кр10</t>
        </is>
      </c>
      <c r="I34" s="15" t="inlineStr">
        <is>
          <t>ПЭБ КЦ №7</t>
        </is>
      </c>
      <c r="J34" s="15" t="inlineStr">
        <is>
          <t>АСУ,А и ТМ (КЦ № 7)</t>
        </is>
      </c>
      <c r="K34" s="15" t="n"/>
      <c r="L34" s="14" t="n">
        <v>12</v>
      </c>
      <c r="M34" s="3" t="inlineStr">
        <is>
          <t>26ДЯУ</t>
        </is>
      </c>
      <c r="N34" s="70" t="inlineStr">
        <is>
          <t>П</t>
        </is>
      </c>
    </row>
    <row r="35" ht="22.5" customHeight="1" s="151">
      <c r="A35" s="15">
        <f>IF(B35&lt;&gt;"", COUNTA($B$2:B35), "")</f>
        <v/>
      </c>
      <c r="B35" s="280" t="inlineStr">
        <is>
          <t>Термометр биметаллический</t>
        </is>
      </c>
      <c r="C35" s="14" t="inlineStr">
        <is>
          <t>Росма БТ5</t>
        </is>
      </c>
      <c r="D35" s="29" t="inlineStr">
        <is>
          <t>7000248</t>
        </is>
      </c>
      <c r="E35" s="70" t="n"/>
      <c r="F35" s="17" t="inlineStr">
        <is>
          <t>0..+120 °С</t>
        </is>
      </c>
      <c r="G35" s="71" t="n">
        <v>1.5</v>
      </c>
      <c r="H35" s="15" t="inlineStr">
        <is>
          <t>Т перед кр9</t>
        </is>
      </c>
      <c r="I35" s="15" t="inlineStr">
        <is>
          <t>ПЭБ КЦ №7</t>
        </is>
      </c>
      <c r="J35" s="15" t="inlineStr">
        <is>
          <t>АСУ,А и ТМ (КЦ № 7)</t>
        </is>
      </c>
      <c r="K35" s="15" t="n"/>
      <c r="L35" s="14" t="n">
        <v>12</v>
      </c>
      <c r="M35" s="3" t="inlineStr">
        <is>
          <t>25ДЯУ</t>
        </is>
      </c>
      <c r="N35" s="70" t="inlineStr">
        <is>
          <t>П</t>
        </is>
      </c>
    </row>
    <row r="36" ht="33.75" customHeight="1" s="151">
      <c r="A36" s="15">
        <f>IF(B36&lt;&gt;"", COUNTA($B$2:B36), "")</f>
        <v/>
      </c>
      <c r="B36" s="280" t="inlineStr">
        <is>
          <t>Манометр технический</t>
        </is>
      </c>
      <c r="C36" s="14" t="inlineStr">
        <is>
          <t>Росма ТМ5</t>
        </is>
      </c>
      <c r="D36" s="29" t="inlineStr">
        <is>
          <t>61120</t>
        </is>
      </c>
      <c r="E36" s="70" t="n"/>
      <c r="F36" s="70" t="inlineStr">
        <is>
          <t>0..0,6 МПa</t>
        </is>
      </c>
      <c r="G36" s="71" t="n">
        <v>1.5</v>
      </c>
      <c r="H36" s="15" t="inlineStr">
        <is>
          <t>Р перед регулирующим клапаном</t>
        </is>
      </c>
      <c r="I36" s="15" t="inlineStr">
        <is>
          <t>ПЭБ КЦ №7</t>
        </is>
      </c>
      <c r="J36" s="15" t="inlineStr">
        <is>
          <t>АСУ,А и ТМ (КЦ № 7)</t>
        </is>
      </c>
      <c r="K36" s="15" t="n"/>
      <c r="L36" s="14" t="n">
        <v>12</v>
      </c>
      <c r="M36" s="3" t="inlineStr">
        <is>
          <t>26ДЯУ</t>
        </is>
      </c>
      <c r="N36" s="70" t="inlineStr">
        <is>
          <t>П</t>
        </is>
      </c>
    </row>
    <row r="37" ht="33.75" customHeight="1" s="151">
      <c r="A37" s="15">
        <f>IF(B37&lt;&gt;"", COUNTA($B$2:B37), "")</f>
        <v/>
      </c>
      <c r="B37" s="280" t="inlineStr">
        <is>
          <t xml:space="preserve">(Тепловычислитель)       Взлет-ТСРВ </t>
        </is>
      </c>
      <c r="C37" s="175" t="inlineStr">
        <is>
          <t>ТСРВ-027</t>
        </is>
      </c>
      <c r="D37" s="70" t="n">
        <v>1800155</v>
      </c>
      <c r="E37" s="70" t="n">
        <v>2018</v>
      </c>
      <c r="F37" s="175" t="inlineStr">
        <is>
          <t>Многопараметр.</t>
        </is>
      </c>
      <c r="G37" s="175" t="inlineStr">
        <is>
          <t>ПГ 0,5%</t>
        </is>
      </c>
      <c r="H37" s="15" t="inlineStr">
        <is>
          <t>Автоматизированный т/пункт "ВЗЛЕТ АТП"</t>
        </is>
      </c>
      <c r="I37" s="15" t="inlineStr">
        <is>
          <t>ПЭБ КЦ №7</t>
        </is>
      </c>
      <c r="J37" s="15" t="inlineStr">
        <is>
          <t>СТВС (КЦ №7)</t>
        </is>
      </c>
      <c r="K37" s="15" t="n">
        <v>2021</v>
      </c>
      <c r="L37" s="15" t="n">
        <v>48</v>
      </c>
      <c r="M37" s="294" t="n">
        <v>43389</v>
      </c>
      <c r="N37" s="70" t="inlineStr">
        <is>
          <t>П</t>
        </is>
      </c>
    </row>
    <row r="38" ht="33.75" customHeight="1" s="151">
      <c r="A38" s="15">
        <f>IF(B38&lt;&gt;"", COUNTA($B$2:B38), "")</f>
        <v/>
      </c>
      <c r="B38" s="280" t="inlineStr">
        <is>
          <t xml:space="preserve">(Теплосчетчик регистратор)   Взлет-ТСР-М </t>
        </is>
      </c>
      <c r="C38" s="175" t="inlineStr">
        <is>
          <t>ТСР-027</t>
        </is>
      </c>
      <c r="D38" s="70" t="n">
        <v>1800155</v>
      </c>
      <c r="E38" s="70" t="n">
        <v>2018</v>
      </c>
      <c r="F38" s="175" t="inlineStr">
        <is>
          <t>Многопараметр.</t>
        </is>
      </c>
      <c r="G38" s="175" t="inlineStr">
        <is>
          <t>ПГ 0,5%</t>
        </is>
      </c>
      <c r="H38" s="15" t="inlineStr">
        <is>
          <t>Автоматизированный т/пункт "ВЗЛЕТ АТП"</t>
        </is>
      </c>
      <c r="I38" s="15" t="inlineStr">
        <is>
          <t>ПЭБ КЦ №7</t>
        </is>
      </c>
      <c r="J38" s="15" t="inlineStr">
        <is>
          <t>СТВС (КЦ №7)</t>
        </is>
      </c>
      <c r="K38" s="15" t="n">
        <v>2021</v>
      </c>
      <c r="L38" s="15" t="n">
        <v>48</v>
      </c>
      <c r="M38" s="3" t="inlineStr">
        <is>
          <t>16.11.2018</t>
        </is>
      </c>
      <c r="N38" s="70" t="inlineStr">
        <is>
          <t>П</t>
        </is>
      </c>
    </row>
    <row r="39" ht="33.75" customHeight="1" s="151">
      <c r="A39" s="15">
        <f>IF(B39&lt;&gt;"", COUNTA($B$2:B39), "")</f>
        <v/>
      </c>
      <c r="B39" s="280" t="inlineStr">
        <is>
          <t>(Расходомер-счетчик электромагнитный)      ВЗЛЕТ ЭР</t>
        </is>
      </c>
      <c r="C39" s="175" t="inlineStr">
        <is>
          <t>ЭРСВ-440ЛВ</t>
        </is>
      </c>
      <c r="D39" s="70" t="n">
        <v>1904180</v>
      </c>
      <c r="E39" s="70" t="n">
        <v>2018</v>
      </c>
      <c r="F39" s="175" t="inlineStr">
        <is>
          <t>Многопараметр.</t>
        </is>
      </c>
      <c r="G39" s="175" t="inlineStr">
        <is>
          <t>ПГ 0,5%</t>
        </is>
      </c>
      <c r="H39" s="15" t="inlineStr">
        <is>
          <t>Автоматизированный т/пункт "ВЗЛЕТ АТП"</t>
        </is>
      </c>
      <c r="I39" s="15" t="inlineStr">
        <is>
          <t>ПЭБ КЦ №7</t>
        </is>
      </c>
      <c r="J39" s="15" t="inlineStr">
        <is>
          <t>СТВС (КЦ №7)</t>
        </is>
      </c>
      <c r="K39" s="15" t="n">
        <v>2021</v>
      </c>
      <c r="L39" s="15" t="n">
        <v>48</v>
      </c>
      <c r="M39" s="3" t="inlineStr">
        <is>
          <t>16.11.2018</t>
        </is>
      </c>
      <c r="N39" s="70" t="inlineStr">
        <is>
          <t>П</t>
        </is>
      </c>
    </row>
    <row r="40" ht="33.75" customHeight="1" s="151">
      <c r="A40" s="15">
        <f>IF(B40&lt;&gt;"", COUNTA($B$2:B40), "")</f>
        <v/>
      </c>
      <c r="B40" s="280" t="inlineStr">
        <is>
          <t>(Расходомер-счетчик электромагнитный)      ВЗЛЕТ ЭР</t>
        </is>
      </c>
      <c r="C40" s="175" t="inlineStr">
        <is>
          <t>ЭРСВ-440ЛВ</t>
        </is>
      </c>
      <c r="D40" s="70" t="n">
        <v>1901505</v>
      </c>
      <c r="E40" s="70" t="n">
        <v>2018</v>
      </c>
      <c r="F40" s="175" t="inlineStr">
        <is>
          <t>Многопараметр.</t>
        </is>
      </c>
      <c r="G40" s="175" t="inlineStr">
        <is>
          <t>ПГ 0,5%</t>
        </is>
      </c>
      <c r="H40" s="15" t="inlineStr">
        <is>
          <t>Автоматизированный т/пункт "ВЗЛЕТ АТП"</t>
        </is>
      </c>
      <c r="I40" s="15" t="inlineStr">
        <is>
          <t>ПЭБ КЦ №7</t>
        </is>
      </c>
      <c r="J40" s="15" t="inlineStr">
        <is>
          <t>СТВС (КЦ №7)</t>
        </is>
      </c>
      <c r="K40" s="15" t="n">
        <v>2021</v>
      </c>
      <c r="L40" s="15" t="n">
        <v>48</v>
      </c>
      <c r="M40" s="3" t="inlineStr">
        <is>
          <t>16.11.2018</t>
        </is>
      </c>
      <c r="N40" s="70" t="inlineStr">
        <is>
          <t>П</t>
        </is>
      </c>
    </row>
    <row r="41" ht="22.5" customHeight="1" s="151">
      <c r="A41" s="15">
        <f>IF(B41&lt;&gt;"", COUNTA($B$2:B41), "")</f>
        <v/>
      </c>
      <c r="B41" s="280" t="inlineStr">
        <is>
          <t xml:space="preserve">(Датчик избыточного давления)                  </t>
        </is>
      </c>
      <c r="C41" s="175" t="inlineStr">
        <is>
          <t>КОРУНД-ДИ-001М</t>
        </is>
      </c>
      <c r="D41" s="17" t="inlineStr">
        <is>
          <t>220147</t>
        </is>
      </c>
      <c r="E41" s="70" t="n">
        <v>2018</v>
      </c>
      <c r="F41" s="175" t="inlineStr">
        <is>
          <t>0…1,6 МПа</t>
        </is>
      </c>
      <c r="G41" s="137" t="n">
        <v>0.005</v>
      </c>
      <c r="H41" s="15" t="inlineStr">
        <is>
          <t>Рв после фильтра</t>
        </is>
      </c>
      <c r="I41" s="15" t="inlineStr">
        <is>
          <t>ПЭБ КЦ №7</t>
        </is>
      </c>
      <c r="J41" s="15" t="inlineStr">
        <is>
          <t>СТВС (КЦ №7)</t>
        </is>
      </c>
      <c r="K41" s="15" t="n">
        <v>2021</v>
      </c>
      <c r="L41" s="15" t="n">
        <v>60</v>
      </c>
      <c r="M41" s="3" t="inlineStr">
        <is>
          <t>25.10.2018</t>
        </is>
      </c>
      <c r="N41" s="70" t="inlineStr">
        <is>
          <t>П</t>
        </is>
      </c>
    </row>
    <row r="42" ht="22.5" customHeight="1" s="151">
      <c r="A42" s="15">
        <f>IF(B42&lt;&gt;"", COUNTA($B$2:B42), "")</f>
        <v/>
      </c>
      <c r="B42" s="280" t="inlineStr">
        <is>
          <t xml:space="preserve">(Датчик избыточного давления)                  </t>
        </is>
      </c>
      <c r="C42" s="175" t="inlineStr">
        <is>
          <t>КОРУНД-ДИ-001М</t>
        </is>
      </c>
      <c r="D42" s="17" t="inlineStr">
        <is>
          <t>212982</t>
        </is>
      </c>
      <c r="E42" s="17" t="n">
        <v>2018</v>
      </c>
      <c r="F42" s="175" t="inlineStr">
        <is>
          <t>0…1 МПа</t>
        </is>
      </c>
      <c r="G42" s="138" t="n">
        <v>0.005</v>
      </c>
      <c r="H42" s="76" t="inlineStr">
        <is>
          <t>Рв перед кр2</t>
        </is>
      </c>
      <c r="I42" s="15" t="inlineStr">
        <is>
          <t>ПЭБ КЦ №7</t>
        </is>
      </c>
      <c r="J42" s="15" t="inlineStr">
        <is>
          <t>СТВС (КЦ №7)</t>
        </is>
      </c>
      <c r="K42" s="175" t="n">
        <v>2021</v>
      </c>
      <c r="L42" s="15" t="n">
        <v>60</v>
      </c>
      <c r="M42" s="3" t="inlineStr">
        <is>
          <t>25.10.2018</t>
        </is>
      </c>
      <c r="N42" s="70" t="inlineStr">
        <is>
          <t>П</t>
        </is>
      </c>
    </row>
    <row r="43" ht="22.5" customHeight="1" s="151">
      <c r="A43" s="15">
        <f>IF(B43&lt;&gt;"", COUNTA($B$2:B43), "")</f>
        <v/>
      </c>
      <c r="B43" s="76" t="inlineStr">
        <is>
          <t>(Термопреобразователь сопротивления) ВЗЛЕТ ТПС</t>
        </is>
      </c>
      <c r="C43" s="17" t="inlineStr">
        <is>
          <t>ТПС</t>
        </is>
      </c>
      <c r="D43" s="17" t="inlineStr">
        <is>
          <t>1827632</t>
        </is>
      </c>
      <c r="E43" s="17" t="inlineStr">
        <is>
          <t>2018</t>
        </is>
      </c>
      <c r="F43" s="175" t="inlineStr">
        <is>
          <t>0…180 °С</t>
        </is>
      </c>
      <c r="G43" s="15" t="inlineStr">
        <is>
          <t>А</t>
        </is>
      </c>
      <c r="H43" s="76" t="inlineStr">
        <is>
          <t>Тв на выходе теплообменника</t>
        </is>
      </c>
      <c r="I43" s="15" t="inlineStr">
        <is>
          <t>ПЭБ КЦ №7</t>
        </is>
      </c>
      <c r="J43" s="15" t="inlineStr">
        <is>
          <t>СТВС (КЦ №7)</t>
        </is>
      </c>
      <c r="K43" s="175" t="n">
        <v>2021</v>
      </c>
      <c r="L43" s="15" t="n">
        <v>48</v>
      </c>
      <c r="M43" s="3" t="inlineStr">
        <is>
          <t>24.12.2018</t>
        </is>
      </c>
      <c r="N43" s="70" t="inlineStr">
        <is>
          <t>П</t>
        </is>
      </c>
    </row>
    <row r="44" ht="22.5" customHeight="1" s="151">
      <c r="A44" s="15">
        <f>IF(B44&lt;&gt;"", COUNTA($B$2:B44), "")</f>
        <v/>
      </c>
      <c r="B44" s="76" t="inlineStr">
        <is>
          <t>(Термопреобразователь сопротивления) ВЗЛЕТ ТПС</t>
        </is>
      </c>
      <c r="C44" s="17" t="inlineStr">
        <is>
          <t>ТПС</t>
        </is>
      </c>
      <c r="D44" s="17" t="inlineStr">
        <is>
          <t>1827627</t>
        </is>
      </c>
      <c r="E44" s="17" t="inlineStr">
        <is>
          <t>2018</t>
        </is>
      </c>
      <c r="F44" s="175" t="inlineStr">
        <is>
          <t>0…180 °С</t>
        </is>
      </c>
      <c r="G44" s="15" t="inlineStr">
        <is>
          <t>А</t>
        </is>
      </c>
      <c r="H44" s="76" t="inlineStr">
        <is>
          <t>Тв после кр9</t>
        </is>
      </c>
      <c r="I44" s="15" t="inlineStr">
        <is>
          <t>ПЭБ КЦ №7</t>
        </is>
      </c>
      <c r="J44" s="15" t="inlineStr">
        <is>
          <t>СТВС (КЦ №7)</t>
        </is>
      </c>
      <c r="K44" s="175" t="n">
        <v>2021</v>
      </c>
      <c r="L44" s="15" t="n">
        <v>48</v>
      </c>
      <c r="M44" s="3" t="inlineStr">
        <is>
          <t>24.12.2018</t>
        </is>
      </c>
      <c r="N44" s="70" t="inlineStr">
        <is>
          <t>П</t>
        </is>
      </c>
    </row>
    <row r="45" ht="22.5" customHeight="1" s="151">
      <c r="A45" s="15">
        <f>IF(B45&lt;&gt;"", COUNTA($B$2:B45), "")</f>
        <v/>
      </c>
      <c r="B45" s="76" t="inlineStr">
        <is>
          <t>(Термопреобразователь сопротивления) ВЗЛЕТ ТПС</t>
        </is>
      </c>
      <c r="C45" s="17" t="inlineStr">
        <is>
          <t>ТПС</t>
        </is>
      </c>
      <c r="D45" s="17" t="inlineStr">
        <is>
          <t>1819723</t>
        </is>
      </c>
      <c r="E45" s="17" t="inlineStr">
        <is>
          <t>2018</t>
        </is>
      </c>
      <c r="F45" s="76" t="inlineStr">
        <is>
          <t>-50…100 °С</t>
        </is>
      </c>
      <c r="G45" s="15" t="inlineStr">
        <is>
          <t>А</t>
        </is>
      </c>
      <c r="H45" s="76" t="inlineStr">
        <is>
          <t>Тв перед кр4</t>
        </is>
      </c>
      <c r="I45" s="15" t="inlineStr">
        <is>
          <t>ПЭБ КЦ №7</t>
        </is>
      </c>
      <c r="J45" s="15" t="inlineStr">
        <is>
          <t>СТВС (КЦ №7)</t>
        </is>
      </c>
      <c r="K45" s="175" t="n">
        <v>2021</v>
      </c>
      <c r="L45" s="15" t="n">
        <v>48</v>
      </c>
      <c r="M45" s="3" t="inlineStr">
        <is>
          <t>24.12.2018</t>
        </is>
      </c>
      <c r="N45" s="70" t="inlineStr">
        <is>
          <t>П</t>
        </is>
      </c>
    </row>
    <row r="46" ht="22.5" customHeight="1" s="151">
      <c r="A46" s="15">
        <f>IF(B46&lt;&gt;"", COUNTA($B$2:B46), "")</f>
        <v/>
      </c>
      <c r="B46" s="76" t="inlineStr">
        <is>
          <t>(Термопреобразователь сопротивления) ВЗЛЕТ ТПС</t>
        </is>
      </c>
      <c r="C46" s="17" t="inlineStr">
        <is>
          <t>ТПС</t>
        </is>
      </c>
      <c r="D46" s="17" t="inlineStr">
        <is>
          <t>1819906</t>
        </is>
      </c>
      <c r="E46" s="17" t="inlineStr">
        <is>
          <t>2018</t>
        </is>
      </c>
      <c r="F46" s="76" t="inlineStr">
        <is>
          <t>-50…100 °С</t>
        </is>
      </c>
      <c r="G46" s="15" t="inlineStr">
        <is>
          <t>А</t>
        </is>
      </c>
      <c r="H46" s="76" t="inlineStr">
        <is>
          <t>Тв перед кр5</t>
        </is>
      </c>
      <c r="I46" s="15" t="inlineStr">
        <is>
          <t>ПЭБ КЦ №7</t>
        </is>
      </c>
      <c r="J46" s="15" t="inlineStr">
        <is>
          <t>СТВС (КЦ №7)</t>
        </is>
      </c>
      <c r="K46" s="175" t="n">
        <v>2021</v>
      </c>
      <c r="L46" s="15" t="n">
        <v>48</v>
      </c>
      <c r="M46" s="3" t="inlineStr">
        <is>
          <t>04.12.2018</t>
        </is>
      </c>
      <c r="N46" s="70" t="inlineStr">
        <is>
          <t>П</t>
        </is>
      </c>
    </row>
    <row r="47" ht="22.5" customHeight="1" s="151">
      <c r="A47" s="15">
        <f>IF(B47&lt;&gt;"", COUNTA($B$2:B47), "")</f>
        <v/>
      </c>
      <c r="B47" s="76" t="inlineStr">
        <is>
          <t>(Термопреобразователь сопротивления) ВЗЛЕТ ТПС</t>
        </is>
      </c>
      <c r="C47" s="17" t="inlineStr">
        <is>
          <t>ТПС</t>
        </is>
      </c>
      <c r="D47" s="17" t="inlineStr">
        <is>
          <t>1821457</t>
        </is>
      </c>
      <c r="E47" s="17" t="inlineStr">
        <is>
          <t>2018</t>
        </is>
      </c>
      <c r="F47" s="175" t="inlineStr">
        <is>
          <t>0…180 °С</t>
        </is>
      </c>
      <c r="G47" s="15" t="inlineStr">
        <is>
          <t>А</t>
        </is>
      </c>
      <c r="H47" s="17" t="inlineStr">
        <is>
          <t>Тв перед регулятором</t>
        </is>
      </c>
      <c r="I47" s="15" t="inlineStr">
        <is>
          <t>ПЭБ КЦ №7</t>
        </is>
      </c>
      <c r="J47" s="15" t="inlineStr">
        <is>
          <t>СТВС (КЦ №7)</t>
        </is>
      </c>
      <c r="K47" s="175" t="n">
        <v>2021</v>
      </c>
      <c r="L47" s="15" t="n">
        <v>48</v>
      </c>
      <c r="M47" s="3" t="inlineStr">
        <is>
          <t>04.12.2018</t>
        </is>
      </c>
      <c r="N47" s="70" t="inlineStr">
        <is>
          <t>П</t>
        </is>
      </c>
    </row>
    <row r="48" ht="22.5" customHeight="1" s="151">
      <c r="A48" s="15">
        <f>IF(B48&lt;&gt;"", COUNTA($B$2:B48), "")</f>
        <v/>
      </c>
      <c r="B48" s="76" t="inlineStr">
        <is>
          <t>(Термопреобразователь сопротивления) ВЗЛЕТ ТПС</t>
        </is>
      </c>
      <c r="C48" s="17" t="inlineStr">
        <is>
          <t>ТПС</t>
        </is>
      </c>
      <c r="D48" s="17" t="inlineStr">
        <is>
          <t>1821484</t>
        </is>
      </c>
      <c r="E48" s="17" t="inlineStr">
        <is>
          <t>2018</t>
        </is>
      </c>
      <c r="F48" s="175" t="inlineStr">
        <is>
          <t>0…180 °С</t>
        </is>
      </c>
      <c r="G48" s="15" t="inlineStr">
        <is>
          <t>А</t>
        </is>
      </c>
      <c r="H48" s="76" t="inlineStr">
        <is>
          <t>Тв перед кр2</t>
        </is>
      </c>
      <c r="I48" s="15" t="inlineStr">
        <is>
          <t>ПЭБ КЦ №7</t>
        </is>
      </c>
      <c r="J48" s="15" t="inlineStr">
        <is>
          <t>СТВС (КЦ №7)</t>
        </is>
      </c>
      <c r="K48" s="175" t="n">
        <v>2021</v>
      </c>
      <c r="L48" s="15" t="n">
        <v>48</v>
      </c>
      <c r="M48" s="3" t="inlineStr">
        <is>
          <t>04.12.2018</t>
        </is>
      </c>
      <c r="N48" s="70" t="inlineStr">
        <is>
          <t>П</t>
        </is>
      </c>
    </row>
    <row r="49" ht="45" customHeight="1" s="151">
      <c r="A49" s="15">
        <f>IF(B49&lt;&gt;"", COUNTA($B$2:B49), "")</f>
        <v/>
      </c>
      <c r="B49" s="76" t="inlineStr">
        <is>
          <t>(Расходомер-счетчик электромагнитный)      ВЗЛЕТ ЭР</t>
        </is>
      </c>
      <c r="C49" s="17" t="inlineStr">
        <is>
          <t>ЭРСВ-540ЛВ (мдификация ЛАЙТ М)</t>
        </is>
      </c>
      <c r="D49" s="17" t="inlineStr">
        <is>
          <t>1928378</t>
        </is>
      </c>
      <c r="E49" s="17" t="inlineStr">
        <is>
          <t>2019</t>
        </is>
      </c>
      <c r="F49" s="175" t="n"/>
      <c r="G49" s="15" t="inlineStr">
        <is>
          <t>ПГ 0,15%</t>
        </is>
      </c>
      <c r="H49" s="76" t="inlineStr">
        <is>
          <t>Автоматизированный т/пункт "ВЗЛЕТ АТП"</t>
        </is>
      </c>
      <c r="I49" s="15" t="inlineStr">
        <is>
          <t>ПЭБ КЦ №7</t>
        </is>
      </c>
      <c r="J49" s="15" t="inlineStr">
        <is>
          <t>СТВС (КЦ №7)</t>
        </is>
      </c>
      <c r="K49" s="175" t="n">
        <v>2021</v>
      </c>
      <c r="L49" s="15" t="n">
        <v>48</v>
      </c>
      <c r="M49" s="3" t="inlineStr">
        <is>
          <t>10.10.2019</t>
        </is>
      </c>
      <c r="N49" s="70" t="inlineStr">
        <is>
          <t>П</t>
        </is>
      </c>
    </row>
    <row r="50" ht="22.5" customHeight="1" s="151">
      <c r="A50" s="15">
        <f>IF(B50&lt;&gt;"", COUNTA($B$2:B50), "")</f>
        <v/>
      </c>
      <c r="B50" s="280" t="inlineStr">
        <is>
          <t>Манометр технический</t>
        </is>
      </c>
      <c r="C50" s="14" t="inlineStr">
        <is>
          <t>МП4-УУ2</t>
        </is>
      </c>
      <c r="D50" s="17" t="inlineStr">
        <is>
          <t>15253</t>
        </is>
      </c>
      <c r="E50" s="17" t="inlineStr">
        <is>
          <t>2018</t>
        </is>
      </c>
      <c r="F50" s="175" t="inlineStr">
        <is>
          <t>0…10 кгс/см2</t>
        </is>
      </c>
      <c r="G50" s="139" t="n">
        <v>45047</v>
      </c>
      <c r="H50" s="76" t="inlineStr">
        <is>
          <t>МОП</t>
        </is>
      </c>
      <c r="I50" s="15" t="inlineStr">
        <is>
          <t>ПЭБ КЦ №7</t>
        </is>
      </c>
      <c r="J50" s="15" t="inlineStr">
        <is>
          <t>СТВС (КЦ №7)</t>
        </is>
      </c>
      <c r="K50" s="175" t="n">
        <v>2021</v>
      </c>
      <c r="L50" s="15" t="n">
        <v>12</v>
      </c>
      <c r="M50" s="3" t="inlineStr">
        <is>
          <t>16.07.2026</t>
        </is>
      </c>
      <c r="N50" s="70" t="inlineStr">
        <is>
          <t>К</t>
        </is>
      </c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38" fitToWidth="0"/>
</worksheet>
</file>

<file path=xl/worksheets/sheet30.xml><?xml version="1.0" encoding="utf-8"?>
<worksheet xmlns="http://schemas.openxmlformats.org/spreadsheetml/2006/main">
  <sheetPr codeName="Лист29">
    <outlinePr summaryBelow="1" summaryRight="1"/>
    <pageSetUpPr/>
  </sheetPr>
  <dimension ref="A1:N61"/>
  <sheetViews>
    <sheetView zoomScaleNormal="100" workbookViewId="0">
      <pane ySplit="1" topLeftCell="A28" activePane="bottomLeft" state="frozen"/>
      <selection pane="bottomLeft" activeCell="B28" sqref="B28"/>
    </sheetView>
  </sheetViews>
  <sheetFormatPr baseColWidth="8" defaultRowHeight="15"/>
  <cols>
    <col width="3.140625" bestFit="1" customWidth="1" style="151" min="1" max="1"/>
    <col width="22.5703125" bestFit="1" customWidth="1" style="151" min="2" max="2"/>
    <col width="14.5703125" bestFit="1" customWidth="1" style="151" min="3" max="3"/>
    <col width="8.7109375" bestFit="1" customWidth="1" style="151" min="4" max="4"/>
    <col width="6.5703125" bestFit="1" customWidth="1" style="151" min="5" max="5"/>
    <col width="11.140625" customWidth="1" style="151" min="6" max="6"/>
    <col width="7.42578125" bestFit="1" customWidth="1" style="151" min="7" max="7"/>
    <col width="30.85546875" customWidth="1" style="151" min="8" max="8"/>
    <col width="13.7109375" bestFit="1" customWidth="1" style="151" min="9" max="9"/>
    <col width="12.42578125" customWidth="1" style="151" min="10" max="10"/>
    <col width="8" bestFit="1" customWidth="1" style="151" min="11" max="11"/>
    <col width="9" bestFit="1" customWidth="1" style="151" min="12" max="12"/>
    <col width="8.85546875" bestFit="1" customWidth="1" style="151" min="13" max="13"/>
    <col width="9" bestFit="1" customWidth="1" style="151" min="14" max="14"/>
    <col width="9.140625" customWidth="1" style="151" min="15" max="1638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
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
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 ht="17.25" customHeight="1" s="151">
      <c r="A2" s="15">
        <f>IF(B2&lt;&gt;"", COUNTA($B$2:B2), "")</f>
        <v/>
      </c>
      <c r="B2" s="76" t="inlineStr">
        <is>
          <t>Манометр технический</t>
        </is>
      </c>
      <c r="C2" s="17" t="inlineStr">
        <is>
          <t>МП4-УУ2</t>
        </is>
      </c>
      <c r="D2" s="17" t="inlineStr">
        <is>
          <t>7000131</t>
        </is>
      </c>
      <c r="E2" s="17" t="n"/>
      <c r="F2" s="175" t="inlineStr">
        <is>
          <t>0..16 МПа</t>
        </is>
      </c>
      <c r="G2" s="15" t="n">
        <v>1.5</v>
      </c>
      <c r="H2" s="76" t="inlineStr">
        <is>
          <t>P импульсного газа на УП</t>
        </is>
      </c>
      <c r="I2" s="15" t="inlineStr">
        <is>
          <t>Узел подключения</t>
        </is>
      </c>
      <c r="J2" s="15" t="inlineStr">
        <is>
          <t>АСУ,А и ТМ (КЦ № 7)</t>
        </is>
      </c>
      <c r="K2" s="175" t="n">
        <v>2019</v>
      </c>
      <c r="L2" s="15" t="n">
        <v>12</v>
      </c>
      <c r="M2" s="3" t="inlineStr">
        <is>
          <t>2К26</t>
        </is>
      </c>
      <c r="N2" s="14" t="inlineStr">
        <is>
          <t>К</t>
        </is>
      </c>
    </row>
    <row r="3" ht="16.5" customHeight="1" s="151">
      <c r="A3" s="15">
        <f>IF(B3&lt;&gt;"", COUNTA($B$2:B3), "")</f>
        <v/>
      </c>
      <c r="B3" s="76" t="inlineStr">
        <is>
          <t>Манометр технический</t>
        </is>
      </c>
      <c r="C3" s="17" t="inlineStr">
        <is>
          <t>МП3-УУ2</t>
        </is>
      </c>
      <c r="D3" s="17" t="inlineStr">
        <is>
          <t>212027933</t>
        </is>
      </c>
      <c r="E3" s="17" t="n"/>
      <c r="F3" s="175" t="inlineStr">
        <is>
          <t>0..16 МПа</t>
        </is>
      </c>
      <c r="G3" s="15" t="n">
        <v>1</v>
      </c>
      <c r="H3" s="76" t="inlineStr">
        <is>
          <t>P импульсного газа крана 7р (фильтр)</t>
        </is>
      </c>
      <c r="I3" s="15" t="inlineStr">
        <is>
          <t>Узел подключения</t>
        </is>
      </c>
      <c r="J3" s="15" t="inlineStr">
        <is>
          <t>АСУ,А и ТМ (КЦ № 7)</t>
        </is>
      </c>
      <c r="K3" s="175" t="n">
        <v>2019</v>
      </c>
      <c r="L3" s="15" t="n">
        <v>12</v>
      </c>
      <c r="M3" s="3" t="inlineStr">
        <is>
          <t>2К26</t>
        </is>
      </c>
      <c r="N3" s="14" t="inlineStr">
        <is>
          <t>К</t>
        </is>
      </c>
    </row>
    <row r="4" ht="22.5" customHeight="1" s="151">
      <c r="A4" s="15">
        <f>IF(B4&lt;&gt;"", COUNTA($B$2:B4), "")</f>
        <v/>
      </c>
      <c r="B4" s="76" t="inlineStr">
        <is>
          <t>Манометр технический</t>
        </is>
      </c>
      <c r="C4" s="17" t="inlineStr">
        <is>
          <t>МП4-УфБСУХЛ1</t>
        </is>
      </c>
      <c r="D4" s="17" t="inlineStr">
        <is>
          <t>311423</t>
        </is>
      </c>
      <c r="E4" s="17" t="n"/>
      <c r="F4" s="175" t="inlineStr">
        <is>
          <t>0..16 МПа</t>
        </is>
      </c>
      <c r="G4" s="15" t="n">
        <v>1</v>
      </c>
      <c r="H4" s="76" t="inlineStr">
        <is>
          <t>P импульсного газа крана 7р (до фильтра)</t>
        </is>
      </c>
      <c r="I4" s="15" t="inlineStr">
        <is>
          <t>Узел подключения</t>
        </is>
      </c>
      <c r="J4" s="15" t="inlineStr">
        <is>
          <t>АСУ,А и ТМ (КЦ № 7)</t>
        </is>
      </c>
      <c r="K4" s="175" t="n">
        <v>2019</v>
      </c>
      <c r="L4" s="15" t="n">
        <v>12</v>
      </c>
      <c r="M4" s="3" t="inlineStr">
        <is>
          <t>2К26</t>
        </is>
      </c>
      <c r="N4" s="14" t="inlineStr">
        <is>
          <t>К</t>
        </is>
      </c>
    </row>
    <row r="5" ht="22.5" customHeight="1" s="151">
      <c r="A5" s="15">
        <f>IF(B5&lt;&gt;"", COUNTA($B$2:B5), "")</f>
        <v/>
      </c>
      <c r="B5" s="76" t="inlineStr">
        <is>
          <t>Манометр технический</t>
        </is>
      </c>
      <c r="C5" s="17" t="inlineStr">
        <is>
          <t>МП3-УУХЛ1</t>
        </is>
      </c>
      <c r="D5" s="17" t="inlineStr">
        <is>
          <t>7000153</t>
        </is>
      </c>
      <c r="E5" s="17" t="n"/>
      <c r="F5" s="175" t="inlineStr">
        <is>
          <t>0..160 кгс/см2</t>
        </is>
      </c>
      <c r="G5" s="15" t="n">
        <v>1</v>
      </c>
      <c r="H5" s="17" t="inlineStr">
        <is>
          <t>P импульсного газа крана 7с (фильтр)</t>
        </is>
      </c>
      <c r="I5" s="15" t="inlineStr">
        <is>
          <t>Узел подключения</t>
        </is>
      </c>
      <c r="J5" s="15" t="inlineStr">
        <is>
          <t>АСУ,А и ТМ (КЦ № 7)</t>
        </is>
      </c>
      <c r="K5" s="175" t="n">
        <v>2019</v>
      </c>
      <c r="L5" s="15" t="n">
        <v>12</v>
      </c>
      <c r="M5" s="3" t="inlineStr">
        <is>
          <t>2К26</t>
        </is>
      </c>
      <c r="N5" s="14" t="inlineStr">
        <is>
          <t>К</t>
        </is>
      </c>
    </row>
    <row r="6" ht="22.5" customHeight="1" s="151">
      <c r="A6" s="15">
        <f>IF(B6&lt;&gt;"", COUNTA($B$2:B6), "")</f>
        <v/>
      </c>
      <c r="B6" s="76" t="inlineStr">
        <is>
          <t>Манометр технический</t>
        </is>
      </c>
      <c r="C6" s="17" t="inlineStr">
        <is>
          <t>МП4-УУ2</t>
        </is>
      </c>
      <c r="D6" s="17" t="inlineStr">
        <is>
          <t>7000133</t>
        </is>
      </c>
      <c r="E6" s="17" t="n"/>
      <c r="F6" s="175" t="inlineStr">
        <is>
          <t>0..16 МПа</t>
        </is>
      </c>
      <c r="G6" s="15" t="n">
        <v>1.5</v>
      </c>
      <c r="H6" s="76" t="inlineStr">
        <is>
          <t>P импульсного газа крана 7с (до фильтра)</t>
        </is>
      </c>
      <c r="I6" s="15" t="inlineStr">
        <is>
          <t>Узел подключения</t>
        </is>
      </c>
      <c r="J6" s="15" t="inlineStr">
        <is>
          <t>АСУ,А и ТМ (КЦ № 7)</t>
        </is>
      </c>
      <c r="K6" s="175" t="n">
        <v>2019</v>
      </c>
      <c r="L6" s="15" t="n">
        <v>12</v>
      </c>
      <c r="M6" s="3" t="inlineStr">
        <is>
          <t>2К26</t>
        </is>
      </c>
      <c r="N6" s="14" t="inlineStr">
        <is>
          <t>К</t>
        </is>
      </c>
    </row>
    <row r="7" ht="22.5" customHeight="1" s="151">
      <c r="A7" s="15">
        <f>IF(B7&lt;&gt;"", COUNTA($B$2:B7), "")</f>
        <v/>
      </c>
      <c r="B7" s="76" t="inlineStr">
        <is>
          <t>Манометр технический</t>
        </is>
      </c>
      <c r="C7" s="17" t="inlineStr">
        <is>
          <t>МП3-УУ2</t>
        </is>
      </c>
      <c r="D7" s="17" t="inlineStr">
        <is>
          <t>212027940</t>
        </is>
      </c>
      <c r="E7" s="17" t="n"/>
      <c r="F7" s="175" t="inlineStr">
        <is>
          <t>0..16 МПа</t>
        </is>
      </c>
      <c r="G7" s="15" t="n">
        <v>1</v>
      </c>
      <c r="H7" s="17" t="inlineStr">
        <is>
          <t>P импульсного газа крана 7-1р1 (фильтр)</t>
        </is>
      </c>
      <c r="I7" s="15" t="inlineStr">
        <is>
          <t>Узел подключения</t>
        </is>
      </c>
      <c r="J7" s="15" t="inlineStr">
        <is>
          <t>АСУ,А и ТМ (КЦ № 7)</t>
        </is>
      </c>
      <c r="K7" s="175" t="n">
        <v>2019</v>
      </c>
      <c r="L7" s="15" t="n">
        <v>12</v>
      </c>
      <c r="M7" s="3" t="inlineStr">
        <is>
          <t>2К26</t>
        </is>
      </c>
      <c r="N7" s="14" t="inlineStr">
        <is>
          <t>К</t>
        </is>
      </c>
    </row>
    <row r="8" ht="22.5" customHeight="1" s="151">
      <c r="A8" s="15">
        <f>IF(B8&lt;&gt;"", COUNTA($B$2:B8), "")</f>
        <v/>
      </c>
      <c r="B8" s="76" t="inlineStr">
        <is>
          <t>Манометр технический</t>
        </is>
      </c>
      <c r="C8" s="17" t="inlineStr">
        <is>
          <t>МП4-УУ2</t>
        </is>
      </c>
      <c r="D8" s="17" t="inlineStr">
        <is>
          <t>212032063</t>
        </is>
      </c>
      <c r="E8" s="17" t="n"/>
      <c r="F8" s="175" t="inlineStr">
        <is>
          <t>0..16 МПа</t>
        </is>
      </c>
      <c r="G8" s="15" t="n">
        <v>1.5</v>
      </c>
      <c r="H8" s="17" t="inlineStr">
        <is>
          <t>P импульсного газа крана 7-1р1 (до фильтра)</t>
        </is>
      </c>
      <c r="I8" s="15" t="inlineStr">
        <is>
          <t>Узел подключения</t>
        </is>
      </c>
      <c r="J8" s="15" t="inlineStr">
        <is>
          <t>АСУ,А и ТМ (КЦ № 7)</t>
        </is>
      </c>
      <c r="K8" s="175" t="n">
        <v>2019</v>
      </c>
      <c r="L8" s="15" t="n">
        <v>12</v>
      </c>
      <c r="M8" s="3" t="inlineStr">
        <is>
          <t>2К26</t>
        </is>
      </c>
      <c r="N8" s="14" t="inlineStr">
        <is>
          <t>К</t>
        </is>
      </c>
    </row>
    <row r="9" ht="22.5" customHeight="1" s="151">
      <c r="A9" s="15">
        <f>IF(B9&lt;&gt;"", COUNTA($B$2:B9), "")</f>
        <v/>
      </c>
      <c r="B9" s="76" t="inlineStr">
        <is>
          <t>Манометр технический</t>
        </is>
      </c>
      <c r="C9" s="17" t="inlineStr">
        <is>
          <t>МП3-УУХЛ1</t>
        </is>
      </c>
      <c r="D9" s="15" t="n">
        <v>15212</v>
      </c>
      <c r="E9" s="17" t="n"/>
      <c r="F9" s="175" t="inlineStr">
        <is>
          <t>0..160 кгс/см2</t>
        </is>
      </c>
      <c r="G9" s="15" t="n">
        <v>1.5</v>
      </c>
      <c r="H9" s="17" t="inlineStr">
        <is>
          <t>P импульсного газа крана 7-1р2 (фильтр)</t>
        </is>
      </c>
      <c r="I9" s="15" t="inlineStr">
        <is>
          <t>Узел подключения</t>
        </is>
      </c>
      <c r="J9" s="15" t="inlineStr">
        <is>
          <t>АСУ,А и ТМ (КЦ № 7)</t>
        </is>
      </c>
      <c r="K9" s="175" t="n">
        <v>2019</v>
      </c>
      <c r="L9" s="15" t="n">
        <v>12</v>
      </c>
      <c r="M9" s="3" t="inlineStr">
        <is>
          <t>2К26</t>
        </is>
      </c>
      <c r="N9" s="14" t="inlineStr">
        <is>
          <t>К</t>
        </is>
      </c>
    </row>
    <row r="10" ht="22.5" customHeight="1" s="151">
      <c r="A10" s="15">
        <f>IF(B10&lt;&gt;"", COUNTA($B$2:B10), "")</f>
        <v/>
      </c>
      <c r="B10" s="76" t="inlineStr">
        <is>
          <t>Манометр технический</t>
        </is>
      </c>
      <c r="C10" s="17" t="inlineStr">
        <is>
          <t>МП4-УУ2</t>
        </is>
      </c>
      <c r="D10" s="3" t="inlineStr">
        <is>
          <t>7000139</t>
        </is>
      </c>
      <c r="E10" s="17" t="n"/>
      <c r="F10" s="175" t="inlineStr">
        <is>
          <t>0..16 МПа</t>
        </is>
      </c>
      <c r="G10" s="15" t="n">
        <v>1.5</v>
      </c>
      <c r="H10" s="17" t="inlineStr">
        <is>
          <t>P импульсного газа крана 7-1р2 (до фильтра)</t>
        </is>
      </c>
      <c r="I10" s="15" t="inlineStr">
        <is>
          <t>Узел подключения</t>
        </is>
      </c>
      <c r="J10" s="15" t="inlineStr">
        <is>
          <t>АСУ,А и ТМ (КЦ № 7)</t>
        </is>
      </c>
      <c r="K10" s="175" t="n">
        <v>2019</v>
      </c>
      <c r="L10" s="15" t="n">
        <v>12</v>
      </c>
      <c r="M10" s="3" t="inlineStr">
        <is>
          <t>2К26</t>
        </is>
      </c>
      <c r="N10" s="14" t="inlineStr">
        <is>
          <t>К</t>
        </is>
      </c>
    </row>
    <row r="11" ht="22.5" customHeight="1" s="151">
      <c r="A11" s="15">
        <f>IF(B11&lt;&gt;"", COUNTA($B$2:B11), "")</f>
        <v/>
      </c>
      <c r="B11" s="76" t="inlineStr">
        <is>
          <t>Манометр технический</t>
        </is>
      </c>
      <c r="C11" s="3" t="inlineStr">
        <is>
          <t>МП3-Уф</t>
        </is>
      </c>
      <c r="D11" s="3" t="inlineStr">
        <is>
          <t>15435</t>
        </is>
      </c>
      <c r="E11" s="17" t="n"/>
      <c r="F11" s="175" t="inlineStr">
        <is>
          <t>0..160 кгс/см2</t>
        </is>
      </c>
      <c r="G11" s="15" t="n">
        <v>1.5</v>
      </c>
      <c r="H11" s="3" t="inlineStr">
        <is>
          <t>P импульсного газа крана 2т (фильтр)</t>
        </is>
      </c>
      <c r="I11" s="15" t="inlineStr">
        <is>
          <t>Узел подключения</t>
        </is>
      </c>
      <c r="J11" s="15" t="inlineStr">
        <is>
          <t>АСУ,А и ТМ (КЦ № 7)</t>
        </is>
      </c>
      <c r="K11" s="175" t="n">
        <v>2019</v>
      </c>
      <c r="L11" s="15" t="n">
        <v>12</v>
      </c>
      <c r="M11" s="3" t="inlineStr">
        <is>
          <t>2К26</t>
        </is>
      </c>
      <c r="N11" s="14" t="inlineStr">
        <is>
          <t>К</t>
        </is>
      </c>
    </row>
    <row r="12" ht="22.5" customHeight="1" s="151">
      <c r="A12" s="15">
        <f>IF(B12&lt;&gt;"", COUNTA($B$2:B12), "")</f>
        <v/>
      </c>
      <c r="B12" s="76" t="inlineStr">
        <is>
          <t>Манометр технический</t>
        </is>
      </c>
      <c r="C12" s="17" t="inlineStr">
        <is>
          <t>МП4-УфБСУХЛ1</t>
        </is>
      </c>
      <c r="D12" s="3" t="inlineStr">
        <is>
          <t>309019</t>
        </is>
      </c>
      <c r="E12" s="17" t="n"/>
      <c r="F12" s="175" t="inlineStr">
        <is>
          <t>0..16 МПа</t>
        </is>
      </c>
      <c r="G12" s="15" t="n">
        <v>1</v>
      </c>
      <c r="H12" s="3" t="inlineStr">
        <is>
          <t>P импульсного газа крана 2т (до фильтра)</t>
        </is>
      </c>
      <c r="I12" s="15" t="inlineStr">
        <is>
          <t>Узел подключения</t>
        </is>
      </c>
      <c r="J12" s="15" t="inlineStr">
        <is>
          <t>АСУ,А и ТМ (КЦ № 7)</t>
        </is>
      </c>
      <c r="K12" s="175" t="n">
        <v>2019</v>
      </c>
      <c r="L12" s="15" t="n">
        <v>12</v>
      </c>
      <c r="M12" s="3" t="inlineStr">
        <is>
          <t>2К26</t>
        </is>
      </c>
      <c r="N12" s="14" t="inlineStr">
        <is>
          <t>К</t>
        </is>
      </c>
    </row>
    <row r="13" ht="22.5" customHeight="1" s="151">
      <c r="A13" s="15">
        <f>IF(B13&lt;&gt;"", COUNTA($B$2:B13), "")</f>
        <v/>
      </c>
      <c r="B13" s="76" t="inlineStr">
        <is>
          <t>Манометр технический</t>
        </is>
      </c>
      <c r="C13" s="3" t="inlineStr">
        <is>
          <t>ТМ5</t>
        </is>
      </c>
      <c r="D13" s="3" t="inlineStr">
        <is>
          <t>15228</t>
        </is>
      </c>
      <c r="E13" s="17" t="n"/>
      <c r="F13" s="175" t="inlineStr">
        <is>
          <t>0..160 кгс/см2</t>
        </is>
      </c>
      <c r="G13" s="15" t="n">
        <v>1.5</v>
      </c>
      <c r="H13" s="3" t="inlineStr">
        <is>
          <t>P импульсного газа крана 4т (фильтр)</t>
        </is>
      </c>
      <c r="I13" s="15" t="inlineStr">
        <is>
          <t>Узел подключения</t>
        </is>
      </c>
      <c r="J13" s="15" t="inlineStr">
        <is>
          <t>АСУ,А и ТМ (КЦ № 7)</t>
        </is>
      </c>
      <c r="K13" s="175" t="n">
        <v>2019</v>
      </c>
      <c r="L13" s="15" t="n">
        <v>12</v>
      </c>
      <c r="M13" s="3" t="inlineStr">
        <is>
          <t>2К26</t>
        </is>
      </c>
      <c r="N13" s="14" t="inlineStr">
        <is>
          <t>К</t>
        </is>
      </c>
    </row>
    <row r="14" ht="22.5" customHeight="1" s="151">
      <c r="A14" s="15">
        <f>IF(B14&lt;&gt;"", COUNTA($B$2:B14), "")</f>
        <v/>
      </c>
      <c r="B14" s="76" t="inlineStr">
        <is>
          <t>Манометр технический</t>
        </is>
      </c>
      <c r="C14" s="17" t="inlineStr">
        <is>
          <t>МП4-УфБСУХЛ1</t>
        </is>
      </c>
      <c r="D14" s="3" t="inlineStr">
        <is>
          <t>312551</t>
        </is>
      </c>
      <c r="E14" s="17" t="n"/>
      <c r="F14" s="175" t="inlineStr">
        <is>
          <t>0..16 МПа</t>
        </is>
      </c>
      <c r="G14" s="15" t="n">
        <v>1</v>
      </c>
      <c r="H14" s="3" t="inlineStr">
        <is>
          <t>P импульсного газа крана 4т (до фильтра)</t>
        </is>
      </c>
      <c r="I14" s="15" t="inlineStr">
        <is>
          <t>Узел подключения</t>
        </is>
      </c>
      <c r="J14" s="15" t="inlineStr">
        <is>
          <t>АСУ,А и ТМ (КЦ № 7)</t>
        </is>
      </c>
      <c r="K14" s="175" t="n">
        <v>2019</v>
      </c>
      <c r="L14" s="15" t="n">
        <v>12</v>
      </c>
      <c r="M14" s="3" t="inlineStr">
        <is>
          <t>2К26</t>
        </is>
      </c>
      <c r="N14" s="14" t="inlineStr">
        <is>
          <t>К</t>
        </is>
      </c>
    </row>
    <row r="15" ht="22.5" customHeight="1" s="151">
      <c r="A15" s="15">
        <f>IF(B15&lt;&gt;"", COUNTA($B$2:B15), "")</f>
        <v/>
      </c>
      <c r="B15" s="76" t="inlineStr">
        <is>
          <t>Манометр технический</t>
        </is>
      </c>
      <c r="C15" s="17" t="inlineStr">
        <is>
          <t>ТМ5</t>
        </is>
      </c>
      <c r="D15" s="3" t="inlineStr">
        <is>
          <t>15226</t>
        </is>
      </c>
      <c r="E15" s="17" t="n"/>
      <c r="F15" s="175" t="inlineStr">
        <is>
          <t>0..160 кгс/см2</t>
        </is>
      </c>
      <c r="G15" s="15" t="n">
        <v>1.5</v>
      </c>
      <c r="H15" s="3" t="inlineStr">
        <is>
          <t>P импульсного газа крана 3т (фильтр)</t>
        </is>
      </c>
      <c r="I15" s="15" t="inlineStr">
        <is>
          <t>Узел подключения</t>
        </is>
      </c>
      <c r="J15" s="15" t="inlineStr">
        <is>
          <t>АСУ,А и ТМ (КЦ № 7)</t>
        </is>
      </c>
      <c r="K15" s="175" t="n">
        <v>2019</v>
      </c>
      <c r="L15" s="15" t="n">
        <v>12</v>
      </c>
      <c r="M15" s="3" t="inlineStr">
        <is>
          <t>2К26</t>
        </is>
      </c>
      <c r="N15" s="14" t="inlineStr">
        <is>
          <t>К</t>
        </is>
      </c>
    </row>
    <row r="16" ht="22.5" customHeight="1" s="151">
      <c r="A16" s="15">
        <f>IF(B16&lt;&gt;"", COUNTA($B$2:B16), "")</f>
        <v/>
      </c>
      <c r="B16" s="76" t="inlineStr">
        <is>
          <t>Манометр технический</t>
        </is>
      </c>
      <c r="C16" s="17" t="inlineStr">
        <is>
          <t>МП4-УУ2</t>
        </is>
      </c>
      <c r="D16" s="3" t="inlineStr">
        <is>
          <t>232017119</t>
        </is>
      </c>
      <c r="E16" s="17" t="n"/>
      <c r="F16" s="175" t="inlineStr">
        <is>
          <t>0..160 кгс/см2</t>
        </is>
      </c>
      <c r="G16" s="15" t="n">
        <v>1</v>
      </c>
      <c r="H16" s="3" t="inlineStr">
        <is>
          <t>P импульсного газа крана 3т (до фильтра)</t>
        </is>
      </c>
      <c r="I16" s="15" t="inlineStr">
        <is>
          <t>Узел подключения</t>
        </is>
      </c>
      <c r="J16" s="15" t="inlineStr">
        <is>
          <t>АСУ,А и ТМ (КЦ № 7)</t>
        </is>
      </c>
      <c r="K16" s="175" t="n">
        <v>2019</v>
      </c>
      <c r="L16" s="15" t="n">
        <v>12</v>
      </c>
      <c r="M16" s="3" t="inlineStr">
        <is>
          <t>2К26</t>
        </is>
      </c>
      <c r="N16" s="14" t="inlineStr">
        <is>
          <t>К</t>
        </is>
      </c>
    </row>
    <row r="17" ht="22.5" customHeight="1" s="151">
      <c r="A17" s="15">
        <f>IF(B17&lt;&gt;"", COUNTA($B$2:B17), "")</f>
        <v/>
      </c>
      <c r="B17" s="76" t="inlineStr">
        <is>
          <t>Манометр технический</t>
        </is>
      </c>
      <c r="C17" s="17" t="inlineStr">
        <is>
          <t>МП3-УУ2</t>
        </is>
      </c>
      <c r="D17" s="3" t="inlineStr">
        <is>
          <t>15666</t>
        </is>
      </c>
      <c r="E17" s="17" t="n"/>
      <c r="F17" s="175" t="inlineStr">
        <is>
          <t>0..16 МПа</t>
        </is>
      </c>
      <c r="G17" s="15" t="n">
        <v>1.5</v>
      </c>
      <c r="H17" s="3" t="inlineStr">
        <is>
          <t>P импульсного газа крана 1т (фильтр)</t>
        </is>
      </c>
      <c r="I17" s="15" t="inlineStr">
        <is>
          <t>Узел подключения</t>
        </is>
      </c>
      <c r="J17" s="15" t="inlineStr">
        <is>
          <t>АСУ,А и ТМ (КЦ № 7)</t>
        </is>
      </c>
      <c r="K17" s="175" t="n">
        <v>2019</v>
      </c>
      <c r="L17" s="15" t="n">
        <v>12</v>
      </c>
      <c r="M17" s="3" t="inlineStr">
        <is>
          <t>2К26</t>
        </is>
      </c>
      <c r="N17" s="14" t="inlineStr">
        <is>
          <t>К</t>
        </is>
      </c>
    </row>
    <row r="18" ht="22.5" customHeight="1" s="151">
      <c r="A18" s="15">
        <f>IF(B18&lt;&gt;"", COUNTA($B$2:B18), "")</f>
        <v/>
      </c>
      <c r="B18" s="76" t="inlineStr">
        <is>
          <t>Манометр технический</t>
        </is>
      </c>
      <c r="C18" s="17" t="inlineStr">
        <is>
          <t>МП4-УУ2</t>
        </is>
      </c>
      <c r="D18" s="3" t="inlineStr">
        <is>
          <t>7000134</t>
        </is>
      </c>
      <c r="E18" s="17" t="n"/>
      <c r="F18" s="175" t="inlineStr">
        <is>
          <t>0..16 МПа</t>
        </is>
      </c>
      <c r="G18" s="15" t="n">
        <v>1.5</v>
      </c>
      <c r="H18" s="3" t="inlineStr">
        <is>
          <t>P импульсного газа крана 1т (до фильтра)</t>
        </is>
      </c>
      <c r="I18" s="15" t="inlineStr">
        <is>
          <t>Узел подключения</t>
        </is>
      </c>
      <c r="J18" s="15" t="inlineStr">
        <is>
          <t>АСУ,А и ТМ (КЦ № 7)</t>
        </is>
      </c>
      <c r="K18" s="175" t="n">
        <v>2019</v>
      </c>
      <c r="L18" s="15" t="n">
        <v>12</v>
      </c>
      <c r="M18" s="3" t="inlineStr">
        <is>
          <t>2К26</t>
        </is>
      </c>
      <c r="N18" s="14" t="inlineStr">
        <is>
          <t>К</t>
        </is>
      </c>
    </row>
    <row r="19" ht="22.5" customHeight="1" s="151">
      <c r="A19" s="15">
        <f>IF(B19&lt;&gt;"", COUNTA($B$2:B19), "")</f>
        <v/>
      </c>
      <c r="B19" s="76" t="inlineStr">
        <is>
          <t>Манометр технический</t>
        </is>
      </c>
      <c r="C19" s="17" t="inlineStr">
        <is>
          <t>МП3-УУ2</t>
        </is>
      </c>
      <c r="D19" s="3" t="inlineStr">
        <is>
          <t>15667</t>
        </is>
      </c>
      <c r="E19" s="17" t="n"/>
      <c r="F19" s="175" t="inlineStr">
        <is>
          <t>0..16 МПа</t>
        </is>
      </c>
      <c r="G19" s="15" t="n">
        <v>1.5</v>
      </c>
      <c r="H19" s="3" t="inlineStr">
        <is>
          <t>P импульсного газа крана 1с (фильтр)</t>
        </is>
      </c>
      <c r="I19" s="15" t="inlineStr">
        <is>
          <t>Узел подключения</t>
        </is>
      </c>
      <c r="J19" s="15" t="inlineStr">
        <is>
          <t>АСУ,А и ТМ (КЦ № 7)</t>
        </is>
      </c>
      <c r="K19" s="175" t="n">
        <v>2019</v>
      </c>
      <c r="L19" s="15" t="n">
        <v>12</v>
      </c>
      <c r="M19" s="3" t="inlineStr">
        <is>
          <t>2К26</t>
        </is>
      </c>
      <c r="N19" s="14" t="inlineStr">
        <is>
          <t>К</t>
        </is>
      </c>
    </row>
    <row r="20" ht="22.5" customHeight="1" s="151">
      <c r="A20" s="15" t="inlineStr">
        <is>
          <t> </t>
        </is>
      </c>
      <c r="B20" s="76" t="inlineStr">
        <is>
          <t>Манометр технический</t>
        </is>
      </c>
      <c r="C20" s="17" t="inlineStr">
        <is>
          <t>МП4-УУ2</t>
        </is>
      </c>
      <c r="D20" s="3" t="inlineStr">
        <is>
          <t>15325</t>
        </is>
      </c>
      <c r="E20" s="17" t="n"/>
      <c r="F20" s="175" t="inlineStr">
        <is>
          <t>0..160 кгс/см2</t>
        </is>
      </c>
      <c r="G20" s="15" t="n">
        <v>1.5</v>
      </c>
      <c r="H20" s="3" t="inlineStr">
        <is>
          <t>P импульсного газа крана 1с (до фильтра)</t>
        </is>
      </c>
      <c r="I20" s="15" t="inlineStr">
        <is>
          <t>Узел подключения</t>
        </is>
      </c>
      <c r="J20" s="15" t="inlineStr">
        <is>
          <t>АСУ,А и ТМ (КЦ № 7)</t>
        </is>
      </c>
      <c r="K20" s="175" t="n">
        <v>2019</v>
      </c>
      <c r="L20" s="15" t="n">
        <v>12</v>
      </c>
      <c r="M20" s="3" t="inlineStr">
        <is>
          <t>2К26</t>
        </is>
      </c>
      <c r="N20" s="14" t="inlineStr">
        <is>
          <t>К</t>
        </is>
      </c>
    </row>
    <row r="21" ht="22.5" customHeight="1" s="151">
      <c r="A21" s="15">
        <f>IF(B21&lt;&gt;"", COUNTA($B$2:B21), "")</f>
        <v/>
      </c>
      <c r="B21" s="76" t="inlineStr">
        <is>
          <t>Манометр технический</t>
        </is>
      </c>
      <c r="C21" s="17" t="inlineStr">
        <is>
          <t>МП3-УУХЛ1</t>
        </is>
      </c>
      <c r="D21" s="3" t="inlineStr">
        <is>
          <t>7000148</t>
        </is>
      </c>
      <c r="E21" s="17" t="n"/>
      <c r="F21" s="175" t="inlineStr">
        <is>
          <t>0..160 кгс/см2</t>
        </is>
      </c>
      <c r="G21" s="15" t="n">
        <v>1</v>
      </c>
      <c r="H21" s="3" t="inlineStr">
        <is>
          <t>P импульсного газа крана 2с (фильтр)</t>
        </is>
      </c>
      <c r="I21" s="15" t="inlineStr">
        <is>
          <t>Узел подключения</t>
        </is>
      </c>
      <c r="J21" s="15" t="inlineStr">
        <is>
          <t>АСУ,А и ТМ (КЦ № 7)</t>
        </is>
      </c>
      <c r="K21" s="175" t="n">
        <v>2019</v>
      </c>
      <c r="L21" s="15" t="n">
        <v>12</v>
      </c>
      <c r="M21" s="3" t="inlineStr">
        <is>
          <t>2К26</t>
        </is>
      </c>
      <c r="N21" s="14" t="inlineStr">
        <is>
          <t>К</t>
        </is>
      </c>
    </row>
    <row r="22" ht="22.5" customHeight="1" s="151">
      <c r="A22" s="15">
        <f>IF(B22&lt;&gt;"", COUNTA($B$2:B22), "")</f>
        <v/>
      </c>
      <c r="B22" s="76" t="inlineStr">
        <is>
          <t>Манометр технический</t>
        </is>
      </c>
      <c r="C22" s="17" t="inlineStr">
        <is>
          <t>МП4-УУХЛ1</t>
        </is>
      </c>
      <c r="D22" s="3" t="inlineStr">
        <is>
          <t>310380</t>
        </is>
      </c>
      <c r="E22" s="17" t="n"/>
      <c r="F22" s="175" t="inlineStr">
        <is>
          <t>0..16 МПа</t>
        </is>
      </c>
      <c r="G22" s="15" t="n">
        <v>1</v>
      </c>
      <c r="H22" s="3" t="inlineStr">
        <is>
          <t>P импульсного газа крана 2с (до фильтра)</t>
        </is>
      </c>
      <c r="I22" s="15" t="inlineStr">
        <is>
          <t>Узел подключения</t>
        </is>
      </c>
      <c r="J22" s="15" t="inlineStr">
        <is>
          <t>АСУ,А и ТМ (КЦ № 7)</t>
        </is>
      </c>
      <c r="K22" s="175" t="n">
        <v>2019</v>
      </c>
      <c r="L22" s="15" t="n">
        <v>12</v>
      </c>
      <c r="M22" s="3" t="inlineStr">
        <is>
          <t>2К26</t>
        </is>
      </c>
      <c r="N22" s="14" t="inlineStr">
        <is>
          <t>К</t>
        </is>
      </c>
    </row>
    <row r="23" ht="22.5" customHeight="1" s="151">
      <c r="A23" s="15">
        <f>IF(B23&lt;&gt;"", COUNTA($B$2:B23), "")</f>
        <v/>
      </c>
      <c r="B23" s="76" t="inlineStr">
        <is>
          <t>Манометр технический</t>
        </is>
      </c>
      <c r="C23" s="17" t="inlineStr">
        <is>
          <t>МП3-УУХЛ1</t>
        </is>
      </c>
      <c r="D23" s="3" t="inlineStr">
        <is>
          <t>15263</t>
        </is>
      </c>
      <c r="E23" s="17" t="n"/>
      <c r="F23" s="175" t="inlineStr">
        <is>
          <t>0..160 кгс/см2</t>
        </is>
      </c>
      <c r="G23" s="15" t="n">
        <v>1.5</v>
      </c>
      <c r="H23" s="3" t="inlineStr">
        <is>
          <t>P импульсного газа крана 3с (фильтр)</t>
        </is>
      </c>
      <c r="I23" s="15" t="inlineStr">
        <is>
          <t>Узел подключения</t>
        </is>
      </c>
      <c r="J23" s="15" t="inlineStr">
        <is>
          <t>АСУ,А и ТМ (КЦ № 7)</t>
        </is>
      </c>
      <c r="K23" s="175" t="n">
        <v>2019</v>
      </c>
      <c r="L23" s="15" t="n">
        <v>12</v>
      </c>
      <c r="M23" s="3" t="inlineStr">
        <is>
          <t>2К26</t>
        </is>
      </c>
      <c r="N23" s="14" t="inlineStr">
        <is>
          <t>К</t>
        </is>
      </c>
    </row>
    <row r="24" ht="22.5" customHeight="1" s="151">
      <c r="A24" s="15">
        <f>IF(B24&lt;&gt;"", COUNTA($B$2:B24), "")</f>
        <v/>
      </c>
      <c r="B24" s="76" t="inlineStr">
        <is>
          <t>Манометр технический</t>
        </is>
      </c>
      <c r="C24" s="17" t="inlineStr">
        <is>
          <t>МП4-УУ2</t>
        </is>
      </c>
      <c r="D24" s="3" t="inlineStr">
        <is>
          <t>7000137</t>
        </is>
      </c>
      <c r="E24" s="17" t="n"/>
      <c r="F24" s="175" t="inlineStr">
        <is>
          <t>0..16 МПа</t>
        </is>
      </c>
      <c r="G24" s="15" t="n">
        <v>1.5</v>
      </c>
      <c r="H24" s="3" t="inlineStr">
        <is>
          <t>P импульсного газа крана 3с (до фильтра)</t>
        </is>
      </c>
      <c r="I24" s="15" t="inlineStr">
        <is>
          <t>Узел подключения</t>
        </is>
      </c>
      <c r="J24" s="15" t="inlineStr">
        <is>
          <t>АСУ,А и ТМ (КЦ № 7)</t>
        </is>
      </c>
      <c r="K24" s="175" t="n">
        <v>2019</v>
      </c>
      <c r="L24" s="15" t="n">
        <v>12</v>
      </c>
      <c r="M24" s="3" t="inlineStr">
        <is>
          <t>2К26</t>
        </is>
      </c>
      <c r="N24" s="14" t="inlineStr">
        <is>
          <t>К</t>
        </is>
      </c>
    </row>
    <row r="25" ht="22.5" customHeight="1" s="151">
      <c r="A25" s="15">
        <f>IF(B25&lt;&gt;"", COUNTA($B$2:B25), "")</f>
        <v/>
      </c>
      <c r="B25" s="76" t="inlineStr">
        <is>
          <t>Манометр технический</t>
        </is>
      </c>
      <c r="C25" s="17" t="inlineStr">
        <is>
          <t>МП4-УУ2</t>
        </is>
      </c>
      <c r="D25" s="3" t="inlineStr">
        <is>
          <t>7000274</t>
        </is>
      </c>
      <c r="E25" s="17" t="n"/>
      <c r="F25" s="175" t="inlineStr">
        <is>
          <t>0..16 МПа</t>
        </is>
      </c>
      <c r="G25" s="15" t="n">
        <v>1</v>
      </c>
      <c r="H25" s="3" t="inlineStr">
        <is>
          <t>P импульсного газа крана 20-7</t>
        </is>
      </c>
      <c r="I25" s="15" t="inlineStr">
        <is>
          <t>Узел подключения</t>
        </is>
      </c>
      <c r="J25" s="15" t="inlineStr">
        <is>
          <t>АСУ,А и ТМ (КЦ № 7)</t>
        </is>
      </c>
      <c r="K25" s="175" t="n">
        <v>2019</v>
      </c>
      <c r="L25" s="15" t="n">
        <v>12</v>
      </c>
      <c r="M25" s="3" t="inlineStr">
        <is>
          <t>2К26</t>
        </is>
      </c>
      <c r="N25" s="14" t="inlineStr">
        <is>
          <t>К</t>
        </is>
      </c>
    </row>
    <row r="26" ht="22.5" customHeight="1" s="151">
      <c r="A26" s="15">
        <f>IF(B26&lt;&gt;"", COUNTA($B$2:B26), "")</f>
        <v/>
      </c>
      <c r="B26" s="76" t="inlineStr">
        <is>
          <t>Манометр технический</t>
        </is>
      </c>
      <c r="C26" s="17" t="inlineStr">
        <is>
          <t>МП3-Уф</t>
        </is>
      </c>
      <c r="D26" s="3" t="inlineStr">
        <is>
          <t>004463</t>
        </is>
      </c>
      <c r="E26" s="17" t="n"/>
      <c r="F26" s="175" t="inlineStr">
        <is>
          <t>0..160 кгс/см2</t>
        </is>
      </c>
      <c r="G26" s="15" t="n">
        <v>1.5</v>
      </c>
      <c r="H26" s="3" t="inlineStr">
        <is>
          <t>P импульсного газа крана 8р2 (фильтр)</t>
        </is>
      </c>
      <c r="I26" s="15" t="inlineStr">
        <is>
          <t>Узел подключения</t>
        </is>
      </c>
      <c r="J26" s="15" t="inlineStr">
        <is>
          <t>АСУ,А и ТМ (КЦ № 7)</t>
        </is>
      </c>
      <c r="K26" s="175" t="n">
        <v>2019</v>
      </c>
      <c r="L26" s="15" t="n">
        <v>12</v>
      </c>
      <c r="M26" s="3" t="inlineStr">
        <is>
          <t>2К26</t>
        </is>
      </c>
      <c r="N26" s="14" t="inlineStr">
        <is>
          <t>К</t>
        </is>
      </c>
    </row>
    <row r="27" ht="22.5" customHeight="1" s="151">
      <c r="A27" s="15">
        <f>IF(B27&lt;&gt;"", COUNTA($B$2:B27), "")</f>
        <v/>
      </c>
      <c r="B27" s="76" t="inlineStr">
        <is>
          <t>Манометр технический</t>
        </is>
      </c>
      <c r="C27" s="17" t="inlineStr">
        <is>
          <t>МП4-УУХЛ1</t>
        </is>
      </c>
      <c r="D27" s="3" t="inlineStr">
        <is>
          <t>2097322</t>
        </is>
      </c>
      <c r="E27" s="17" t="n"/>
      <c r="F27" s="175" t="inlineStr">
        <is>
          <t>0..160 кгс/см2</t>
        </is>
      </c>
      <c r="G27" s="15" t="n">
        <v>1</v>
      </c>
      <c r="H27" s="3" t="inlineStr">
        <is>
          <t>P импульсного газа крана 8р2 (до фильтра)</t>
        </is>
      </c>
      <c r="I27" s="15" t="inlineStr">
        <is>
          <t>Узел подключения</t>
        </is>
      </c>
      <c r="J27" s="15" t="inlineStr">
        <is>
          <t>АСУ,А и ТМ (КЦ № 7)</t>
        </is>
      </c>
      <c r="K27" s="175" t="n">
        <v>2019</v>
      </c>
      <c r="L27" s="15" t="n">
        <v>12</v>
      </c>
      <c r="M27" s="3" t="inlineStr">
        <is>
          <t>2К26</t>
        </is>
      </c>
      <c r="N27" s="14" t="inlineStr">
        <is>
          <t>К</t>
        </is>
      </c>
    </row>
    <row r="28" ht="22.5" customFormat="1" customHeight="1" s="251">
      <c r="A28" s="245">
        <f>IF(B28&lt;&gt;"", COUNTA($B$2:B28), "")</f>
        <v/>
      </c>
      <c r="B28" s="246" t="inlineStr">
        <is>
          <t>Манометр технический</t>
        </is>
      </c>
      <c r="C28" s="247" t="inlineStr">
        <is>
          <t>МП3-УУ2</t>
        </is>
      </c>
      <c r="D28" s="248" t="inlineStr">
        <is>
          <t>15551</t>
        </is>
      </c>
      <c r="E28" s="247" t="n"/>
      <c r="F28" s="249" t="inlineStr">
        <is>
          <t>0..16 МПа</t>
        </is>
      </c>
      <c r="G28" s="245" t="n">
        <v>1.5</v>
      </c>
      <c r="H28" s="248" t="inlineStr">
        <is>
          <t>P импульсного газа крана 8с (фильтр)</t>
        </is>
      </c>
      <c r="I28" s="245" t="inlineStr">
        <is>
          <t>Узел подключения</t>
        </is>
      </c>
      <c r="J28" s="245" t="inlineStr">
        <is>
          <t>АСУ,А и ТМ (КЦ № 7)</t>
        </is>
      </c>
      <c r="K28" s="249" t="n">
        <v>2019</v>
      </c>
      <c r="L28" s="245" t="n">
        <v>12</v>
      </c>
      <c r="M28" s="248" t="inlineStr">
        <is>
          <t>2К26</t>
        </is>
      </c>
      <c r="N28" s="250" t="inlineStr">
        <is>
          <t>К</t>
        </is>
      </c>
    </row>
    <row r="29" ht="22.5" customHeight="1" s="151">
      <c r="A29" s="15">
        <f>IF(B29&lt;&gt;"", COUNTA($B$2:B29), "")</f>
        <v/>
      </c>
      <c r="B29" s="76" t="inlineStr">
        <is>
          <t>Манометр технический</t>
        </is>
      </c>
      <c r="C29" s="17" t="inlineStr">
        <is>
          <t>МП4-УУ2</t>
        </is>
      </c>
      <c r="D29" s="3" t="inlineStr">
        <is>
          <t>7000144</t>
        </is>
      </c>
      <c r="E29" s="17" t="n"/>
      <c r="F29" s="175" t="inlineStr">
        <is>
          <t>0..16 МПа</t>
        </is>
      </c>
      <c r="G29" s="15" t="n">
        <v>1</v>
      </c>
      <c r="H29" s="3" t="inlineStr">
        <is>
          <t>P импульсного газа крана 8с (до фильтра)</t>
        </is>
      </c>
      <c r="I29" s="15" t="inlineStr">
        <is>
          <t>Узел подключения</t>
        </is>
      </c>
      <c r="J29" s="15" t="inlineStr">
        <is>
          <t>АСУ,А и ТМ (КЦ № 7)</t>
        </is>
      </c>
      <c r="K29" s="175" t="n">
        <v>2019</v>
      </c>
      <c r="L29" s="15" t="n">
        <v>12</v>
      </c>
      <c r="M29" s="3" t="inlineStr">
        <is>
          <t>2К26</t>
        </is>
      </c>
      <c r="N29" s="14" t="inlineStr">
        <is>
          <t>К</t>
        </is>
      </c>
    </row>
    <row r="30" ht="22.5" customHeight="1" s="151">
      <c r="A30" s="15">
        <f>IF(B30&lt;&gt;"", COUNTA($B$2:B30), "")</f>
        <v/>
      </c>
      <c r="B30" s="76" t="inlineStr">
        <is>
          <t>Манометр технический</t>
        </is>
      </c>
      <c r="C30" s="17" t="inlineStr">
        <is>
          <t>МП3-УУ2</t>
        </is>
      </c>
      <c r="D30" s="3" t="inlineStr">
        <is>
          <t>212027983</t>
        </is>
      </c>
      <c r="E30" s="17" t="n"/>
      <c r="F30" s="175" t="inlineStr">
        <is>
          <t>0..16 МПа</t>
        </is>
      </c>
      <c r="G30" s="15" t="n">
        <v>1</v>
      </c>
      <c r="H30" s="3" t="inlineStr">
        <is>
          <t>P импульсного газа крана 8р1 (фильтр)</t>
        </is>
      </c>
      <c r="I30" s="15" t="inlineStr">
        <is>
          <t>Узел подключения</t>
        </is>
      </c>
      <c r="J30" s="15" t="inlineStr">
        <is>
          <t>АСУ,А и ТМ (КЦ № 7)</t>
        </is>
      </c>
      <c r="K30" s="175" t="n">
        <v>2019</v>
      </c>
      <c r="L30" s="15" t="n">
        <v>12</v>
      </c>
      <c r="M30" s="3" t="inlineStr">
        <is>
          <t>2К26</t>
        </is>
      </c>
      <c r="N30" s="14" t="inlineStr">
        <is>
          <t>К</t>
        </is>
      </c>
    </row>
    <row r="31" ht="22.5" customHeight="1" s="151">
      <c r="A31" s="15">
        <f>IF(B31&lt;&gt;"", COUNTA($B$2:B31), "")</f>
        <v/>
      </c>
      <c r="B31" s="76" t="inlineStr">
        <is>
          <t>Манометр технический</t>
        </is>
      </c>
      <c r="C31" s="17" t="inlineStr">
        <is>
          <t>МП4-УУ2</t>
        </is>
      </c>
      <c r="D31" s="3" t="inlineStr">
        <is>
          <t>15535</t>
        </is>
      </c>
      <c r="E31" s="17" t="n"/>
      <c r="F31" s="175" t="inlineStr">
        <is>
          <t>0..160 кгс/см2</t>
        </is>
      </c>
      <c r="G31" s="15" t="n">
        <v>1.5</v>
      </c>
      <c r="H31" s="3" t="inlineStr">
        <is>
          <t>P импульсного газа крана 8р1 (до фильтра)</t>
        </is>
      </c>
      <c r="I31" s="15" t="inlineStr">
        <is>
          <t>Узел подключения</t>
        </is>
      </c>
      <c r="J31" s="15" t="inlineStr">
        <is>
          <t>АСУ,А и ТМ (КЦ № 7)</t>
        </is>
      </c>
      <c r="K31" s="175" t="n">
        <v>2019</v>
      </c>
      <c r="L31" s="15" t="n">
        <v>12</v>
      </c>
      <c r="M31" s="3" t="inlineStr">
        <is>
          <t>2К26</t>
        </is>
      </c>
      <c r="N31" s="14" t="inlineStr">
        <is>
          <t>К</t>
        </is>
      </c>
    </row>
    <row r="32" ht="22.5" customHeight="1" s="151">
      <c r="A32" s="15">
        <f>IF(B32&lt;&gt;"", COUNTA($B$2:B32), "")</f>
        <v/>
      </c>
      <c r="B32" s="76" t="inlineStr">
        <is>
          <t>Манометр технический</t>
        </is>
      </c>
      <c r="C32" s="17" t="inlineStr">
        <is>
          <t>МП3-УУ2</t>
        </is>
      </c>
      <c r="D32" s="3" t="inlineStr">
        <is>
          <t>212027929</t>
        </is>
      </c>
      <c r="E32" s="17" t="n"/>
      <c r="F32" s="175" t="inlineStr">
        <is>
          <t>0..16 МПа</t>
        </is>
      </c>
      <c r="G32" s="15" t="n">
        <v>1</v>
      </c>
      <c r="H32" s="3" t="inlineStr">
        <is>
          <t>P импульсного газа крана 26 (фильтр)</t>
        </is>
      </c>
      <c r="I32" s="15" t="inlineStr">
        <is>
          <t>Узел подключения</t>
        </is>
      </c>
      <c r="J32" s="15" t="inlineStr">
        <is>
          <t>АСУ,А и ТМ (КЦ № 7)</t>
        </is>
      </c>
      <c r="K32" s="175" t="n">
        <v>2019</v>
      </c>
      <c r="L32" s="15" t="n">
        <v>12</v>
      </c>
      <c r="M32" s="3" t="inlineStr">
        <is>
          <t>2К26</t>
        </is>
      </c>
      <c r="N32" s="14" t="inlineStr">
        <is>
          <t>К</t>
        </is>
      </c>
    </row>
    <row r="33" ht="22.5" customHeight="1" s="151">
      <c r="A33" s="15">
        <f>IF(B33&lt;&gt;"", COUNTA($B$2:B33), "")</f>
        <v/>
      </c>
      <c r="B33" s="76" t="inlineStr">
        <is>
          <t>Манометр технический</t>
        </is>
      </c>
      <c r="C33" s="17" t="inlineStr">
        <is>
          <t>МП4-УУ2</t>
        </is>
      </c>
      <c r="D33" s="3" t="inlineStr">
        <is>
          <t>7000135</t>
        </is>
      </c>
      <c r="E33" s="17" t="n"/>
      <c r="F33" s="175" t="inlineStr">
        <is>
          <t>0..16 МПа</t>
        </is>
      </c>
      <c r="G33" s="15" t="n">
        <v>1</v>
      </c>
      <c r="H33" s="3" t="inlineStr">
        <is>
          <t>P импульсного газа крана 26 (до фильтра)</t>
        </is>
      </c>
      <c r="I33" s="15" t="inlineStr">
        <is>
          <t>Узел подключения</t>
        </is>
      </c>
      <c r="J33" s="15" t="inlineStr">
        <is>
          <t>АСУ,А и ТМ (КЦ № 7)</t>
        </is>
      </c>
      <c r="K33" s="175" t="n">
        <v>2019</v>
      </c>
      <c r="L33" s="15" t="n">
        <v>12</v>
      </c>
      <c r="M33" s="3" t="inlineStr">
        <is>
          <t>2К26</t>
        </is>
      </c>
      <c r="N33" s="14" t="inlineStr">
        <is>
          <t>К</t>
        </is>
      </c>
    </row>
    <row r="34" ht="22.5" customHeight="1" s="151">
      <c r="A34" s="15">
        <f>IF(B34&lt;&gt;"", COUNTA($B$2:B34), "")</f>
        <v/>
      </c>
      <c r="B34" s="76" t="inlineStr">
        <is>
          <t>Манометр технический</t>
        </is>
      </c>
      <c r="C34" s="17" t="inlineStr">
        <is>
          <t>МП3-УУ2</t>
        </is>
      </c>
      <c r="D34" s="3" t="inlineStr">
        <is>
          <t>212027932</t>
        </is>
      </c>
      <c r="E34" s="17" t="n"/>
      <c r="F34" s="175" t="inlineStr">
        <is>
          <t>0..16 МПа</t>
        </is>
      </c>
      <c r="G34" s="15" t="n">
        <v>1</v>
      </c>
      <c r="H34" s="3" t="inlineStr">
        <is>
          <t>P импульсного газа крана Г-7 КЗ</t>
        </is>
      </c>
      <c r="I34" s="15" t="inlineStr">
        <is>
          <t>Узел подключения</t>
        </is>
      </c>
      <c r="J34" s="15" t="inlineStr">
        <is>
          <t>АСУ,А и ТМ (КЦ № 7)</t>
        </is>
      </c>
      <c r="K34" s="175" t="n">
        <v>2019</v>
      </c>
      <c r="L34" s="15" t="n">
        <v>12</v>
      </c>
      <c r="M34" s="3" t="inlineStr">
        <is>
          <t>2К26</t>
        </is>
      </c>
      <c r="N34" s="14" t="inlineStr">
        <is>
          <t>К</t>
        </is>
      </c>
    </row>
    <row r="35" ht="22.5" customHeight="1" s="151">
      <c r="A35" s="15">
        <f>IF(B35&lt;&gt;"", COUNTA($B$2:B35), "")</f>
        <v/>
      </c>
      <c r="B35" s="76" t="inlineStr">
        <is>
          <t>Манометр технический</t>
        </is>
      </c>
      <c r="C35" s="3" t="inlineStr">
        <is>
          <t>МП3-УУХЛ1</t>
        </is>
      </c>
      <c r="D35" s="3" t="inlineStr">
        <is>
          <t>212033572</t>
        </is>
      </c>
      <c r="E35" s="17" t="n"/>
      <c r="F35" s="175" t="inlineStr">
        <is>
          <t>0..16 МПа</t>
        </is>
      </c>
      <c r="G35" s="15" t="n">
        <v>1.5</v>
      </c>
      <c r="H35" s="3" t="inlineStr">
        <is>
          <t>P импульсного газа крана 22</t>
        </is>
      </c>
      <c r="I35" s="15" t="inlineStr">
        <is>
          <t>Узел подключения</t>
        </is>
      </c>
      <c r="J35" s="15" t="inlineStr">
        <is>
          <t>АСУ,А и ТМ (КЦ № 7)</t>
        </is>
      </c>
      <c r="K35" s="175" t="n">
        <v>2019</v>
      </c>
      <c r="L35" s="15" t="n">
        <v>12</v>
      </c>
      <c r="M35" s="3" t="inlineStr">
        <is>
          <t>2К26</t>
        </is>
      </c>
      <c r="N35" s="14" t="inlineStr">
        <is>
          <t>К</t>
        </is>
      </c>
    </row>
    <row r="36" ht="22.5" customHeight="1" s="151">
      <c r="A36" s="15">
        <f>IF(B36&lt;&gt;"", COUNTA($B$2:B36), "")</f>
        <v/>
      </c>
      <c r="B36" s="76" t="inlineStr">
        <is>
          <t>Манометр технический</t>
        </is>
      </c>
      <c r="C36" s="17" t="inlineStr">
        <is>
          <t>МП3-УУ2</t>
        </is>
      </c>
      <c r="D36" s="3" t="inlineStr">
        <is>
          <t>15554</t>
        </is>
      </c>
      <c r="E36" s="17" t="n"/>
      <c r="F36" s="175" t="inlineStr">
        <is>
          <t>0..16 МПа</t>
        </is>
      </c>
      <c r="G36" s="15" t="n">
        <v>1.5</v>
      </c>
      <c r="H36" s="3" t="inlineStr">
        <is>
          <t>P импульсного газа крана 23</t>
        </is>
      </c>
      <c r="I36" s="15" t="inlineStr">
        <is>
          <t>Узел подключения</t>
        </is>
      </c>
      <c r="J36" s="15" t="inlineStr">
        <is>
          <t>АСУ,А и ТМ (КЦ № 7)</t>
        </is>
      </c>
      <c r="K36" s="175" t="n">
        <v>2019</v>
      </c>
      <c r="L36" s="15" t="n">
        <v>12</v>
      </c>
      <c r="M36" s="3" t="inlineStr">
        <is>
          <t>2К26</t>
        </is>
      </c>
      <c r="N36" s="14" t="inlineStr">
        <is>
          <t>К</t>
        </is>
      </c>
    </row>
    <row r="37" ht="22.5" customHeight="1" s="151">
      <c r="A37" s="15">
        <f>IF(B37&lt;&gt;"", COUNTA($B$2:B37), "")</f>
        <v/>
      </c>
      <c r="B37" s="76" t="inlineStr">
        <is>
          <t>Манометр технический</t>
        </is>
      </c>
      <c r="C37" s="17" t="inlineStr">
        <is>
          <t>ТМ5</t>
        </is>
      </c>
      <c r="D37" s="3" t="inlineStr">
        <is>
          <t>15215</t>
        </is>
      </c>
      <c r="E37" s="17" t="n"/>
      <c r="F37" s="175" t="inlineStr">
        <is>
          <t>0..160 кгс/см2</t>
        </is>
      </c>
      <c r="G37" s="15" t="n">
        <v>1.5</v>
      </c>
      <c r="H37" s="3" t="inlineStr">
        <is>
          <t>P импульсного газа крана 24</t>
        </is>
      </c>
      <c r="I37" s="15" t="inlineStr">
        <is>
          <t>Узел подключения</t>
        </is>
      </c>
      <c r="J37" s="15" t="inlineStr">
        <is>
          <t>АСУ,А и ТМ (КЦ № 7)</t>
        </is>
      </c>
      <c r="K37" s="175" t="n">
        <v>2019</v>
      </c>
      <c r="L37" s="15" t="n">
        <v>12</v>
      </c>
      <c r="M37" s="3" t="inlineStr">
        <is>
          <t>2К26</t>
        </is>
      </c>
      <c r="N37" s="14" t="inlineStr">
        <is>
          <t>К</t>
        </is>
      </c>
    </row>
    <row r="38" ht="22.5" customHeight="1" s="151">
      <c r="A38" s="15">
        <f>IF(B38&lt;&gt;"", COUNTA($B$2:B38), "")</f>
        <v/>
      </c>
      <c r="B38" s="76" t="inlineStr">
        <is>
          <t>Манометр технический</t>
        </is>
      </c>
      <c r="C38" s="17" t="inlineStr">
        <is>
          <t>ТМ6</t>
        </is>
      </c>
      <c r="D38" s="3" t="inlineStr">
        <is>
          <t>28552</t>
        </is>
      </c>
      <c r="E38" s="17" t="n"/>
      <c r="F38" s="175" t="inlineStr">
        <is>
          <t>0..160 кгс/см2</t>
        </is>
      </c>
      <c r="G38" s="15" t="n">
        <v>1.5</v>
      </c>
      <c r="H38" s="26" t="inlineStr">
        <is>
          <t xml:space="preserve">Рг в камере запуска </t>
        </is>
      </c>
      <c r="I38" s="15" t="inlineStr">
        <is>
          <t>Узел подключения</t>
        </is>
      </c>
      <c r="J38" s="15" t="inlineStr">
        <is>
          <t>АСУ,А и ТМ (КЦ № 7)</t>
        </is>
      </c>
      <c r="K38" s="175" t="n">
        <v>2019</v>
      </c>
      <c r="L38" s="15" t="n">
        <v>12</v>
      </c>
      <c r="M38" s="3" t="inlineStr">
        <is>
          <t>26ДЯУ</t>
        </is>
      </c>
      <c r="N38" s="14" t="inlineStr">
        <is>
          <t>П</t>
        </is>
      </c>
    </row>
    <row r="39" ht="22.5" customHeight="1" s="151">
      <c r="A39" s="15">
        <f>IF(B39&lt;&gt;"", COUNTA($B$2:B39), "")</f>
        <v/>
      </c>
      <c r="B39" s="76" t="inlineStr">
        <is>
          <t>Манометр технический</t>
        </is>
      </c>
      <c r="C39" s="17" t="inlineStr">
        <is>
          <t>МП3-Уф</t>
        </is>
      </c>
      <c r="D39" s="3" t="inlineStr">
        <is>
          <t>002338</t>
        </is>
      </c>
      <c r="E39" s="17" t="n"/>
      <c r="F39" s="175" t="inlineStr">
        <is>
          <t>0..16 МПа</t>
        </is>
      </c>
      <c r="G39" s="15" t="n">
        <v>1.5</v>
      </c>
      <c r="H39" s="3" t="inlineStr">
        <is>
          <t>P импульсного газа крана 27</t>
        </is>
      </c>
      <c r="I39" s="15" t="inlineStr">
        <is>
          <t>Узел подключения</t>
        </is>
      </c>
      <c r="J39" s="15" t="inlineStr">
        <is>
          <t>АСУ,А и ТМ (КЦ № 7)</t>
        </is>
      </c>
      <c r="K39" s="175" t="n">
        <v>2019</v>
      </c>
      <c r="L39" s="15" t="n">
        <v>12</v>
      </c>
      <c r="M39" s="3" t="inlineStr">
        <is>
          <t>2К26</t>
        </is>
      </c>
      <c r="N39" s="14" t="inlineStr">
        <is>
          <t>К</t>
        </is>
      </c>
    </row>
    <row r="40" ht="22.5" customHeight="1" s="151">
      <c r="A40" s="15">
        <f>IF(B40&lt;&gt;"", COUNTA($B$2:B40), "")</f>
        <v/>
      </c>
      <c r="B40" s="76" t="inlineStr">
        <is>
          <t>Манометр технический</t>
        </is>
      </c>
      <c r="C40" s="17" t="inlineStr">
        <is>
          <t>ТМ5</t>
        </is>
      </c>
      <c r="D40" s="3" t="inlineStr">
        <is>
          <t>15650</t>
        </is>
      </c>
      <c r="E40" s="17" t="n"/>
      <c r="F40" s="175" t="inlineStr">
        <is>
          <t>0..16 МПа</t>
        </is>
      </c>
      <c r="G40" s="15" t="n">
        <v>1.5</v>
      </c>
      <c r="H40" s="3" t="inlineStr">
        <is>
          <t>P импульсного газа крана 28</t>
        </is>
      </c>
      <c r="I40" s="15" t="inlineStr">
        <is>
          <t>Узел подключения</t>
        </is>
      </c>
      <c r="J40" s="15" t="inlineStr">
        <is>
          <t>АСУ,А и ТМ (КЦ № 7)</t>
        </is>
      </c>
      <c r="K40" s="175" t="n">
        <v>2019</v>
      </c>
      <c r="L40" s="15" t="n">
        <v>12</v>
      </c>
      <c r="M40" s="3" t="inlineStr">
        <is>
          <t>2К26</t>
        </is>
      </c>
      <c r="N40" s="14" t="inlineStr">
        <is>
          <t>К</t>
        </is>
      </c>
    </row>
    <row r="41" ht="22.5" customHeight="1" s="151">
      <c r="A41" s="15">
        <f>IF(B41&lt;&gt;"", COUNTA($B$2:B41), "")</f>
        <v/>
      </c>
      <c r="B41" s="76" t="inlineStr">
        <is>
          <t>Манометр технический</t>
        </is>
      </c>
      <c r="C41" s="17" t="inlineStr">
        <is>
          <t>МП4-УУ2</t>
        </is>
      </c>
      <c r="D41" s="3" t="inlineStr">
        <is>
          <t>15541</t>
        </is>
      </c>
      <c r="E41" s="17" t="n"/>
      <c r="F41" s="175" t="inlineStr">
        <is>
          <t>0..160 кгс/см2</t>
        </is>
      </c>
      <c r="G41" s="15" t="n">
        <v>1.5</v>
      </c>
      <c r="H41" s="3" t="inlineStr">
        <is>
          <t>P  газа после крана 8</t>
        </is>
      </c>
      <c r="I41" s="15" t="inlineStr">
        <is>
          <t>Узел подключения</t>
        </is>
      </c>
      <c r="J41" s="15" t="inlineStr">
        <is>
          <t>АСУ,А и ТМ (КЦ № 7)</t>
        </is>
      </c>
      <c r="K41" s="175" t="n">
        <v>2019</v>
      </c>
      <c r="L41" s="15" t="n">
        <v>12</v>
      </c>
      <c r="M41" s="3" t="inlineStr">
        <is>
          <t>2К26</t>
        </is>
      </c>
      <c r="N41" s="14" t="inlineStr">
        <is>
          <t>К</t>
        </is>
      </c>
    </row>
    <row r="42" ht="22.5" customHeight="1" s="151">
      <c r="A42" s="15">
        <f>IF(B42&lt;&gt;"", COUNTA($B$2:B42), "")</f>
        <v/>
      </c>
      <c r="B42" s="76" t="inlineStr">
        <is>
          <t>Манометр технический</t>
        </is>
      </c>
      <c r="C42" s="17" t="inlineStr">
        <is>
          <t>МП4-УфБСУХЛ1</t>
        </is>
      </c>
      <c r="D42" s="3" t="inlineStr">
        <is>
          <t>311028</t>
        </is>
      </c>
      <c r="E42" s="17" t="n"/>
      <c r="F42" s="175" t="inlineStr">
        <is>
          <t>0..16 МПа</t>
        </is>
      </c>
      <c r="G42" s="15" t="n">
        <v>1</v>
      </c>
      <c r="H42" s="3" t="inlineStr">
        <is>
          <t>P  газа до  крана 8</t>
        </is>
      </c>
      <c r="I42" s="15" t="inlineStr">
        <is>
          <t>Узел подключения</t>
        </is>
      </c>
      <c r="J42" s="15" t="inlineStr">
        <is>
          <t>АСУ,А и ТМ (КЦ № 7)</t>
        </is>
      </c>
      <c r="K42" s="175" t="n">
        <v>2019</v>
      </c>
      <c r="L42" s="15" t="n">
        <v>12</v>
      </c>
      <c r="M42" s="3" t="inlineStr">
        <is>
          <t>2К26</t>
        </is>
      </c>
      <c r="N42" s="14" t="inlineStr">
        <is>
          <t>К</t>
        </is>
      </c>
    </row>
    <row r="43" ht="22.5" customHeight="1" s="151">
      <c r="A43" s="15">
        <f>IF(B43&lt;&gt;"", COUNTA($B$2:B43), "")</f>
        <v/>
      </c>
      <c r="B43" s="76" t="inlineStr">
        <is>
          <t>Манометр технический</t>
        </is>
      </c>
      <c r="C43" s="17" t="inlineStr">
        <is>
          <t>МП4-УУ2</t>
        </is>
      </c>
      <c r="D43" s="3" t="inlineStr">
        <is>
          <t>7000142</t>
        </is>
      </c>
      <c r="E43" s="17" t="n"/>
      <c r="F43" s="175" t="inlineStr">
        <is>
          <t>0..16 МПа</t>
        </is>
      </c>
      <c r="G43" s="15" t="n">
        <v>1</v>
      </c>
      <c r="H43" s="3" t="inlineStr">
        <is>
          <t xml:space="preserve">P топливного газа </t>
        </is>
      </c>
      <c r="I43" s="15" t="inlineStr">
        <is>
          <t>Узел подключения</t>
        </is>
      </c>
      <c r="J43" s="15" t="inlineStr">
        <is>
          <t>АСУ,А и ТМ (КЦ № 7)</t>
        </is>
      </c>
      <c r="K43" s="175" t="n">
        <v>2019</v>
      </c>
      <c r="L43" s="15" t="n">
        <v>12</v>
      </c>
      <c r="M43" s="3" t="inlineStr">
        <is>
          <t>2К26</t>
        </is>
      </c>
      <c r="N43" s="14" t="inlineStr">
        <is>
          <t>К</t>
        </is>
      </c>
    </row>
    <row r="44" ht="22.5" customHeight="1" s="151">
      <c r="A44" s="15">
        <f>IF(B44&lt;&gt;"", COUNTA($B$2:B44), "")</f>
        <v/>
      </c>
      <c r="B44" s="76" t="inlineStr">
        <is>
          <t>Манометр технический</t>
        </is>
      </c>
      <c r="C44" s="17" t="inlineStr">
        <is>
          <t>МП4-УУ2</t>
        </is>
      </c>
      <c r="D44" s="3" t="inlineStr">
        <is>
          <t>7000143</t>
        </is>
      </c>
      <c r="E44" s="17" t="n"/>
      <c r="F44" s="175" t="inlineStr">
        <is>
          <t>0..16 МПа</t>
        </is>
      </c>
      <c r="G44" s="15" t="n">
        <v>1</v>
      </c>
      <c r="H44" s="3" t="inlineStr">
        <is>
          <t>P газа после крана 7-1</t>
        </is>
      </c>
      <c r="I44" s="15" t="inlineStr">
        <is>
          <t>Узел подключения</t>
        </is>
      </c>
      <c r="J44" s="15" t="inlineStr">
        <is>
          <t>АСУ,А и ТМ (КЦ № 7)</t>
        </is>
      </c>
      <c r="K44" s="175" t="n">
        <v>2019</v>
      </c>
      <c r="L44" s="15" t="n">
        <v>12</v>
      </c>
      <c r="M44" s="3" t="inlineStr">
        <is>
          <t>2К26</t>
        </is>
      </c>
      <c r="N44" s="14" t="inlineStr">
        <is>
          <t>К</t>
        </is>
      </c>
    </row>
    <row r="45" ht="22.5" customHeight="1" s="151">
      <c r="A45" s="15">
        <f>IF(B45&lt;&gt;"", COUNTA($B$2:B45), "")</f>
        <v/>
      </c>
      <c r="B45" s="76" t="inlineStr">
        <is>
          <t>Манометр технический</t>
        </is>
      </c>
      <c r="C45" s="17" t="inlineStr">
        <is>
          <t>МП4-УУХЛ1</t>
        </is>
      </c>
      <c r="D45" s="3" t="inlineStr">
        <is>
          <t>2097325</t>
        </is>
      </c>
      <c r="E45" s="17" t="n"/>
      <c r="F45" s="175" t="inlineStr">
        <is>
          <t>0..16 МПа</t>
        </is>
      </c>
      <c r="G45" s="15" t="n">
        <v>1</v>
      </c>
      <c r="H45" s="3" t="inlineStr">
        <is>
          <t>P газа до   крана 7-1</t>
        </is>
      </c>
      <c r="I45" s="15" t="inlineStr">
        <is>
          <t>Узел подключения</t>
        </is>
      </c>
      <c r="J45" s="15" t="inlineStr">
        <is>
          <t>АСУ,А и ТМ (КЦ № 7)</t>
        </is>
      </c>
      <c r="K45" s="175" t="n">
        <v>2019</v>
      </c>
      <c r="L45" s="15" t="n">
        <v>12</v>
      </c>
      <c r="M45" s="3" t="inlineStr">
        <is>
          <t>2К26</t>
        </is>
      </c>
      <c r="N45" s="14" t="inlineStr">
        <is>
          <t>К</t>
        </is>
      </c>
    </row>
    <row r="46" ht="22.5" customHeight="1" s="151">
      <c r="A46" s="15">
        <f>IF(B46&lt;&gt;"", COUNTA($B$2:B46), "")</f>
        <v/>
      </c>
      <c r="B46" s="76" t="inlineStr">
        <is>
          <t>Манометр технический</t>
        </is>
      </c>
      <c r="C46" s="17" t="inlineStr">
        <is>
          <t>МП4-УУ2</t>
        </is>
      </c>
      <c r="D46" s="3" t="inlineStr">
        <is>
          <t>7000136</t>
        </is>
      </c>
      <c r="E46" s="17" t="n"/>
      <c r="F46" s="175" t="inlineStr">
        <is>
          <t>0..16 МПа</t>
        </is>
      </c>
      <c r="G46" s="15" t="n">
        <v>1.5</v>
      </c>
      <c r="H46" s="3" t="inlineStr">
        <is>
          <t>P газа до   крана 7</t>
        </is>
      </c>
      <c r="I46" s="15" t="inlineStr">
        <is>
          <t>Узел подключения</t>
        </is>
      </c>
      <c r="J46" s="15" t="inlineStr">
        <is>
          <t>АСУ,А и ТМ (КЦ № 7)</t>
        </is>
      </c>
      <c r="K46" s="175" t="n">
        <v>2019</v>
      </c>
      <c r="L46" s="15" t="n">
        <v>12</v>
      </c>
      <c r="M46" s="3" t="inlineStr">
        <is>
          <t>2К26</t>
        </is>
      </c>
      <c r="N46" s="14" t="inlineStr">
        <is>
          <t>К</t>
        </is>
      </c>
    </row>
    <row r="47" ht="22.5" customHeight="1" s="151">
      <c r="A47" s="15">
        <f>IF(B47&lt;&gt;"", COUNTA($B$2:B47), "")</f>
        <v/>
      </c>
      <c r="B47" s="76" t="inlineStr">
        <is>
          <t>Манометр технический</t>
        </is>
      </c>
      <c r="C47" s="17" t="inlineStr">
        <is>
          <t>МП4-УУ2</t>
        </is>
      </c>
      <c r="D47" s="3" t="inlineStr">
        <is>
          <t>15074</t>
        </is>
      </c>
      <c r="E47" s="17" t="n"/>
      <c r="F47" s="175" t="inlineStr">
        <is>
          <t>0..160 кгс/см3</t>
        </is>
      </c>
      <c r="G47" s="15" t="n">
        <v>1.5</v>
      </c>
      <c r="H47" s="3" t="inlineStr">
        <is>
          <t>P импульсного газа</t>
        </is>
      </c>
      <c r="I47" s="15" t="inlineStr">
        <is>
          <t>Узел подключения</t>
        </is>
      </c>
      <c r="J47" s="15" t="inlineStr">
        <is>
          <t>АСУ,А и ТМ (КЦ № 7)</t>
        </is>
      </c>
      <c r="K47" s="175" t="n">
        <v>2019</v>
      </c>
      <c r="L47" s="15" t="n">
        <v>12</v>
      </c>
      <c r="M47" s="3" t="inlineStr">
        <is>
          <t>2К26</t>
        </is>
      </c>
      <c r="N47" s="14" t="inlineStr">
        <is>
          <t>К</t>
        </is>
      </c>
    </row>
    <row r="48" ht="22.5" customHeight="1" s="151">
      <c r="A48" s="15">
        <f>IF(B48&lt;&gt;"", COUNTA($B$2:B48), "")</f>
        <v/>
      </c>
      <c r="B48" s="74" t="inlineStr">
        <is>
          <t>Преобразователь избыточного давления</t>
        </is>
      </c>
      <c r="C48" s="14" t="inlineStr">
        <is>
          <t>Метран 150 TGR</t>
        </is>
      </c>
      <c r="D48" s="88" t="n">
        <v>1634492</v>
      </c>
      <c r="E48" s="292" t="n">
        <v>43709</v>
      </c>
      <c r="F48" s="175" t="inlineStr">
        <is>
          <t>0..16 МПа</t>
        </is>
      </c>
      <c r="G48" s="71" t="n">
        <v>0.1</v>
      </c>
      <c r="H48" s="14" t="inlineStr">
        <is>
          <t>Рг  до крана 7-1</t>
        </is>
      </c>
      <c r="I48" s="15" t="inlineStr">
        <is>
          <t>Узел подключения</t>
        </is>
      </c>
      <c r="J48" s="41" t="inlineStr">
        <is>
          <t>АСУ,А и ТМ (КЦ № 7)</t>
        </is>
      </c>
      <c r="K48" s="82" t="n"/>
      <c r="L48" s="82" t="n"/>
      <c r="M48" s="82" t="n"/>
      <c r="N48" s="82" t="n"/>
    </row>
    <row r="49" ht="22.5" customHeight="1" s="151">
      <c r="A49" s="15">
        <f>IF(B49&lt;&gt;"", COUNTA($B$2:B49), "")</f>
        <v/>
      </c>
      <c r="B49" s="74" t="inlineStr">
        <is>
          <t>Преобразователь избыточного давления</t>
        </is>
      </c>
      <c r="C49" s="14" t="inlineStr">
        <is>
          <t>Метран 150 TGR</t>
        </is>
      </c>
      <c r="D49" s="88" t="n">
        <v>1634494</v>
      </c>
      <c r="E49" s="292" t="n">
        <v>43710</v>
      </c>
      <c r="F49" s="175" t="inlineStr">
        <is>
          <t>0..16 МПа</t>
        </is>
      </c>
      <c r="G49" s="71" t="n">
        <v>0.1</v>
      </c>
      <c r="H49" s="14" t="inlineStr">
        <is>
          <t>Рг  после крана 7-1</t>
        </is>
      </c>
      <c r="I49" s="15" t="inlineStr">
        <is>
          <t>Узел подключения</t>
        </is>
      </c>
      <c r="J49" s="41" t="inlineStr">
        <is>
          <t>АСУ,А и ТМ (КЦ № 7)</t>
        </is>
      </c>
      <c r="K49" s="82" t="n"/>
      <c r="L49" s="82" t="n"/>
      <c r="M49" s="82" t="n"/>
      <c r="N49" s="82" t="n"/>
    </row>
    <row r="50" ht="22.5" customHeight="1" s="151">
      <c r="A50" s="15">
        <f>IF(B50&lt;&gt;"", COUNTA($B$2:B50), "")</f>
        <v/>
      </c>
      <c r="B50" s="74" t="inlineStr">
        <is>
          <t>Преобразователь избыточного давления</t>
        </is>
      </c>
      <c r="C50" s="14" t="inlineStr">
        <is>
          <t>Метран 150 TGR</t>
        </is>
      </c>
      <c r="D50" s="88" t="n">
        <v>1634487</v>
      </c>
      <c r="E50" s="292" t="n">
        <v>43711</v>
      </c>
      <c r="F50" s="175" t="inlineStr">
        <is>
          <t>0..16 МПа</t>
        </is>
      </c>
      <c r="G50" s="71" t="n">
        <v>0.1</v>
      </c>
      <c r="H50" s="14" t="inlineStr">
        <is>
          <t>Рг  до крана 7</t>
        </is>
      </c>
      <c r="I50" s="15" t="inlineStr">
        <is>
          <t>Узел подключения</t>
        </is>
      </c>
      <c r="J50" s="41" t="inlineStr">
        <is>
          <t>АСУ,А и ТМ (КЦ № 7)</t>
        </is>
      </c>
      <c r="K50" s="82" t="n"/>
      <c r="L50" s="82" t="n"/>
      <c r="M50" s="82" t="n"/>
      <c r="N50" s="82" t="n"/>
    </row>
    <row r="51" ht="22.5" customHeight="1" s="151">
      <c r="A51" s="15">
        <f>IF(B51&lt;&gt;"", COUNTA($B$2:B51), "")</f>
        <v/>
      </c>
      <c r="B51" s="74" t="inlineStr">
        <is>
          <t>Преобразователь избыточного давления</t>
        </is>
      </c>
      <c r="C51" s="14" t="inlineStr">
        <is>
          <t>Метран 150 TGR</t>
        </is>
      </c>
      <c r="D51" s="88" t="n">
        <v>1634490</v>
      </c>
      <c r="E51" s="292" t="n">
        <v>43712</v>
      </c>
      <c r="F51" s="175" t="inlineStr">
        <is>
          <t>0..16 МПа</t>
        </is>
      </c>
      <c r="G51" s="71" t="n">
        <v>0.1</v>
      </c>
      <c r="H51" s="14" t="inlineStr">
        <is>
          <t>Рг  после крана 7</t>
        </is>
      </c>
      <c r="I51" s="15" t="inlineStr">
        <is>
          <t>Узел подключения</t>
        </is>
      </c>
      <c r="J51" s="41" t="inlineStr">
        <is>
          <t>АСУ,А и ТМ (КЦ № 7)</t>
        </is>
      </c>
      <c r="K51" s="82" t="n"/>
      <c r="L51" s="82" t="n"/>
      <c r="M51" s="82" t="n"/>
      <c r="N51" s="82" t="n"/>
    </row>
    <row r="52" ht="22.5" customHeight="1" s="151">
      <c r="A52" s="15">
        <f>IF(B52&lt;&gt;"", COUNTA($B$2:B52), "")</f>
        <v/>
      </c>
      <c r="B52" s="74" t="inlineStr">
        <is>
          <t>Преобразователь избыточного давления</t>
        </is>
      </c>
      <c r="C52" s="14" t="inlineStr">
        <is>
          <t>Метран 150 TGR</t>
        </is>
      </c>
      <c r="D52" s="88" t="n">
        <v>1634489</v>
      </c>
      <c r="E52" s="292" t="n">
        <v>43713</v>
      </c>
      <c r="F52" s="175" t="inlineStr">
        <is>
          <t>0..16 МПа</t>
        </is>
      </c>
      <c r="G52" s="71" t="n">
        <v>0.1</v>
      </c>
      <c r="H52" s="14" t="inlineStr">
        <is>
          <t>Рг  после крана 20</t>
        </is>
      </c>
      <c r="I52" s="15" t="inlineStr">
        <is>
          <t>Узел подключения</t>
        </is>
      </c>
      <c r="J52" s="41" t="inlineStr">
        <is>
          <t>АСУ,А и ТМ (КЦ № 7)</t>
        </is>
      </c>
      <c r="K52" s="82" t="n"/>
      <c r="L52" s="82" t="n"/>
      <c r="M52" s="82" t="n"/>
      <c r="N52" s="82" t="n"/>
    </row>
    <row r="53" ht="22.5" customHeight="1" s="151">
      <c r="A53" s="15">
        <f>IF(B53&lt;&gt;"", COUNTA($B$2:B53), "")</f>
        <v/>
      </c>
      <c r="B53" s="74" t="inlineStr">
        <is>
          <t>Преобразователь избыточного давления</t>
        </is>
      </c>
      <c r="C53" s="14" t="inlineStr">
        <is>
          <t>Метран 150 TG</t>
        </is>
      </c>
      <c r="D53" s="88" t="n">
        <v>6194873</v>
      </c>
      <c r="E53" s="292" t="n">
        <v>44445</v>
      </c>
      <c r="F53" s="175" t="inlineStr">
        <is>
          <t>0..16 МПа</t>
        </is>
      </c>
      <c r="G53" s="71" t="n">
        <v>0.1</v>
      </c>
      <c r="H53" s="14" t="inlineStr">
        <is>
          <t>Рг  до крана 20</t>
        </is>
      </c>
      <c r="I53" s="15" t="inlineStr">
        <is>
          <t>Узел подключения</t>
        </is>
      </c>
      <c r="J53" s="41" t="inlineStr">
        <is>
          <t>АСУ,А и ТМ (КЦ № 7)</t>
        </is>
      </c>
      <c r="K53" s="82" t="n"/>
      <c r="L53" s="82" t="n"/>
      <c r="M53" s="82" t="n"/>
      <c r="N53" s="82" t="n"/>
    </row>
    <row r="54" ht="22.5" customHeight="1" s="151">
      <c r="A54" s="15">
        <f>IF(B54&lt;&gt;"", COUNTA($B$2:B54), "")</f>
        <v/>
      </c>
      <c r="B54" s="74" t="inlineStr">
        <is>
          <t>Преобразователь избыточного давления</t>
        </is>
      </c>
      <c r="C54" s="14" t="inlineStr">
        <is>
          <t>Метран 150 TGR</t>
        </is>
      </c>
      <c r="D54" s="88" t="n">
        <v>1634486</v>
      </c>
      <c r="E54" s="292" t="n">
        <v>43715</v>
      </c>
      <c r="F54" s="175" t="inlineStr">
        <is>
          <t>0..16 МПа</t>
        </is>
      </c>
      <c r="G54" s="71" t="n">
        <v>0.1</v>
      </c>
      <c r="H54" s="14" t="inlineStr">
        <is>
          <t>Рг  до крана 8</t>
        </is>
      </c>
      <c r="I54" s="15" t="inlineStr">
        <is>
          <t>Узел подключения</t>
        </is>
      </c>
      <c r="J54" s="41" t="inlineStr">
        <is>
          <t>АСУ,А и ТМ (КЦ № 7)</t>
        </is>
      </c>
      <c r="K54" s="82" t="n"/>
      <c r="L54" s="82" t="n"/>
      <c r="M54" s="82" t="n"/>
      <c r="N54" s="82" t="n"/>
    </row>
    <row r="55" ht="22.5" customHeight="1" s="151">
      <c r="A55" s="15">
        <f>IF(B55&lt;&gt;"", COUNTA($B$2:B55), "")</f>
        <v/>
      </c>
      <c r="B55" s="74" t="inlineStr">
        <is>
          <t>Преобразователь избыточного давления</t>
        </is>
      </c>
      <c r="C55" s="14" t="inlineStr">
        <is>
          <t>Метран 150 TGR</t>
        </is>
      </c>
      <c r="D55" s="88" t="n">
        <v>1634493</v>
      </c>
      <c r="E55" s="292" t="n">
        <v>43716</v>
      </c>
      <c r="F55" s="175" t="inlineStr">
        <is>
          <t>0..16 МПа</t>
        </is>
      </c>
      <c r="G55" s="71" t="n">
        <v>0.1</v>
      </c>
      <c r="H55" s="14" t="inlineStr">
        <is>
          <t>Рг  после крана 8</t>
        </is>
      </c>
      <c r="I55" s="15" t="inlineStr">
        <is>
          <t>Узел подключения</t>
        </is>
      </c>
      <c r="J55" s="41" t="inlineStr">
        <is>
          <t>АСУ,А и ТМ (КЦ № 7)</t>
        </is>
      </c>
      <c r="K55" s="82" t="n"/>
      <c r="L55" s="82" t="n"/>
      <c r="M55" s="82" t="n"/>
      <c r="N55" s="82" t="n"/>
    </row>
    <row r="56" ht="22.5" customHeight="1" s="151">
      <c r="A56" s="15">
        <f>IF(B56&lt;&gt;"", COUNTA($B$2:B56), "")</f>
        <v/>
      </c>
      <c r="B56" s="74" t="inlineStr">
        <is>
          <t>Преобразователь избыточного давления</t>
        </is>
      </c>
      <c r="C56" s="14" t="inlineStr">
        <is>
          <t>Метран 150 TGR</t>
        </is>
      </c>
      <c r="D56" s="88" t="n">
        <v>1634488</v>
      </c>
      <c r="E56" s="292" t="n">
        <v>43717</v>
      </c>
      <c r="F56" s="175" t="inlineStr">
        <is>
          <t>0..16 МПа</t>
        </is>
      </c>
      <c r="G56" s="71" t="n">
        <v>0.1</v>
      </c>
      <c r="H56" s="14" t="inlineStr">
        <is>
          <t>Рг в аккумуляторе импульсного газа крана 8</t>
        </is>
      </c>
      <c r="I56" s="15" t="inlineStr">
        <is>
          <t>Узел подключения</t>
        </is>
      </c>
      <c r="J56" s="41" t="inlineStr">
        <is>
          <t>АСУ,А и ТМ (КЦ № 7)</t>
        </is>
      </c>
      <c r="K56" s="82" t="n"/>
      <c r="L56" s="82" t="n"/>
      <c r="M56" s="82" t="n"/>
      <c r="N56" s="82" t="n"/>
    </row>
    <row r="57" ht="22.5" customHeight="1" s="151">
      <c r="A57" s="15">
        <f>IF(B57&lt;&gt;"", COUNTA($B$2:B57), "")</f>
        <v/>
      </c>
      <c r="B57" s="74" t="inlineStr">
        <is>
          <t>Преобразователь избыточного давления</t>
        </is>
      </c>
      <c r="C57" s="14" t="inlineStr">
        <is>
          <t>Метран 150 TGR</t>
        </is>
      </c>
      <c r="D57" s="88" t="n">
        <v>1634491</v>
      </c>
      <c r="E57" s="292" t="n">
        <v>43717</v>
      </c>
      <c r="F57" s="175" t="inlineStr">
        <is>
          <t>0..16 МПа</t>
        </is>
      </c>
      <c r="G57" s="71" t="n">
        <v>0.1</v>
      </c>
      <c r="H57" s="14" t="inlineStr">
        <is>
          <t>Р топливного газа</t>
        </is>
      </c>
      <c r="I57" s="15" t="inlineStr">
        <is>
          <t>Узел подключения</t>
        </is>
      </c>
      <c r="J57" s="41" t="inlineStr">
        <is>
          <t>АСУ,А и ТМ (КЦ № 7)</t>
        </is>
      </c>
      <c r="K57" s="82" t="n"/>
      <c r="L57" s="82" t="n"/>
      <c r="M57" s="82" t="n"/>
      <c r="N57" s="82" t="n"/>
    </row>
    <row r="58" ht="22.5" customHeight="1" s="151">
      <c r="A58" s="15">
        <f>IF(B58&lt;&gt;"", COUNTA($B$2:B58), "")</f>
        <v/>
      </c>
      <c r="B58" s="74" t="inlineStr">
        <is>
          <t>Преобразователь избыточного давления</t>
        </is>
      </c>
      <c r="C58" s="14" t="inlineStr">
        <is>
          <t>Метран 150 TAR</t>
        </is>
      </c>
      <c r="D58" s="88" t="n">
        <v>1634497</v>
      </c>
      <c r="E58" s="292" t="n">
        <v>43717</v>
      </c>
      <c r="F58" s="17" t="inlineStr">
        <is>
          <t>0..16 кПа</t>
        </is>
      </c>
      <c r="G58" s="71" t="n">
        <v>0.1</v>
      </c>
      <c r="H58" s="14" t="inlineStr">
        <is>
          <t>Р атмосферного воздуъа</t>
        </is>
      </c>
      <c r="I58" s="15" t="inlineStr">
        <is>
          <t>Узел подключения</t>
        </is>
      </c>
      <c r="J58" s="41" t="inlineStr">
        <is>
          <t>АСУ,А и ТМ (КЦ № 7)</t>
        </is>
      </c>
      <c r="K58" s="82" t="n"/>
      <c r="L58" s="82" t="n"/>
      <c r="M58" s="82" t="n"/>
      <c r="N58" s="82" t="n"/>
    </row>
    <row r="59" ht="22.5" customFormat="1" customHeight="1" s="162">
      <c r="A59" s="15">
        <f>IF(B59&lt;&gt;"", COUNTA($B$2:B59), "")</f>
        <v/>
      </c>
      <c r="B59" s="163" t="inlineStr">
        <is>
          <t>Термометр сопротивления</t>
        </is>
      </c>
      <c r="C59" s="158" t="inlineStr">
        <is>
          <t>ТСПУ 031П</t>
        </is>
      </c>
      <c r="D59" s="164" t="n">
        <v>40</v>
      </c>
      <c r="E59" s="298" t="n">
        <v>43678</v>
      </c>
      <c r="F59" s="166" t="inlineStr">
        <is>
          <t>-50..+150 °С (120мм)</t>
        </is>
      </c>
      <c r="G59" s="167" t="inlineStr">
        <is>
          <t>0,5-0,6%</t>
        </is>
      </c>
      <c r="H59" s="168" t="inlineStr">
        <is>
          <t>Уровень защитного катализатора на трубопроводе</t>
        </is>
      </c>
      <c r="I59" s="155" t="inlineStr">
        <is>
          <t>Узел подключения</t>
        </is>
      </c>
      <c r="J59" s="169" t="inlineStr">
        <is>
          <t>АСУ,А и ТМ (КЦ № 7)</t>
        </is>
      </c>
      <c r="K59" s="170" t="n"/>
      <c r="L59" s="170" t="n"/>
      <c r="M59" s="170" t="n"/>
      <c r="N59" s="170" t="n"/>
    </row>
    <row r="60" ht="22.5" customFormat="1" customHeight="1" s="162">
      <c r="A60" s="15">
        <f>IF(B60&lt;&gt;"", COUNTA($B$2:B60), "")</f>
        <v/>
      </c>
      <c r="B60" s="163" t="inlineStr">
        <is>
          <t>Термометр сопротивления</t>
        </is>
      </c>
      <c r="C60" s="158" t="inlineStr">
        <is>
          <t>ТСПУ 031П</t>
        </is>
      </c>
      <c r="D60" s="164" t="n">
        <v>41</v>
      </c>
      <c r="E60" s="298" t="n">
        <v>43678</v>
      </c>
      <c r="F60" s="166" t="inlineStr">
        <is>
          <t>-50..+150 °С (120мм)</t>
        </is>
      </c>
      <c r="G60" s="167" t="inlineStr">
        <is>
          <t>0,5-0,6%</t>
        </is>
      </c>
      <c r="H60" s="168" t="inlineStr">
        <is>
          <t>Температура грунта</t>
        </is>
      </c>
      <c r="I60" s="155" t="inlineStr">
        <is>
          <t>Узел подключения</t>
        </is>
      </c>
      <c r="J60" s="169" t="inlineStr">
        <is>
          <t>АСУ,А и ТМ (КЦ № 7)</t>
        </is>
      </c>
      <c r="K60" s="170" t="n"/>
      <c r="L60" s="170" t="n"/>
      <c r="M60" s="170" t="n"/>
      <c r="N60" s="170" t="n"/>
    </row>
    <row r="61" ht="22.5" customFormat="1" customHeight="1" s="162">
      <c r="A61" s="15">
        <f>IF(B61&lt;&gt;"", COUNTA($B$2:B61), "")</f>
        <v/>
      </c>
      <c r="B61" s="163" t="inlineStr">
        <is>
          <t>Термометр сопротивления</t>
        </is>
      </c>
      <c r="C61" s="158" t="inlineStr">
        <is>
          <t>ТСПУ 031С</t>
        </is>
      </c>
      <c r="D61" s="164" t="n">
        <v>95</v>
      </c>
      <c r="E61" s="298" t="n">
        <v>43678</v>
      </c>
      <c r="F61" s="166" t="inlineStr">
        <is>
          <t>-50..+200 °С (120мм)</t>
        </is>
      </c>
      <c r="G61" s="167" t="inlineStr">
        <is>
          <t>0,5-0,6%</t>
        </is>
      </c>
      <c r="H61" s="158" t="inlineStr">
        <is>
          <t>Температура атмосферного воздуха</t>
        </is>
      </c>
      <c r="I61" s="155" t="inlineStr">
        <is>
          <t>Узел подключения</t>
        </is>
      </c>
      <c r="J61" s="155" t="inlineStr">
        <is>
          <t>АСУ,А и ТМ (КЦ № 7)</t>
        </is>
      </c>
      <c r="K61" s="170" t="n"/>
      <c r="L61" s="170" t="n"/>
      <c r="M61" s="170" t="n"/>
      <c r="N61" s="170" t="n"/>
    </row>
  </sheetData>
  <conditionalFormatting sqref="M1:M1048576">
    <cfRule type="expression" priority="1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pageMargins left="0.7" right="0.7" top="0.75" bottom="0.75" header="0.3" footer="0.3"/>
  <pageSetup orientation="landscape" paperSize="9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M2" sqref="M2"/>
    </sheetView>
  </sheetViews>
  <sheetFormatPr baseColWidth="8" defaultRowHeight="15"/>
  <cols>
    <col width="5.140625" bestFit="1" customWidth="1" style="151" min="1" max="1"/>
    <col width="17.5703125" bestFit="1" customWidth="1" style="151" min="2" max="2"/>
    <col width="8.140625" bestFit="1" customWidth="1" style="151" min="3" max="3"/>
    <col width="8" bestFit="1" customWidth="1" style="151" min="4" max="4"/>
    <col width="6.5703125" bestFit="1" customWidth="1" style="151" min="5" max="5"/>
    <col width="9.7109375" bestFit="1" customWidth="1" style="151" min="6" max="6"/>
    <col width="7.42578125" bestFit="1" customWidth="1" style="151" min="7" max="7"/>
    <col width="12.85546875" bestFit="1" customWidth="1" style="151" min="8" max="8"/>
    <col width="8" bestFit="1" customWidth="1" style="151" min="9" max="9"/>
    <col width="17.42578125" bestFit="1" customWidth="1" style="151" min="10" max="10"/>
    <col width="8" bestFit="1" customWidth="1" style="151" min="11" max="11"/>
    <col width="12.5703125" bestFit="1" customWidth="1" style="151" min="12" max="12"/>
    <col width="8.85546875" bestFit="1" customWidth="1" style="151" min="13" max="13"/>
    <col width="9" bestFit="1" customWidth="1" style="151" min="14" max="14"/>
  </cols>
  <sheetData>
    <row r="1" ht="45" customHeight="1" s="151">
      <c r="A1" s="15" t="inlineStr">
        <is>
          <t>№ п/п</t>
        </is>
      </c>
      <c r="B1" s="15" t="inlineStr">
        <is>
          <t>Наименование</t>
        </is>
      </c>
      <c r="C1" s="15" t="inlineStr">
        <is>
          <t>Тип</t>
        </is>
      </c>
      <c r="D1" s="15" t="inlineStr">
        <is>
          <t>Заводской номер</t>
        </is>
      </c>
      <c r="E1" s="3" t="inlineStr">
        <is>
          <t>Год выпуска</t>
        </is>
      </c>
      <c r="F1" s="15" t="inlineStr">
        <is>
          <t>Диапазон измерений</t>
        </is>
      </c>
      <c r="G1" s="15" t="inlineStr">
        <is>
          <t>Класс точности</t>
        </is>
      </c>
      <c r="H1" s="15" t="inlineStr">
        <is>
          <t>Место установки СИ</t>
        </is>
      </c>
      <c r="I1" s="15" t="inlineStr">
        <is>
          <t>Объект установки</t>
        </is>
      </c>
      <c r="J1" s="15" t="inlineStr">
        <is>
          <t>Подразделение</t>
        </is>
      </c>
      <c r="K1" s="15" t="inlineStr">
        <is>
          <t>Дата установки</t>
        </is>
      </c>
      <c r="L1" s="15" t="inlineStr">
        <is>
          <t>Межповерочный интервал, мес.</t>
        </is>
      </c>
      <c r="M1" s="3" t="inlineStr">
        <is>
          <t>Дата последней поверки / калибровки</t>
        </is>
      </c>
      <c r="N1" s="175" t="inlineStr">
        <is>
          <t>Поверка (П)/ Калибровка (К)</t>
        </is>
      </c>
    </row>
    <row r="2" ht="22.5" customHeight="1" s="151">
      <c r="A2" s="236" t="n"/>
      <c r="B2" s="236" t="inlineStr">
        <is>
          <t>Манометр технический</t>
        </is>
      </c>
      <c r="C2" s="236" t="inlineStr">
        <is>
          <t>МП4-УУ2</t>
        </is>
      </c>
      <c r="D2" s="236" t="n">
        <v>30167</v>
      </c>
      <c r="E2" s="236" t="n">
        <v>2010</v>
      </c>
      <c r="F2" s="236" t="inlineStr">
        <is>
          <t>0…..6 кгс</t>
        </is>
      </c>
      <c r="G2" s="236" t="n">
        <v>1.5</v>
      </c>
      <c r="H2" s="236" t="inlineStr">
        <is>
          <t>Р воды после расходомера</t>
        </is>
      </c>
      <c r="I2" s="236" t="inlineStr">
        <is>
          <t>КОС</t>
        </is>
      </c>
      <c r="J2" s="236" t="inlineStr">
        <is>
          <t>АСУ,А и ТМ (КЦ № 6)</t>
        </is>
      </c>
      <c r="K2" s="236" t="n">
        <v>2012</v>
      </c>
      <c r="L2" s="236" t="n">
        <v>12</v>
      </c>
      <c r="M2" s="237" t="inlineStr">
        <is>
          <t>25ДЯУ</t>
        </is>
      </c>
      <c r="N2" s="236" t="inlineStr">
        <is>
          <t>П</t>
        </is>
      </c>
    </row>
    <row r="3" ht="22.5" customHeight="1" s="151">
      <c r="A3" s="210" t="n"/>
      <c r="B3" s="210" t="inlineStr">
        <is>
          <t>Манометр технический</t>
        </is>
      </c>
      <c r="C3" s="210" t="inlineStr">
        <is>
          <t>МП4-УУ2</t>
        </is>
      </c>
      <c r="D3" s="210" t="n">
        <v>700310</v>
      </c>
      <c r="E3" s="210" t="n">
        <v>2010</v>
      </c>
      <c r="F3" s="210" t="inlineStr">
        <is>
          <t>0…600 кПа</t>
        </is>
      </c>
      <c r="G3" s="210" t="n">
        <v>1.5</v>
      </c>
      <c r="H3" s="210" t="inlineStr">
        <is>
          <t>Р воды после расходомера</t>
        </is>
      </c>
      <c r="I3" s="210" t="inlineStr">
        <is>
          <t>КОС</t>
        </is>
      </c>
      <c r="J3" s="210" t="inlineStr">
        <is>
          <t>АСУ,А и ТМ (КЦ № 6)</t>
        </is>
      </c>
      <c r="K3" s="210" t="n">
        <v>2012</v>
      </c>
      <c r="L3" s="210" t="n">
        <v>12</v>
      </c>
      <c r="M3" s="238" t="inlineStr">
        <is>
          <t>26ДЯУ</t>
        </is>
      </c>
      <c r="N3" s="210" t="inlineStr">
        <is>
          <t>П</t>
        </is>
      </c>
    </row>
  </sheetData>
  <conditionalFormatting sqref="M1:M2">
    <cfRule type="expression" priority="2" dxfId="0">
      <formula>OR(AND(IF(VALUE(LEFT(TEXT($M1,"0"),1))&lt;=INT((MONTH(TODAY())+2)/3),1),IF(VALUE(RIGHT(TEXT($M1,"0"),2))+($L1/12)&lt;=VALUE(TEXT(TODAY(),"ГГ")),1),OR($N1="К",$N1="K", ,$N1="П")),IFERROR(AND(IF(INT((MONTH($M1)+2)/3)&lt;=INT((MONTH(TODAY())+2)/3),1),IF(VALUE(TEXT($M1,"ГГ"))+($L1/12)&lt;=VALUE(TEXT(TODAY(),"ГГ")),1),OR($N1="К",$N1="K",$N1="П")),0))</formula>
    </cfRule>
  </conditionalFormatting>
  <conditionalFormatting sqref="M3">
    <cfRule type="expression" priority="1" dxfId="0">
      <formula>OR(AND(IF(VALUE(LEFT(TEXT($M3,"0"),1))&lt;=INT((MONTH(TODAY())+2)/3),1),IF(VALUE(RIGHT(TEXT($M3,"0"),2))+($L3/12)&lt;=VALUE(TEXT(TODAY(),"ГГ")),1),OR($N3="К",$N3="K", ,$N3="П")),IFERROR(AND(IF(INT((MONTH($M3)+2)/3)&lt;=INT((MONTH(TODAY())+2)/3),1),IF(VALUE(TEXT($M3,"ГГ"))+($L3/12)&lt;=VALUE(TEXT(TODAY(),"ГГ")),1),OR($N3="К",$N3="K",$N3="П")),0))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АСУ КЦ6</dc:creator>
  <dcterms:created xsi:type="dcterms:W3CDTF">2019-05-27T06:08:35Z</dcterms:created>
  <dcterms:modified xsi:type="dcterms:W3CDTF">2026-10-29T19:44:54Z</dcterms:modified>
  <cp:lastModifiedBy>АСУ КЦ 6-7</cp:lastModifiedBy>
  <cp:lastPrinted>2026-07-23T06:15:52Z</cp:lastPrinted>
</cp:coreProperties>
</file>